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PlannedOrder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T_SelfStock_Log" sheetId="22" state="hidden" r:id="rId22"/>
    <sheet name="T_TTAFStock_Log" sheetId="23" state="hidden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221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453" authorId="0" shapeId="0">
      <text>
        <t>MOQ(最小発注量)を入力してください（手書きでOK）</t>
      </text>
    </comment>
    <comment ref="C475" authorId="0" shapeId="0">
      <text>
        <t>MOQ(最小発注量)を入力してください（手書きでOK）</t>
      </text>
    </comment>
    <comment ref="C485" authorId="0" shapeId="0">
      <text>
        <t>MOQ(最小発注量)を入力してください（手書きでOK）</t>
      </text>
    </comment>
    <comment ref="C507" authorId="0" shapeId="0">
      <text>
        <t>MOQ(最小発注量)を入力してください（手書きでOK）</t>
      </text>
    </comment>
    <comment ref="C555" authorId="0" shapeId="0">
      <text>
        <t>MOQ(最小発注量)を入力してください（手書きでOK）</t>
      </text>
    </comment>
    <comment ref="C589" authorId="0" shapeId="0">
      <text>
        <t>MOQ(最小発注量)を入力してください（手書きでOK）</t>
      </text>
    </comment>
    <comment ref="C653" authorId="0" shapeId="0">
      <text>
        <t>MOQ(最小発注量)を入力してください（手書きでOK）</t>
      </text>
    </comment>
    <comment ref="C681" authorId="0" shapeId="0">
      <text>
        <t>MOQ(最小発注量)を入力してください（手書きでOK）</t>
      </text>
    </comment>
    <comment ref="C709" authorId="0" shapeId="0">
      <text>
        <t>MOQ(最小発注量)を入力してください（手書きでOK）</t>
      </text>
    </comment>
    <comment ref="C723" authorId="0" shapeId="0">
      <text>
        <t>MOQ(最小発注量)を入力してください（手書きでOK）</t>
      </text>
    </comment>
    <comment ref="C773" authorId="0" shapeId="0">
      <text>
        <t>MOQ(最小発注量)を入力してください（手書きでOK）</t>
      </text>
    </comment>
    <comment ref="C835" authorId="0" shapeId="0">
      <text>
        <t>MOQ(最小発注量)を入力してください（手書きでOK）</t>
      </text>
    </comment>
    <comment ref="C849" authorId="0" shapeId="0">
      <text>
        <t>MOQ(最小発注量)を入力してください（手書きでOK）</t>
      </text>
    </comment>
    <comment ref="C895" authorId="0" shapeId="0">
      <text>
        <t>MOQ(最小発注量)を入力してください（手書きでOK）</t>
      </text>
    </comment>
    <comment ref="C923" authorId="0" shapeId="0">
      <text>
        <t>MOQ(最小発注量)を入力してください（手書きでOK）</t>
      </text>
    </comment>
    <comment ref="C959" authorId="0" shapeId="0">
      <text>
        <t>MOQ(最小発注量)を入力してください（手書きでOK）</t>
      </text>
    </comment>
    <comment ref="C973" authorId="0" shapeId="0">
      <text>
        <t>MOQ(最小発注量)を入力してください（手書きでOK）</t>
      </text>
    </comment>
    <comment ref="C1003" authorId="0" shapeId="0">
      <text>
        <t>MOQ(最小発注量)を入力してください（手書きでOK）</t>
      </text>
    </comment>
    <comment ref="C1017" authorId="0" shapeId="0">
      <text>
        <t>MOQ(最小発注量)を入力してください（手書きでOK）</t>
      </text>
    </comment>
    <comment ref="C1029" authorId="0" shapeId="0">
      <text>
        <t>MOQ(最小発注量)を入力してください（手書きでOK）</t>
      </text>
    </comment>
    <comment ref="C1039" authorId="0" shapeId="0">
      <text>
        <t>MOQ(最小発注量)を入力してください（手書きでOK）</t>
      </text>
    </comment>
    <comment ref="C1049" authorId="0" shapeId="0">
      <text>
        <t>MOQ(最小発注量)を入力してください（手書きでOK）</t>
      </text>
    </comment>
    <comment ref="C1059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79" authorId="0" shapeId="0">
      <text>
        <t>MOQ(最小発注量)を入力してください（手書きでOK）</t>
      </text>
    </comment>
    <comment ref="C1089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13" authorId="0" shapeId="0">
      <text>
        <t>MOQ(最小発注量)を入力してください（手書きでOK）</t>
      </text>
    </comment>
    <comment ref="C1131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I245" headerRowCount="1">
  <autoFilter ref="A1:I245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2.xml><?xml version="1.0" encoding="utf-8"?>
<table xmlns="http://schemas.openxmlformats.org/spreadsheetml/2006/main" id="2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5.xml><?xml version="1.0" encoding="utf-8"?>
<table xmlns="http://schemas.openxmlformats.org/spreadsheetml/2006/main" id="15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PlannedOrder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発注・着荷の入力（TTAF供給材料はTTAF倉庫への到着実績を表す）</t>
        </is>
      </c>
    </row>
    <row r="9">
      <c r="A9" s="3" t="inlineStr">
        <is>
          <t>▶ T_PlannedOrders - 計画中の発注の入力（PO Noが出る前の予定分。Material_DetailのOrder行に反映）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要発注分を注文書ひな形に自動転記</t>
        </is>
      </c>
    </row>
    <row r="41">
      <c r="A41" t="inlineStr">
        <is>
          <t xml:space="preserve">  T_Shipments         : 発注・着荷の入力。TTAF供給材料については「TTAF倉庫への到着実績」を</t>
        </is>
      </c>
    </row>
    <row r="42">
      <c r="A42" t="inlineStr">
        <is>
          <t xml:space="preserve">                        表します(TTAFは仕入先であり倉庫でもあるため)。TTAF以外の材料は</t>
        </is>
      </c>
    </row>
    <row r="43">
      <c r="A43" t="inlineStr">
        <is>
          <t xml:space="preserve">                        従来通り弊社への入庫実績です。RefreshShipmentsFromCSAでCSA Reportの</t>
        </is>
      </c>
    </row>
    <row r="44">
      <c r="A44" t="inlineStr">
        <is>
          <t xml:space="preserve">                        Shipping Scheduleから一括更新できます（手入力も可）。</t>
        </is>
      </c>
    </row>
    <row r="45">
      <c r="A45" t="inlineStr">
        <is>
          <t xml:space="preserve">  T_PlannedOrders     : PO Noがまだ出ていない「計画中の発注」の入力（材料名・数量・納品予定日・</t>
        </is>
      </c>
    </row>
    <row r="46">
      <c r="A46" t="inlineStr">
        <is>
          <t xml:space="preserve">                        発注月）。Material_Detailの「Order」行に反映されます。同じ材料・発注月の</t>
        </is>
      </c>
    </row>
    <row r="47">
      <c r="A47" t="inlineStr">
        <is>
          <t xml:space="preserve">                        実データがT_Shipments(RefreshShipmentsFromCSAで毎週更新)に現れたら</t>
        </is>
      </c>
    </row>
    <row r="48">
      <c r="A48" t="inlineStr">
        <is>
          <t xml:space="preserve">                        自動的に消え（二重計上防止）、手動削除は不要です。</t>
        </is>
      </c>
    </row>
    <row r="49">
      <c r="A49" t="inlineStr">
        <is>
          <t xml:space="preserve">  T_OpeningStock/T_StockCount : 入力用</t>
        </is>
      </c>
    </row>
    <row r="50">
      <c r="A50" t="inlineStr">
        <is>
          <t xml:space="preserve">  T_SelfStock/T_TTAFStock : 材料×週のグリッドで自社/TTAF在庫実績を表示（出力・閲覧用）。</t>
        </is>
      </c>
    </row>
    <row r="51">
      <c r="A51" t="inlineStr">
        <is>
          <t xml:space="preserve">                        RefreshSelfStock/RefreshTTAFStockで更新されます。手入力はしないでください</t>
        </is>
      </c>
    </row>
    <row r="52">
      <c r="A52" t="inlineStr">
        <is>
          <t xml:space="preserve">                        （生データは非表示のT_SelfStock_Log/T_TTAFStock_Logに安全に保存されています）。</t>
        </is>
      </c>
    </row>
    <row r="53">
      <c r="A53" t="inlineStr"/>
    </row>
    <row r="54">
      <c r="A54" t="inlineStr">
        <is>
          <t xml:space="preserve">  M_RawMaterials・M_BOM・PP_Grid・Grid_Stock・その他非表示シートは内部計算用です。通常は開く必要はありません。</t>
        </is>
      </c>
    </row>
    <row r="55">
      <c r="A55" t="inlineStr"/>
    </row>
    <row r="56">
      <c r="A56" t="inlineStr">
        <is>
          <t>【重要】原単位・バッチ数・自社/TTAF在庫・発注実績はPythonを使わず、Excel(VBA)マクロだけで更新できます。</t>
        </is>
      </c>
    </row>
    <row r="57">
      <c r="A57" t="inlineStr">
        <is>
          <t xml:space="preserve">  macros/RefreshData.bas を導入し、RefreshWeeklyBatches / RefreshBOM / RefreshSelfStock /</t>
        </is>
      </c>
    </row>
    <row r="58">
      <c r="A58" t="inlineStr">
        <is>
          <t xml:space="preserve">  RefreshTTAFStock / RefreshShipmentsFromCSA を実行してください（対象ファイルを選ぶだけです。</t>
        </is>
      </c>
    </row>
    <row r="59">
      <c r="A59" t="inlineStr">
        <is>
          <t xml:space="preserve">  詳細はdocs/SOH_System_Guide.md、未検証のため要動作確認）。</t>
        </is>
      </c>
    </row>
    <row r="60">
      <c r="A60" t="inlineStr">
        <is>
          <t xml:space="preserve">  T_Shipments・T_OpeningStock・T_StockCount・T_PlannedOrders等の入力内容は上書きされません</t>
        </is>
      </c>
    </row>
    <row r="61">
      <c r="A61" t="inlineStr">
        <is>
          <t xml:space="preserve">  （T_ShipmentsはRefreshShipmentsFromCSAを実行した場合のみ更新されます）。</t>
        </is>
      </c>
    </row>
    <row r="62">
      <c r="A62" t="inlineStr">
        <is>
          <t xml:space="preserve">  Material_Detailの中間体の行を隠す/戻すHideInactiveIntermediates / ShowAllIntermediatesは、</t>
        </is>
      </c>
    </row>
    <row r="63">
      <c r="A63" t="inlineStr">
        <is>
          <t xml:space="preserve">  ボタンへの割り当てが必要な一度だけの手動設定です（詳細はdocs/SOH_System_Guide.md）。</t>
        </is>
      </c>
    </row>
    <row r="64">
      <c r="A64" t="inlineStr"/>
    </row>
    <row r="65">
      <c r="A65" t="inlineStr">
        <is>
          <t>【毎月の運用】</t>
        </is>
      </c>
    </row>
    <row r="66">
      <c r="A66" t="inlineStr">
        <is>
          <t xml:space="preserve">  1. 「Powder &amp; Slurry &amp; Pgm Plan」の新しい月版でRefreshWeeklyBatchesを実行</t>
        </is>
      </c>
    </row>
    <row r="67">
      <c r="A67" t="inlineStr">
        <is>
          <t xml:space="preserve">  2. 「Usage from Production Engineering」が更新されていればRefreshBOMを実行</t>
        </is>
      </c>
    </row>
    <row r="68">
      <c r="A68" t="inlineStr">
        <is>
          <t xml:space="preserve">  3. 自社倉庫の現物確認を実施したらRefreshSelfStockを実行</t>
        </is>
      </c>
    </row>
    <row r="69">
      <c r="A69" t="inlineStr">
        <is>
          <t xml:space="preserve">  4. CSA Reportが毎週月曜に届いたらRefreshTTAFStockとRefreshShipmentsFromCSAを実行</t>
        </is>
      </c>
    </row>
    <row r="70">
      <c r="A70" t="inlineStr">
        <is>
          <t xml:space="preserve">  5. 新しく発注したらT_PlannedOrdersに追記（材料名・数量・納品予定日・発注月）</t>
        </is>
      </c>
    </row>
    <row r="71">
      <c r="A71" t="inlineStr">
        <is>
          <t xml:space="preserve">  6. 棚卸を実施したらT_StockCountに実測値を追記（Date列に実施日を入力。WeekIndex列は自動計算）</t>
        </is>
      </c>
    </row>
    <row r="72">
      <c r="A72" t="inlineStr">
        <is>
          <t xml:space="preserve">  7. Dashboardで赤色(基準在庫の下限未満)の週を確認し、PO_Draft_*から注文書を出力</t>
        </is>
      </c>
    </row>
    <row r="73">
      <c r="A73" t="inlineStr">
        <is>
          <t xml:space="preserve">  8. 月初は、前月最終週と当月頭のDashboardを見比べて在庫差異を確認（Plan Increase and Decrease /</t>
        </is>
      </c>
    </row>
    <row r="74">
      <c r="A74" t="inlineStr">
        <is>
          <t xml:space="preserve">     Inventory Releasesの報告フォーマットに転記）</t>
        </is>
      </c>
    </row>
    <row r="75">
      <c r="A75" t="inlineStr"/>
    </row>
    <row r="76">
      <c r="A76" t="inlineStr">
        <is>
          <t>【前提・要確認事項】詳細はdocs/SOH_System_Guide.mdを参照</t>
        </is>
      </c>
    </row>
    <row r="77">
      <c r="A77" t="inlineStr">
        <is>
          <t xml:space="preserve">  - M_RawMaterials の基準在庫(下限/上限)とLeadTime_Weeksは仮値(0)です。実際の水準に置き換えてください</t>
        </is>
      </c>
    </row>
    <row r="78">
      <c r="A78" t="inlineStr">
        <is>
          <t xml:space="preserve">    （Dashboardの週次セルの赤/緑/青の色分けに使われます）。</t>
        </is>
      </c>
    </row>
    <row r="79">
      <c r="A79" t="inlineStr">
        <is>
          <t xml:space="preserve">  - Categoryの割り当て(Chemical/Hazardous Chemical/Substrate)は入手データから機械的に推定した部分があります。要レビュー。</t>
        </is>
      </c>
    </row>
    <row r="80">
      <c r="A80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8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t="inlineStr">
        <is>
          <t>Order(発注予定,kg)</t>
        </is>
      </c>
      <c r="D41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41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41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41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41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41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41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41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41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41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41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41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41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41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41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41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41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41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41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41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41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41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41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41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41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41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41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41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41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41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41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41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41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41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41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41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41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41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41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41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41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41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41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41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41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41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41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41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41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41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41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41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41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41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41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41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41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41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41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41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41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41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41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41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41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41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41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41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41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41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41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41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41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41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41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41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41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41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41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41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41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41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41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41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41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41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41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41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41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41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41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41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41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41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41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41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41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41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41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41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41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41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41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41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42">
      <c r="B42" s="4" t="inlineStr">
        <is>
          <t>合計在庫(週末時点,kg)</t>
        </is>
      </c>
      <c r="D42">
        <f>'Grid_Stock'!B2</f>
        <v/>
      </c>
      <c r="E42">
        <f>'Grid_Stock'!C2</f>
        <v/>
      </c>
      <c r="F42">
        <f>'Grid_Stock'!D2</f>
        <v/>
      </c>
      <c r="G42">
        <f>'Grid_Stock'!E2</f>
        <v/>
      </c>
      <c r="H42">
        <f>'Grid_Stock'!F2</f>
        <v/>
      </c>
      <c r="I42">
        <f>'Grid_Stock'!G2</f>
        <v/>
      </c>
      <c r="J42">
        <f>'Grid_Stock'!H2</f>
        <v/>
      </c>
      <c r="K42">
        <f>'Grid_Stock'!I2</f>
        <v/>
      </c>
      <c r="L42">
        <f>'Grid_Stock'!J2</f>
        <v/>
      </c>
      <c r="M42">
        <f>'Grid_Stock'!K2</f>
        <v/>
      </c>
      <c r="N42">
        <f>'Grid_Stock'!L2</f>
        <v/>
      </c>
      <c r="O42">
        <f>'Grid_Stock'!M2</f>
        <v/>
      </c>
      <c r="P42">
        <f>'Grid_Stock'!N2</f>
        <v/>
      </c>
      <c r="Q42">
        <f>'Grid_Stock'!O2</f>
        <v/>
      </c>
      <c r="R42">
        <f>'Grid_Stock'!P2</f>
        <v/>
      </c>
      <c r="S42">
        <f>'Grid_Stock'!Q2</f>
        <v/>
      </c>
      <c r="T42">
        <f>'Grid_Stock'!R2</f>
        <v/>
      </c>
      <c r="U42">
        <f>'Grid_Stock'!S2</f>
        <v/>
      </c>
      <c r="V42">
        <f>'Grid_Stock'!T2</f>
        <v/>
      </c>
      <c r="W42">
        <f>'Grid_Stock'!U2</f>
        <v/>
      </c>
      <c r="X42">
        <f>'Grid_Stock'!V2</f>
        <v/>
      </c>
      <c r="Y42">
        <f>'Grid_Stock'!W2</f>
        <v/>
      </c>
      <c r="Z42">
        <f>'Grid_Stock'!X2</f>
        <v/>
      </c>
      <c r="AA42">
        <f>'Grid_Stock'!Y2</f>
        <v/>
      </c>
      <c r="AB42">
        <f>'Grid_Stock'!Z2</f>
        <v/>
      </c>
      <c r="AC42">
        <f>'Grid_Stock'!AA2</f>
        <v/>
      </c>
      <c r="AD42">
        <f>'Grid_Stock'!AB2</f>
        <v/>
      </c>
      <c r="AE42">
        <f>'Grid_Stock'!AC2</f>
        <v/>
      </c>
      <c r="AF42">
        <f>'Grid_Stock'!AD2</f>
        <v/>
      </c>
      <c r="AG42">
        <f>'Grid_Stock'!AE2</f>
        <v/>
      </c>
      <c r="AH42">
        <f>'Grid_Stock'!AF2</f>
        <v/>
      </c>
      <c r="AI42">
        <f>'Grid_Stock'!AG2</f>
        <v/>
      </c>
      <c r="AJ42">
        <f>'Grid_Stock'!AH2</f>
        <v/>
      </c>
      <c r="AK42">
        <f>'Grid_Stock'!AI2</f>
        <v/>
      </c>
      <c r="AL42">
        <f>'Grid_Stock'!AJ2</f>
        <v/>
      </c>
      <c r="AM42">
        <f>'Grid_Stock'!AK2</f>
        <v/>
      </c>
      <c r="AN42">
        <f>'Grid_Stock'!AL2</f>
        <v/>
      </c>
      <c r="AO42">
        <f>'Grid_Stock'!AM2</f>
        <v/>
      </c>
      <c r="AP42">
        <f>'Grid_Stock'!AN2</f>
        <v/>
      </c>
      <c r="AQ42">
        <f>'Grid_Stock'!AO2</f>
        <v/>
      </c>
      <c r="AR42">
        <f>'Grid_Stock'!AP2</f>
        <v/>
      </c>
      <c r="AS42">
        <f>'Grid_Stock'!AQ2</f>
        <v/>
      </c>
      <c r="AT42">
        <f>'Grid_Stock'!AR2</f>
        <v/>
      </c>
      <c r="AU42">
        <f>'Grid_Stock'!AS2</f>
        <v/>
      </c>
      <c r="AV42">
        <f>'Grid_Stock'!AT2</f>
        <v/>
      </c>
      <c r="AW42">
        <f>'Grid_Stock'!AU2</f>
        <v/>
      </c>
      <c r="AX42">
        <f>'Grid_Stock'!AV2</f>
        <v/>
      </c>
      <c r="AY42">
        <f>'Grid_Stock'!AW2</f>
        <v/>
      </c>
      <c r="AZ42">
        <f>'Grid_Stock'!AX2</f>
        <v/>
      </c>
      <c r="BA42">
        <f>'Grid_Stock'!AY2</f>
        <v/>
      </c>
      <c r="BB42">
        <f>'Grid_Stock'!AZ2</f>
        <v/>
      </c>
      <c r="BC42">
        <f>'Grid_Stock'!BA2</f>
        <v/>
      </c>
      <c r="BD42">
        <f>'Grid_Stock'!BB2</f>
        <v/>
      </c>
      <c r="BE42">
        <f>'Grid_Stock'!BC2</f>
        <v/>
      </c>
      <c r="BF42">
        <f>'Grid_Stock'!BD2</f>
        <v/>
      </c>
      <c r="BG42">
        <f>'Grid_Stock'!BE2</f>
        <v/>
      </c>
      <c r="BH42">
        <f>'Grid_Stock'!BF2</f>
        <v/>
      </c>
      <c r="BI42">
        <f>'Grid_Stock'!BG2</f>
        <v/>
      </c>
      <c r="BJ42">
        <f>'Grid_Stock'!BH2</f>
        <v/>
      </c>
      <c r="BK42">
        <f>'Grid_Stock'!BI2</f>
        <v/>
      </c>
      <c r="BL42">
        <f>'Grid_Stock'!BJ2</f>
        <v/>
      </c>
      <c r="BM42">
        <f>'Grid_Stock'!BK2</f>
        <v/>
      </c>
      <c r="BN42">
        <f>'Grid_Stock'!BL2</f>
        <v/>
      </c>
      <c r="BO42">
        <f>'Grid_Stock'!BM2</f>
        <v/>
      </c>
      <c r="BP42">
        <f>'Grid_Stock'!BN2</f>
        <v/>
      </c>
      <c r="BQ42">
        <f>'Grid_Stock'!BO2</f>
        <v/>
      </c>
      <c r="BR42">
        <f>'Grid_Stock'!BP2</f>
        <v/>
      </c>
      <c r="BS42">
        <f>'Grid_Stock'!BQ2</f>
        <v/>
      </c>
      <c r="BT42">
        <f>'Grid_Stock'!BR2</f>
        <v/>
      </c>
      <c r="BU42">
        <f>'Grid_Stock'!BS2</f>
        <v/>
      </c>
      <c r="BV42">
        <f>'Grid_Stock'!BT2</f>
        <v/>
      </c>
      <c r="BW42">
        <f>'Grid_Stock'!BU2</f>
        <v/>
      </c>
      <c r="BX42">
        <f>'Grid_Stock'!BV2</f>
        <v/>
      </c>
      <c r="BY42">
        <f>'Grid_Stock'!BW2</f>
        <v/>
      </c>
      <c r="BZ42">
        <f>'Grid_Stock'!BX2</f>
        <v/>
      </c>
      <c r="CA42">
        <f>'Grid_Stock'!BY2</f>
        <v/>
      </c>
      <c r="CB42">
        <f>'Grid_Stock'!BZ2</f>
        <v/>
      </c>
      <c r="CC42">
        <f>'Grid_Stock'!CA2</f>
        <v/>
      </c>
      <c r="CD42">
        <f>'Grid_Stock'!CB2</f>
        <v/>
      </c>
      <c r="CE42">
        <f>'Grid_Stock'!CC2</f>
        <v/>
      </c>
      <c r="CF42">
        <f>'Grid_Stock'!CD2</f>
        <v/>
      </c>
      <c r="CG42">
        <f>'Grid_Stock'!CE2</f>
        <v/>
      </c>
      <c r="CH42">
        <f>'Grid_Stock'!CF2</f>
        <v/>
      </c>
      <c r="CI42">
        <f>'Grid_Stock'!CG2</f>
        <v/>
      </c>
      <c r="CJ42">
        <f>'Grid_Stock'!CH2</f>
        <v/>
      </c>
      <c r="CK42">
        <f>'Grid_Stock'!CI2</f>
        <v/>
      </c>
      <c r="CL42">
        <f>'Grid_Stock'!CJ2</f>
        <v/>
      </c>
      <c r="CM42">
        <f>'Grid_Stock'!CK2</f>
        <v/>
      </c>
      <c r="CN42">
        <f>'Grid_Stock'!CL2</f>
        <v/>
      </c>
      <c r="CO42">
        <f>'Grid_Stock'!CM2</f>
        <v/>
      </c>
      <c r="CP42">
        <f>'Grid_Stock'!CN2</f>
        <v/>
      </c>
      <c r="CQ42">
        <f>'Grid_Stock'!CO2</f>
        <v/>
      </c>
      <c r="CR42">
        <f>'Grid_Stock'!CP2</f>
        <v/>
      </c>
      <c r="CS42">
        <f>'Grid_Stock'!CQ2</f>
        <v/>
      </c>
      <c r="CT42">
        <f>'Grid_Stock'!CR2</f>
        <v/>
      </c>
      <c r="CU42">
        <f>'Grid_Stock'!CS2</f>
        <v/>
      </c>
      <c r="CV42">
        <f>'Grid_Stock'!CT2</f>
        <v/>
      </c>
      <c r="CW42">
        <f>'Grid_Stock'!CU2</f>
        <v/>
      </c>
      <c r="CX42">
        <f>'Grid_Stock'!CV2</f>
        <v/>
      </c>
      <c r="CY42">
        <f>'Grid_Stock'!CW2</f>
        <v/>
      </c>
      <c r="CZ42">
        <f>'Grid_Stock'!CX2</f>
        <v/>
      </c>
      <c r="DA42">
        <f>'Grid_Stock'!CY2</f>
        <v/>
      </c>
      <c r="DB42">
        <f>'Grid_Stock'!CZ2</f>
        <v/>
      </c>
      <c r="DC42">
        <f>'Grid_Stock'!DA2</f>
        <v/>
      </c>
    </row>
    <row r="43">
      <c r="B43" s="16" t="inlineStr">
        <is>
          <t>（発注の目安はDashboardの基準在庫[下限/上限]と色分けを参照）</t>
        </is>
      </c>
    </row>
    <row r="45">
      <c r="A45" s="14" t="inlineStr">
        <is>
          <t>CHEM-1420</t>
        </is>
      </c>
      <c r="B45" s="14" t="inlineStr">
        <is>
          <t>HEC SE900</t>
        </is>
      </c>
      <c r="C45" s="15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/>
      <c r="AF45" s="14" t="n"/>
      <c r="AG45" s="14" t="n"/>
      <c r="AH45" s="14" t="n"/>
      <c r="AI45" s="14" t="n"/>
      <c r="AJ45" s="14" t="n"/>
      <c r="AK45" s="14" t="n"/>
      <c r="AL45" s="14" t="n"/>
      <c r="AM45" s="14" t="n"/>
      <c r="AN45" s="14" t="n"/>
      <c r="AO45" s="14" t="n"/>
      <c r="AP45" s="14" t="n"/>
      <c r="AQ45" s="14" t="n"/>
      <c r="AR45" s="14" t="n"/>
      <c r="AS45" s="14" t="n"/>
      <c r="AT45" s="14" t="n"/>
      <c r="AU45" s="14" t="n"/>
      <c r="AV45" s="14" t="n"/>
      <c r="AW45" s="14" t="n"/>
      <c r="AX45" s="14" t="n"/>
      <c r="AY45" s="14" t="n"/>
      <c r="AZ45" s="14" t="n"/>
      <c r="BA45" s="14" t="n"/>
      <c r="BB45" s="14" t="n"/>
      <c r="BC45" s="14" t="n"/>
      <c r="BD45" s="14" t="n"/>
      <c r="BE45" s="14" t="n"/>
      <c r="BF45" s="14" t="n"/>
      <c r="BG45" s="14" t="n"/>
      <c r="BH45" s="14" t="n"/>
      <c r="BI45" s="14" t="n"/>
      <c r="BJ45" s="14" t="n"/>
      <c r="BK45" s="14" t="n"/>
      <c r="BL45" s="14" t="n"/>
      <c r="BM45" s="14" t="n"/>
      <c r="BN45" s="14" t="n"/>
      <c r="BO45" s="14" t="n"/>
      <c r="BP45" s="14" t="n"/>
      <c r="BQ45" s="14" t="n"/>
      <c r="BR45" s="14" t="n"/>
      <c r="BS45" s="14" t="n"/>
      <c r="BT45" s="14" t="n"/>
      <c r="BU45" s="14" t="n"/>
      <c r="BV45" s="14" t="n"/>
      <c r="BW45" s="14" t="n"/>
      <c r="BX45" s="14" t="n"/>
      <c r="BY45" s="14" t="n"/>
      <c r="BZ45" s="14" t="n"/>
      <c r="CA45" s="14" t="n"/>
      <c r="CB45" s="14" t="n"/>
      <c r="CC45" s="14" t="n"/>
      <c r="CD45" s="14" t="n"/>
      <c r="CE45" s="14" t="n"/>
      <c r="CF45" s="14" t="n"/>
      <c r="CG45" s="14" t="n"/>
      <c r="CH45" s="14" t="n"/>
      <c r="CI45" s="14" t="n"/>
      <c r="CJ45" s="14" t="n"/>
      <c r="CK45" s="14" t="n"/>
      <c r="CL45" s="14" t="n"/>
      <c r="CM45" s="14" t="n"/>
      <c r="CN45" s="14" t="n"/>
      <c r="CO45" s="14" t="n"/>
      <c r="CP45" s="14" t="n"/>
      <c r="CQ45" s="14" t="n"/>
      <c r="CR45" s="14" t="n"/>
      <c r="CS45" s="14" t="n"/>
      <c r="CT45" s="14" t="n"/>
      <c r="CU45" s="14" t="n"/>
      <c r="CV45" s="14" t="n"/>
      <c r="CW45" s="14" t="n"/>
      <c r="CX45" s="14" t="n"/>
      <c r="CY45" s="14" t="n"/>
      <c r="CZ45" s="14" t="n"/>
      <c r="DA45" s="14" t="n"/>
      <c r="DB45" s="14" t="n"/>
      <c r="DC45" s="14" t="n"/>
    </row>
    <row r="46">
      <c r="B46" t="inlineStr">
        <is>
          <t>TSP-049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7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TSP-050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7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t="inlineStr">
        <is>
          <t>TSP-067</t>
        </is>
      </c>
      <c r="C50" t="inlineStr">
        <is>
          <t>No. of batches</t>
        </is>
      </c>
      <c r="D50">
        <f>IFERROR(INDEX(PP_Grid[#Data],$DD50,2),0)</f>
        <v/>
      </c>
      <c r="E50">
        <f>IFERROR(INDEX(PP_Grid[#Data],$DD50,3),0)</f>
        <v/>
      </c>
      <c r="F50">
        <f>IFERROR(INDEX(PP_Grid[#Data],$DD50,4),0)</f>
        <v/>
      </c>
      <c r="G50">
        <f>IFERROR(INDEX(PP_Grid[#Data],$DD50,5),0)</f>
        <v/>
      </c>
      <c r="H50">
        <f>IFERROR(INDEX(PP_Grid[#Data],$DD50,6),0)</f>
        <v/>
      </c>
      <c r="I50">
        <f>IFERROR(INDEX(PP_Grid[#Data],$DD50,7),0)</f>
        <v/>
      </c>
      <c r="J50">
        <f>IFERROR(INDEX(PP_Grid[#Data],$DD50,8),0)</f>
        <v/>
      </c>
      <c r="K50">
        <f>IFERROR(INDEX(PP_Grid[#Data],$DD50,9),0)</f>
        <v/>
      </c>
      <c r="L50">
        <f>IFERROR(INDEX(PP_Grid[#Data],$DD50,10),0)</f>
        <v/>
      </c>
      <c r="M50">
        <f>IFERROR(INDEX(PP_Grid[#Data],$DD50,11),0)</f>
        <v/>
      </c>
      <c r="N50">
        <f>IFERROR(INDEX(PP_Grid[#Data],$DD50,12),0)</f>
        <v/>
      </c>
      <c r="O50">
        <f>IFERROR(INDEX(PP_Grid[#Data],$DD50,13),0)</f>
        <v/>
      </c>
      <c r="P50">
        <f>IFERROR(INDEX(PP_Grid[#Data],$DD50,14),0)</f>
        <v/>
      </c>
      <c r="Q50">
        <f>IFERROR(INDEX(PP_Grid[#Data],$DD50,15),0)</f>
        <v/>
      </c>
      <c r="R50">
        <f>IFERROR(INDEX(PP_Grid[#Data],$DD50,16),0)</f>
        <v/>
      </c>
      <c r="S50">
        <f>IFERROR(INDEX(PP_Grid[#Data],$DD50,17),0)</f>
        <v/>
      </c>
      <c r="T50">
        <f>IFERROR(INDEX(PP_Grid[#Data],$DD50,18),0)</f>
        <v/>
      </c>
      <c r="U50">
        <f>IFERROR(INDEX(PP_Grid[#Data],$DD50,19),0)</f>
        <v/>
      </c>
      <c r="V50">
        <f>IFERROR(INDEX(PP_Grid[#Data],$DD50,20),0)</f>
        <v/>
      </c>
      <c r="W50">
        <f>IFERROR(INDEX(PP_Grid[#Data],$DD50,21),0)</f>
        <v/>
      </c>
      <c r="X50">
        <f>IFERROR(INDEX(PP_Grid[#Data],$DD50,22),0)</f>
        <v/>
      </c>
      <c r="Y50">
        <f>IFERROR(INDEX(PP_Grid[#Data],$DD50,23),0)</f>
        <v/>
      </c>
      <c r="Z50">
        <f>IFERROR(INDEX(PP_Grid[#Data],$DD50,24),0)</f>
        <v/>
      </c>
      <c r="AA50">
        <f>IFERROR(INDEX(PP_Grid[#Data],$DD50,25),0)</f>
        <v/>
      </c>
      <c r="AB50">
        <f>IFERROR(INDEX(PP_Grid[#Data],$DD50,26),0)</f>
        <v/>
      </c>
      <c r="AC50">
        <f>IFERROR(INDEX(PP_Grid[#Data],$DD50,27),0)</f>
        <v/>
      </c>
      <c r="AD50">
        <f>IFERROR(INDEX(PP_Grid[#Data],$DD50,28),0)</f>
        <v/>
      </c>
      <c r="AE50">
        <f>IFERROR(INDEX(PP_Grid[#Data],$DD50,29),0)</f>
        <v/>
      </c>
      <c r="AF50">
        <f>IFERROR(INDEX(PP_Grid[#Data],$DD50,30),0)</f>
        <v/>
      </c>
      <c r="AG50">
        <f>IFERROR(INDEX(PP_Grid[#Data],$DD50,31),0)</f>
        <v/>
      </c>
      <c r="AH50">
        <f>IFERROR(INDEX(PP_Grid[#Data],$DD50,32),0)</f>
        <v/>
      </c>
      <c r="AI50">
        <f>IFERROR(INDEX(PP_Grid[#Data],$DD50,33),0)</f>
        <v/>
      </c>
      <c r="AJ50">
        <f>IFERROR(INDEX(PP_Grid[#Data],$DD50,34),0)</f>
        <v/>
      </c>
      <c r="AK50">
        <f>IFERROR(INDEX(PP_Grid[#Data],$DD50,35),0)</f>
        <v/>
      </c>
      <c r="AL50">
        <f>IFERROR(INDEX(PP_Grid[#Data],$DD50,36),0)</f>
        <v/>
      </c>
      <c r="AM50">
        <f>IFERROR(INDEX(PP_Grid[#Data],$DD50,37),0)</f>
        <v/>
      </c>
      <c r="AN50">
        <f>IFERROR(INDEX(PP_Grid[#Data],$DD50,38),0)</f>
        <v/>
      </c>
      <c r="AO50">
        <f>IFERROR(INDEX(PP_Grid[#Data],$DD50,39),0)</f>
        <v/>
      </c>
      <c r="AP50">
        <f>IFERROR(INDEX(PP_Grid[#Data],$DD50,40),0)</f>
        <v/>
      </c>
      <c r="AQ50">
        <f>IFERROR(INDEX(PP_Grid[#Data],$DD50,41),0)</f>
        <v/>
      </c>
      <c r="AR50">
        <f>IFERROR(INDEX(PP_Grid[#Data],$DD50,42),0)</f>
        <v/>
      </c>
      <c r="AS50">
        <f>IFERROR(INDEX(PP_Grid[#Data],$DD50,43),0)</f>
        <v/>
      </c>
      <c r="AT50">
        <f>IFERROR(INDEX(PP_Grid[#Data],$DD50,44),0)</f>
        <v/>
      </c>
      <c r="AU50">
        <f>IFERROR(INDEX(PP_Grid[#Data],$DD50,45),0)</f>
        <v/>
      </c>
      <c r="AV50">
        <f>IFERROR(INDEX(PP_Grid[#Data],$DD50,46),0)</f>
        <v/>
      </c>
      <c r="AW50">
        <f>IFERROR(INDEX(PP_Grid[#Data],$DD50,47),0)</f>
        <v/>
      </c>
      <c r="AX50">
        <f>IFERROR(INDEX(PP_Grid[#Data],$DD50,48),0)</f>
        <v/>
      </c>
      <c r="AY50">
        <f>IFERROR(INDEX(PP_Grid[#Data],$DD50,49),0)</f>
        <v/>
      </c>
      <c r="AZ50">
        <f>IFERROR(INDEX(PP_Grid[#Data],$DD50,50),0)</f>
        <v/>
      </c>
      <c r="BA50">
        <f>IFERROR(INDEX(PP_Grid[#Data],$DD50,51),0)</f>
        <v/>
      </c>
      <c r="BB50">
        <f>IFERROR(INDEX(PP_Grid[#Data],$DD50,52),0)</f>
        <v/>
      </c>
      <c r="BC50">
        <f>IFERROR(INDEX(PP_Grid[#Data],$DD50,53),0)</f>
        <v/>
      </c>
      <c r="BD50">
        <f>IFERROR(INDEX(PP_Grid[#Data],$DD50,54),0)</f>
        <v/>
      </c>
      <c r="BE50">
        <f>IFERROR(INDEX(PP_Grid[#Data],$DD50,55),0)</f>
        <v/>
      </c>
      <c r="BF50">
        <f>IFERROR(INDEX(PP_Grid[#Data],$DD50,56),0)</f>
        <v/>
      </c>
      <c r="BG50">
        <f>IFERROR(INDEX(PP_Grid[#Data],$DD50,57),0)</f>
        <v/>
      </c>
      <c r="BH50">
        <f>IFERROR(INDEX(PP_Grid[#Data],$DD50,58),0)</f>
        <v/>
      </c>
      <c r="BI50">
        <f>IFERROR(INDEX(PP_Grid[#Data],$DD50,59),0)</f>
        <v/>
      </c>
      <c r="BJ50">
        <f>IFERROR(INDEX(PP_Grid[#Data],$DD50,60),0)</f>
        <v/>
      </c>
      <c r="BK50">
        <f>IFERROR(INDEX(PP_Grid[#Data],$DD50,61),0)</f>
        <v/>
      </c>
      <c r="BL50">
        <f>IFERROR(INDEX(PP_Grid[#Data],$DD50,62),0)</f>
        <v/>
      </c>
      <c r="BM50">
        <f>IFERROR(INDEX(PP_Grid[#Data],$DD50,63),0)</f>
        <v/>
      </c>
      <c r="BN50">
        <f>IFERROR(INDEX(PP_Grid[#Data],$DD50,64),0)</f>
        <v/>
      </c>
      <c r="BO50">
        <f>IFERROR(INDEX(PP_Grid[#Data],$DD50,65),0)</f>
        <v/>
      </c>
      <c r="BP50">
        <f>IFERROR(INDEX(PP_Grid[#Data],$DD50,66),0)</f>
        <v/>
      </c>
      <c r="BQ50">
        <f>IFERROR(INDEX(PP_Grid[#Data],$DD50,67),0)</f>
        <v/>
      </c>
      <c r="BR50">
        <f>IFERROR(INDEX(PP_Grid[#Data],$DD50,68),0)</f>
        <v/>
      </c>
      <c r="BS50">
        <f>IFERROR(INDEX(PP_Grid[#Data],$DD50,69),0)</f>
        <v/>
      </c>
      <c r="BT50">
        <f>IFERROR(INDEX(PP_Grid[#Data],$DD50,70),0)</f>
        <v/>
      </c>
      <c r="BU50">
        <f>IFERROR(INDEX(PP_Grid[#Data],$DD50,71),0)</f>
        <v/>
      </c>
      <c r="BV50">
        <f>IFERROR(INDEX(PP_Grid[#Data],$DD50,72),0)</f>
        <v/>
      </c>
      <c r="BW50">
        <f>IFERROR(INDEX(PP_Grid[#Data],$DD50,73),0)</f>
        <v/>
      </c>
      <c r="BX50">
        <f>IFERROR(INDEX(PP_Grid[#Data],$DD50,74),0)</f>
        <v/>
      </c>
      <c r="BY50">
        <f>IFERROR(INDEX(PP_Grid[#Data],$DD50,75),0)</f>
        <v/>
      </c>
      <c r="BZ50">
        <f>IFERROR(INDEX(PP_Grid[#Data],$DD50,76),0)</f>
        <v/>
      </c>
      <c r="CA50">
        <f>IFERROR(INDEX(PP_Grid[#Data],$DD50,77),0)</f>
        <v/>
      </c>
      <c r="CB50">
        <f>IFERROR(INDEX(PP_Grid[#Data],$DD50,78),0)</f>
        <v/>
      </c>
      <c r="CC50">
        <f>IFERROR(INDEX(PP_Grid[#Data],$DD50,79),0)</f>
        <v/>
      </c>
      <c r="CD50">
        <f>IFERROR(INDEX(PP_Grid[#Data],$DD50,80),0)</f>
        <v/>
      </c>
      <c r="CE50">
        <f>IFERROR(INDEX(PP_Grid[#Data],$DD50,81),0)</f>
        <v/>
      </c>
      <c r="CF50">
        <f>IFERROR(INDEX(PP_Grid[#Data],$DD50,82),0)</f>
        <v/>
      </c>
      <c r="CG50">
        <f>IFERROR(INDEX(PP_Grid[#Data],$DD50,83),0)</f>
        <v/>
      </c>
      <c r="CH50">
        <f>IFERROR(INDEX(PP_Grid[#Data],$DD50,84),0)</f>
        <v/>
      </c>
      <c r="CI50">
        <f>IFERROR(INDEX(PP_Grid[#Data],$DD50,85),0)</f>
        <v/>
      </c>
      <c r="CJ50">
        <f>IFERROR(INDEX(PP_Grid[#Data],$DD50,86),0)</f>
        <v/>
      </c>
      <c r="CK50">
        <f>IFERROR(INDEX(PP_Grid[#Data],$DD50,87),0)</f>
        <v/>
      </c>
      <c r="CL50">
        <f>IFERROR(INDEX(PP_Grid[#Data],$DD50,88),0)</f>
        <v/>
      </c>
      <c r="CM50">
        <f>IFERROR(INDEX(PP_Grid[#Data],$DD50,89),0)</f>
        <v/>
      </c>
      <c r="CN50">
        <f>IFERROR(INDEX(PP_Grid[#Data],$DD50,90),0)</f>
        <v/>
      </c>
      <c r="CO50">
        <f>IFERROR(INDEX(PP_Grid[#Data],$DD50,91),0)</f>
        <v/>
      </c>
      <c r="CP50">
        <f>IFERROR(INDEX(PP_Grid[#Data],$DD50,92),0)</f>
        <v/>
      </c>
      <c r="CQ50">
        <f>IFERROR(INDEX(PP_Grid[#Data],$DD50,93),0)</f>
        <v/>
      </c>
      <c r="CR50">
        <f>IFERROR(INDEX(PP_Grid[#Data],$DD50,94),0)</f>
        <v/>
      </c>
      <c r="CS50">
        <f>IFERROR(INDEX(PP_Grid[#Data],$DD50,95),0)</f>
        <v/>
      </c>
      <c r="CT50">
        <f>IFERROR(INDEX(PP_Grid[#Data],$DD50,96),0)</f>
        <v/>
      </c>
      <c r="CU50">
        <f>IFERROR(INDEX(PP_Grid[#Data],$DD50,97),0)</f>
        <v/>
      </c>
      <c r="CV50">
        <f>IFERROR(INDEX(PP_Grid[#Data],$DD50,98),0)</f>
        <v/>
      </c>
      <c r="CW50">
        <f>IFERROR(INDEX(PP_Grid[#Data],$DD50,99),0)</f>
        <v/>
      </c>
      <c r="CX50">
        <f>IFERROR(INDEX(PP_Grid[#Data],$DD50,100),0)</f>
        <v/>
      </c>
      <c r="CY50">
        <f>IFERROR(INDEX(PP_Grid[#Data],$DD50,101),0)</f>
        <v/>
      </c>
      <c r="CZ50">
        <f>IFERROR(INDEX(PP_Grid[#Data],$DD50,102),0)</f>
        <v/>
      </c>
      <c r="DA50">
        <f>IFERROR(INDEX(PP_Grid[#Data],$DD50,103),0)</f>
        <v/>
      </c>
      <c r="DB50">
        <f>IFERROR(INDEX(PP_Grid[#Data],$DD50,104),0)</f>
        <v/>
      </c>
      <c r="DC50">
        <f>IFERROR(INDEX(PP_Grid[#Data],$DD50,105),0)</f>
        <v/>
      </c>
      <c r="DD50" s="7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SUMIFS(M_BOM[RM_Qty_Per_Batch],M_BOM[Intermediate],$B50,M_BOM[Part Name],$A45)</f>
        <v/>
      </c>
      <c r="D51">
        <f>$C51*D50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</row>
    <row r="52">
      <c r="B52" t="inlineStr">
        <is>
          <t>TSP-069</t>
        </is>
      </c>
      <c r="C52" t="inlineStr">
        <is>
          <t>No. of batches</t>
        </is>
      </c>
      <c r="D52">
        <f>IFERROR(INDEX(PP_Grid[#Data],$DD52,2),0)</f>
        <v/>
      </c>
      <c r="E52">
        <f>IFERROR(INDEX(PP_Grid[#Data],$DD52,3),0)</f>
        <v/>
      </c>
      <c r="F52">
        <f>IFERROR(INDEX(PP_Grid[#Data],$DD52,4),0)</f>
        <v/>
      </c>
      <c r="G52">
        <f>IFERROR(INDEX(PP_Grid[#Data],$DD52,5),0)</f>
        <v/>
      </c>
      <c r="H52">
        <f>IFERROR(INDEX(PP_Grid[#Data],$DD52,6),0)</f>
        <v/>
      </c>
      <c r="I52">
        <f>IFERROR(INDEX(PP_Grid[#Data],$DD52,7),0)</f>
        <v/>
      </c>
      <c r="J52">
        <f>IFERROR(INDEX(PP_Grid[#Data],$DD52,8),0)</f>
        <v/>
      </c>
      <c r="K52">
        <f>IFERROR(INDEX(PP_Grid[#Data],$DD52,9),0)</f>
        <v/>
      </c>
      <c r="L52">
        <f>IFERROR(INDEX(PP_Grid[#Data],$DD52,10),0)</f>
        <v/>
      </c>
      <c r="M52">
        <f>IFERROR(INDEX(PP_Grid[#Data],$DD52,11),0)</f>
        <v/>
      </c>
      <c r="N52">
        <f>IFERROR(INDEX(PP_Grid[#Data],$DD52,12),0)</f>
        <v/>
      </c>
      <c r="O52">
        <f>IFERROR(INDEX(PP_Grid[#Data],$DD52,13),0)</f>
        <v/>
      </c>
      <c r="P52">
        <f>IFERROR(INDEX(PP_Grid[#Data],$DD52,14),0)</f>
        <v/>
      </c>
      <c r="Q52">
        <f>IFERROR(INDEX(PP_Grid[#Data],$DD52,15),0)</f>
        <v/>
      </c>
      <c r="R52">
        <f>IFERROR(INDEX(PP_Grid[#Data],$DD52,16),0)</f>
        <v/>
      </c>
      <c r="S52">
        <f>IFERROR(INDEX(PP_Grid[#Data],$DD52,17),0)</f>
        <v/>
      </c>
      <c r="T52">
        <f>IFERROR(INDEX(PP_Grid[#Data],$DD52,18),0)</f>
        <v/>
      </c>
      <c r="U52">
        <f>IFERROR(INDEX(PP_Grid[#Data],$DD52,19),0)</f>
        <v/>
      </c>
      <c r="V52">
        <f>IFERROR(INDEX(PP_Grid[#Data],$DD52,20),0)</f>
        <v/>
      </c>
      <c r="W52">
        <f>IFERROR(INDEX(PP_Grid[#Data],$DD52,21),0)</f>
        <v/>
      </c>
      <c r="X52">
        <f>IFERROR(INDEX(PP_Grid[#Data],$DD52,22),0)</f>
        <v/>
      </c>
      <c r="Y52">
        <f>IFERROR(INDEX(PP_Grid[#Data],$DD52,23),0)</f>
        <v/>
      </c>
      <c r="Z52">
        <f>IFERROR(INDEX(PP_Grid[#Data],$DD52,24),0)</f>
        <v/>
      </c>
      <c r="AA52">
        <f>IFERROR(INDEX(PP_Grid[#Data],$DD52,25),0)</f>
        <v/>
      </c>
      <c r="AB52">
        <f>IFERROR(INDEX(PP_Grid[#Data],$DD52,26),0)</f>
        <v/>
      </c>
      <c r="AC52">
        <f>IFERROR(INDEX(PP_Grid[#Data],$DD52,27),0)</f>
        <v/>
      </c>
      <c r="AD52">
        <f>IFERROR(INDEX(PP_Grid[#Data],$DD52,28),0)</f>
        <v/>
      </c>
      <c r="AE52">
        <f>IFERROR(INDEX(PP_Grid[#Data],$DD52,29),0)</f>
        <v/>
      </c>
      <c r="AF52">
        <f>IFERROR(INDEX(PP_Grid[#Data],$DD52,30),0)</f>
        <v/>
      </c>
      <c r="AG52">
        <f>IFERROR(INDEX(PP_Grid[#Data],$DD52,31),0)</f>
        <v/>
      </c>
      <c r="AH52">
        <f>IFERROR(INDEX(PP_Grid[#Data],$DD52,32),0)</f>
        <v/>
      </c>
      <c r="AI52">
        <f>IFERROR(INDEX(PP_Grid[#Data],$DD52,33),0)</f>
        <v/>
      </c>
      <c r="AJ52">
        <f>IFERROR(INDEX(PP_Grid[#Data],$DD52,34),0)</f>
        <v/>
      </c>
      <c r="AK52">
        <f>IFERROR(INDEX(PP_Grid[#Data],$DD52,35),0)</f>
        <v/>
      </c>
      <c r="AL52">
        <f>IFERROR(INDEX(PP_Grid[#Data],$DD52,36),0)</f>
        <v/>
      </c>
      <c r="AM52">
        <f>IFERROR(INDEX(PP_Grid[#Data],$DD52,37),0)</f>
        <v/>
      </c>
      <c r="AN52">
        <f>IFERROR(INDEX(PP_Grid[#Data],$DD52,38),0)</f>
        <v/>
      </c>
      <c r="AO52">
        <f>IFERROR(INDEX(PP_Grid[#Data],$DD52,39),0)</f>
        <v/>
      </c>
      <c r="AP52">
        <f>IFERROR(INDEX(PP_Grid[#Data],$DD52,40),0)</f>
        <v/>
      </c>
      <c r="AQ52">
        <f>IFERROR(INDEX(PP_Grid[#Data],$DD52,41),0)</f>
        <v/>
      </c>
      <c r="AR52">
        <f>IFERROR(INDEX(PP_Grid[#Data],$DD52,42),0)</f>
        <v/>
      </c>
      <c r="AS52">
        <f>IFERROR(INDEX(PP_Grid[#Data],$DD52,43),0)</f>
        <v/>
      </c>
      <c r="AT52">
        <f>IFERROR(INDEX(PP_Grid[#Data],$DD52,44),0)</f>
        <v/>
      </c>
      <c r="AU52">
        <f>IFERROR(INDEX(PP_Grid[#Data],$DD52,45),0)</f>
        <v/>
      </c>
      <c r="AV52">
        <f>IFERROR(INDEX(PP_Grid[#Data],$DD52,46),0)</f>
        <v/>
      </c>
      <c r="AW52">
        <f>IFERROR(INDEX(PP_Grid[#Data],$DD52,47),0)</f>
        <v/>
      </c>
      <c r="AX52">
        <f>IFERROR(INDEX(PP_Grid[#Data],$DD52,48),0)</f>
        <v/>
      </c>
      <c r="AY52">
        <f>IFERROR(INDEX(PP_Grid[#Data],$DD52,49),0)</f>
        <v/>
      </c>
      <c r="AZ52">
        <f>IFERROR(INDEX(PP_Grid[#Data],$DD52,50),0)</f>
        <v/>
      </c>
      <c r="BA52">
        <f>IFERROR(INDEX(PP_Grid[#Data],$DD52,51),0)</f>
        <v/>
      </c>
      <c r="BB52">
        <f>IFERROR(INDEX(PP_Grid[#Data],$DD52,52),0)</f>
        <v/>
      </c>
      <c r="BC52">
        <f>IFERROR(INDEX(PP_Grid[#Data],$DD52,53),0)</f>
        <v/>
      </c>
      <c r="BD52">
        <f>IFERROR(INDEX(PP_Grid[#Data],$DD52,54),0)</f>
        <v/>
      </c>
      <c r="BE52">
        <f>IFERROR(INDEX(PP_Grid[#Data],$DD52,55),0)</f>
        <v/>
      </c>
      <c r="BF52">
        <f>IFERROR(INDEX(PP_Grid[#Data],$DD52,56),0)</f>
        <v/>
      </c>
      <c r="BG52">
        <f>IFERROR(INDEX(PP_Grid[#Data],$DD52,57),0)</f>
        <v/>
      </c>
      <c r="BH52">
        <f>IFERROR(INDEX(PP_Grid[#Data],$DD52,58),0)</f>
        <v/>
      </c>
      <c r="BI52">
        <f>IFERROR(INDEX(PP_Grid[#Data],$DD52,59),0)</f>
        <v/>
      </c>
      <c r="BJ52">
        <f>IFERROR(INDEX(PP_Grid[#Data],$DD52,60),0)</f>
        <v/>
      </c>
      <c r="BK52">
        <f>IFERROR(INDEX(PP_Grid[#Data],$DD52,61),0)</f>
        <v/>
      </c>
      <c r="BL52">
        <f>IFERROR(INDEX(PP_Grid[#Data],$DD52,62),0)</f>
        <v/>
      </c>
      <c r="BM52">
        <f>IFERROR(INDEX(PP_Grid[#Data],$DD52,63),0)</f>
        <v/>
      </c>
      <c r="BN52">
        <f>IFERROR(INDEX(PP_Grid[#Data],$DD52,64),0)</f>
        <v/>
      </c>
      <c r="BO52">
        <f>IFERROR(INDEX(PP_Grid[#Data],$DD52,65),0)</f>
        <v/>
      </c>
      <c r="BP52">
        <f>IFERROR(INDEX(PP_Grid[#Data],$DD52,66),0)</f>
        <v/>
      </c>
      <c r="BQ52">
        <f>IFERROR(INDEX(PP_Grid[#Data],$DD52,67),0)</f>
        <v/>
      </c>
      <c r="BR52">
        <f>IFERROR(INDEX(PP_Grid[#Data],$DD52,68),0)</f>
        <v/>
      </c>
      <c r="BS52">
        <f>IFERROR(INDEX(PP_Grid[#Data],$DD52,69),0)</f>
        <v/>
      </c>
      <c r="BT52">
        <f>IFERROR(INDEX(PP_Grid[#Data],$DD52,70),0)</f>
        <v/>
      </c>
      <c r="BU52">
        <f>IFERROR(INDEX(PP_Grid[#Data],$DD52,71),0)</f>
        <v/>
      </c>
      <c r="BV52">
        <f>IFERROR(INDEX(PP_Grid[#Data],$DD52,72),0)</f>
        <v/>
      </c>
      <c r="BW52">
        <f>IFERROR(INDEX(PP_Grid[#Data],$DD52,73),0)</f>
        <v/>
      </c>
      <c r="BX52">
        <f>IFERROR(INDEX(PP_Grid[#Data],$DD52,74),0)</f>
        <v/>
      </c>
      <c r="BY52">
        <f>IFERROR(INDEX(PP_Grid[#Data],$DD52,75),0)</f>
        <v/>
      </c>
      <c r="BZ52">
        <f>IFERROR(INDEX(PP_Grid[#Data],$DD52,76),0)</f>
        <v/>
      </c>
      <c r="CA52">
        <f>IFERROR(INDEX(PP_Grid[#Data],$DD52,77),0)</f>
        <v/>
      </c>
      <c r="CB52">
        <f>IFERROR(INDEX(PP_Grid[#Data],$DD52,78),0)</f>
        <v/>
      </c>
      <c r="CC52">
        <f>IFERROR(INDEX(PP_Grid[#Data],$DD52,79),0)</f>
        <v/>
      </c>
      <c r="CD52">
        <f>IFERROR(INDEX(PP_Grid[#Data],$DD52,80),0)</f>
        <v/>
      </c>
      <c r="CE52">
        <f>IFERROR(INDEX(PP_Grid[#Data],$DD52,81),0)</f>
        <v/>
      </c>
      <c r="CF52">
        <f>IFERROR(INDEX(PP_Grid[#Data],$DD52,82),0)</f>
        <v/>
      </c>
      <c r="CG52">
        <f>IFERROR(INDEX(PP_Grid[#Data],$DD52,83),0)</f>
        <v/>
      </c>
      <c r="CH52">
        <f>IFERROR(INDEX(PP_Grid[#Data],$DD52,84),0)</f>
        <v/>
      </c>
      <c r="CI52">
        <f>IFERROR(INDEX(PP_Grid[#Data],$DD52,85),0)</f>
        <v/>
      </c>
      <c r="CJ52">
        <f>IFERROR(INDEX(PP_Grid[#Data],$DD52,86),0)</f>
        <v/>
      </c>
      <c r="CK52">
        <f>IFERROR(INDEX(PP_Grid[#Data],$DD52,87),0)</f>
        <v/>
      </c>
      <c r="CL52">
        <f>IFERROR(INDEX(PP_Grid[#Data],$DD52,88),0)</f>
        <v/>
      </c>
      <c r="CM52">
        <f>IFERROR(INDEX(PP_Grid[#Data],$DD52,89),0)</f>
        <v/>
      </c>
      <c r="CN52">
        <f>IFERROR(INDEX(PP_Grid[#Data],$DD52,90),0)</f>
        <v/>
      </c>
      <c r="CO52">
        <f>IFERROR(INDEX(PP_Grid[#Data],$DD52,91),0)</f>
        <v/>
      </c>
      <c r="CP52">
        <f>IFERROR(INDEX(PP_Grid[#Data],$DD52,92),0)</f>
        <v/>
      </c>
      <c r="CQ52">
        <f>IFERROR(INDEX(PP_Grid[#Data],$DD52,93),0)</f>
        <v/>
      </c>
      <c r="CR52">
        <f>IFERROR(INDEX(PP_Grid[#Data],$DD52,94),0)</f>
        <v/>
      </c>
      <c r="CS52">
        <f>IFERROR(INDEX(PP_Grid[#Data],$DD52,95),0)</f>
        <v/>
      </c>
      <c r="CT52">
        <f>IFERROR(INDEX(PP_Grid[#Data],$DD52,96),0)</f>
        <v/>
      </c>
      <c r="CU52">
        <f>IFERROR(INDEX(PP_Grid[#Data],$DD52,97),0)</f>
        <v/>
      </c>
      <c r="CV52">
        <f>IFERROR(INDEX(PP_Grid[#Data],$DD52,98),0)</f>
        <v/>
      </c>
      <c r="CW52">
        <f>IFERROR(INDEX(PP_Grid[#Data],$DD52,99),0)</f>
        <v/>
      </c>
      <c r="CX52">
        <f>IFERROR(INDEX(PP_Grid[#Data],$DD52,100),0)</f>
        <v/>
      </c>
      <c r="CY52">
        <f>IFERROR(INDEX(PP_Grid[#Data],$DD52,101),0)</f>
        <v/>
      </c>
      <c r="CZ52">
        <f>IFERROR(INDEX(PP_Grid[#Data],$DD52,102),0)</f>
        <v/>
      </c>
      <c r="DA52">
        <f>IFERROR(INDEX(PP_Grid[#Data],$DD52,103),0)</f>
        <v/>
      </c>
      <c r="DB52">
        <f>IFERROR(INDEX(PP_Grid[#Data],$DD52,104),0)</f>
        <v/>
      </c>
      <c r="DC52">
        <f>IFERROR(INDEX(PP_Grid[#Data],$DD52,105),0)</f>
        <v/>
      </c>
      <c r="DD52" s="7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SUMIFS(M_BOM[RM_Qty_Per_Batch],M_BOM[Intermediate],$B52,M_BOM[Part Name],$A45)</f>
        <v/>
      </c>
      <c r="D53">
        <f>$C53*D52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</row>
    <row r="54">
      <c r="B54" t="inlineStr">
        <is>
          <t>TSP-077</t>
        </is>
      </c>
      <c r="C54" t="inlineStr">
        <is>
          <t>No. of batches</t>
        </is>
      </c>
      <c r="D54">
        <f>IFERROR(INDEX(PP_Grid[#Data],$DD54,2),0)</f>
        <v/>
      </c>
      <c r="E54">
        <f>IFERROR(INDEX(PP_Grid[#Data],$DD54,3),0)</f>
        <v/>
      </c>
      <c r="F54">
        <f>IFERROR(INDEX(PP_Grid[#Data],$DD54,4),0)</f>
        <v/>
      </c>
      <c r="G54">
        <f>IFERROR(INDEX(PP_Grid[#Data],$DD54,5),0)</f>
        <v/>
      </c>
      <c r="H54">
        <f>IFERROR(INDEX(PP_Grid[#Data],$DD54,6),0)</f>
        <v/>
      </c>
      <c r="I54">
        <f>IFERROR(INDEX(PP_Grid[#Data],$DD54,7),0)</f>
        <v/>
      </c>
      <c r="J54">
        <f>IFERROR(INDEX(PP_Grid[#Data],$DD54,8),0)</f>
        <v/>
      </c>
      <c r="K54">
        <f>IFERROR(INDEX(PP_Grid[#Data],$DD54,9),0)</f>
        <v/>
      </c>
      <c r="L54">
        <f>IFERROR(INDEX(PP_Grid[#Data],$DD54,10),0)</f>
        <v/>
      </c>
      <c r="M54">
        <f>IFERROR(INDEX(PP_Grid[#Data],$DD54,11),0)</f>
        <v/>
      </c>
      <c r="N54">
        <f>IFERROR(INDEX(PP_Grid[#Data],$DD54,12),0)</f>
        <v/>
      </c>
      <c r="O54">
        <f>IFERROR(INDEX(PP_Grid[#Data],$DD54,13),0)</f>
        <v/>
      </c>
      <c r="P54">
        <f>IFERROR(INDEX(PP_Grid[#Data],$DD54,14),0)</f>
        <v/>
      </c>
      <c r="Q54">
        <f>IFERROR(INDEX(PP_Grid[#Data],$DD54,15),0)</f>
        <v/>
      </c>
      <c r="R54">
        <f>IFERROR(INDEX(PP_Grid[#Data],$DD54,16),0)</f>
        <v/>
      </c>
      <c r="S54">
        <f>IFERROR(INDEX(PP_Grid[#Data],$DD54,17),0)</f>
        <v/>
      </c>
      <c r="T54">
        <f>IFERROR(INDEX(PP_Grid[#Data],$DD54,18),0)</f>
        <v/>
      </c>
      <c r="U54">
        <f>IFERROR(INDEX(PP_Grid[#Data],$DD54,19),0)</f>
        <v/>
      </c>
      <c r="V54">
        <f>IFERROR(INDEX(PP_Grid[#Data],$DD54,20),0)</f>
        <v/>
      </c>
      <c r="W54">
        <f>IFERROR(INDEX(PP_Grid[#Data],$DD54,21),0)</f>
        <v/>
      </c>
      <c r="X54">
        <f>IFERROR(INDEX(PP_Grid[#Data],$DD54,22),0)</f>
        <v/>
      </c>
      <c r="Y54">
        <f>IFERROR(INDEX(PP_Grid[#Data],$DD54,23),0)</f>
        <v/>
      </c>
      <c r="Z54">
        <f>IFERROR(INDEX(PP_Grid[#Data],$DD54,24),0)</f>
        <v/>
      </c>
      <c r="AA54">
        <f>IFERROR(INDEX(PP_Grid[#Data],$DD54,25),0)</f>
        <v/>
      </c>
      <c r="AB54">
        <f>IFERROR(INDEX(PP_Grid[#Data],$DD54,26),0)</f>
        <v/>
      </c>
      <c r="AC54">
        <f>IFERROR(INDEX(PP_Grid[#Data],$DD54,27),0)</f>
        <v/>
      </c>
      <c r="AD54">
        <f>IFERROR(INDEX(PP_Grid[#Data],$DD54,28),0)</f>
        <v/>
      </c>
      <c r="AE54">
        <f>IFERROR(INDEX(PP_Grid[#Data],$DD54,29),0)</f>
        <v/>
      </c>
      <c r="AF54">
        <f>IFERROR(INDEX(PP_Grid[#Data],$DD54,30),0)</f>
        <v/>
      </c>
      <c r="AG54">
        <f>IFERROR(INDEX(PP_Grid[#Data],$DD54,31),0)</f>
        <v/>
      </c>
      <c r="AH54">
        <f>IFERROR(INDEX(PP_Grid[#Data],$DD54,32),0)</f>
        <v/>
      </c>
      <c r="AI54">
        <f>IFERROR(INDEX(PP_Grid[#Data],$DD54,33),0)</f>
        <v/>
      </c>
      <c r="AJ54">
        <f>IFERROR(INDEX(PP_Grid[#Data],$DD54,34),0)</f>
        <v/>
      </c>
      <c r="AK54">
        <f>IFERROR(INDEX(PP_Grid[#Data],$DD54,35),0)</f>
        <v/>
      </c>
      <c r="AL54">
        <f>IFERROR(INDEX(PP_Grid[#Data],$DD54,36),0)</f>
        <v/>
      </c>
      <c r="AM54">
        <f>IFERROR(INDEX(PP_Grid[#Data],$DD54,37),0)</f>
        <v/>
      </c>
      <c r="AN54">
        <f>IFERROR(INDEX(PP_Grid[#Data],$DD54,38),0)</f>
        <v/>
      </c>
      <c r="AO54">
        <f>IFERROR(INDEX(PP_Grid[#Data],$DD54,39),0)</f>
        <v/>
      </c>
      <c r="AP54">
        <f>IFERROR(INDEX(PP_Grid[#Data],$DD54,40),0)</f>
        <v/>
      </c>
      <c r="AQ54">
        <f>IFERROR(INDEX(PP_Grid[#Data],$DD54,41),0)</f>
        <v/>
      </c>
      <c r="AR54">
        <f>IFERROR(INDEX(PP_Grid[#Data],$DD54,42),0)</f>
        <v/>
      </c>
      <c r="AS54">
        <f>IFERROR(INDEX(PP_Grid[#Data],$DD54,43),0)</f>
        <v/>
      </c>
      <c r="AT54">
        <f>IFERROR(INDEX(PP_Grid[#Data],$DD54,44),0)</f>
        <v/>
      </c>
      <c r="AU54">
        <f>IFERROR(INDEX(PP_Grid[#Data],$DD54,45),0)</f>
        <v/>
      </c>
      <c r="AV54">
        <f>IFERROR(INDEX(PP_Grid[#Data],$DD54,46),0)</f>
        <v/>
      </c>
      <c r="AW54">
        <f>IFERROR(INDEX(PP_Grid[#Data],$DD54,47),0)</f>
        <v/>
      </c>
      <c r="AX54">
        <f>IFERROR(INDEX(PP_Grid[#Data],$DD54,48),0)</f>
        <v/>
      </c>
      <c r="AY54">
        <f>IFERROR(INDEX(PP_Grid[#Data],$DD54,49),0)</f>
        <v/>
      </c>
      <c r="AZ54">
        <f>IFERROR(INDEX(PP_Grid[#Data],$DD54,50),0)</f>
        <v/>
      </c>
      <c r="BA54">
        <f>IFERROR(INDEX(PP_Grid[#Data],$DD54,51),0)</f>
        <v/>
      </c>
      <c r="BB54">
        <f>IFERROR(INDEX(PP_Grid[#Data],$DD54,52),0)</f>
        <v/>
      </c>
      <c r="BC54">
        <f>IFERROR(INDEX(PP_Grid[#Data],$DD54,53),0)</f>
        <v/>
      </c>
      <c r="BD54">
        <f>IFERROR(INDEX(PP_Grid[#Data],$DD54,54),0)</f>
        <v/>
      </c>
      <c r="BE54">
        <f>IFERROR(INDEX(PP_Grid[#Data],$DD54,55),0)</f>
        <v/>
      </c>
      <c r="BF54">
        <f>IFERROR(INDEX(PP_Grid[#Data],$DD54,56),0)</f>
        <v/>
      </c>
      <c r="BG54">
        <f>IFERROR(INDEX(PP_Grid[#Data],$DD54,57),0)</f>
        <v/>
      </c>
      <c r="BH54">
        <f>IFERROR(INDEX(PP_Grid[#Data],$DD54,58),0)</f>
        <v/>
      </c>
      <c r="BI54">
        <f>IFERROR(INDEX(PP_Grid[#Data],$DD54,59),0)</f>
        <v/>
      </c>
      <c r="BJ54">
        <f>IFERROR(INDEX(PP_Grid[#Data],$DD54,60),0)</f>
        <v/>
      </c>
      <c r="BK54">
        <f>IFERROR(INDEX(PP_Grid[#Data],$DD54,61),0)</f>
        <v/>
      </c>
      <c r="BL54">
        <f>IFERROR(INDEX(PP_Grid[#Data],$DD54,62),0)</f>
        <v/>
      </c>
      <c r="BM54">
        <f>IFERROR(INDEX(PP_Grid[#Data],$DD54,63),0)</f>
        <v/>
      </c>
      <c r="BN54">
        <f>IFERROR(INDEX(PP_Grid[#Data],$DD54,64),0)</f>
        <v/>
      </c>
      <c r="BO54">
        <f>IFERROR(INDEX(PP_Grid[#Data],$DD54,65),0)</f>
        <v/>
      </c>
      <c r="BP54">
        <f>IFERROR(INDEX(PP_Grid[#Data],$DD54,66),0)</f>
        <v/>
      </c>
      <c r="BQ54">
        <f>IFERROR(INDEX(PP_Grid[#Data],$DD54,67),0)</f>
        <v/>
      </c>
      <c r="BR54">
        <f>IFERROR(INDEX(PP_Grid[#Data],$DD54,68),0)</f>
        <v/>
      </c>
      <c r="BS54">
        <f>IFERROR(INDEX(PP_Grid[#Data],$DD54,69),0)</f>
        <v/>
      </c>
      <c r="BT54">
        <f>IFERROR(INDEX(PP_Grid[#Data],$DD54,70),0)</f>
        <v/>
      </c>
      <c r="BU54">
        <f>IFERROR(INDEX(PP_Grid[#Data],$DD54,71),0)</f>
        <v/>
      </c>
      <c r="BV54">
        <f>IFERROR(INDEX(PP_Grid[#Data],$DD54,72),0)</f>
        <v/>
      </c>
      <c r="BW54">
        <f>IFERROR(INDEX(PP_Grid[#Data],$DD54,73),0)</f>
        <v/>
      </c>
      <c r="BX54">
        <f>IFERROR(INDEX(PP_Grid[#Data],$DD54,74),0)</f>
        <v/>
      </c>
      <c r="BY54">
        <f>IFERROR(INDEX(PP_Grid[#Data],$DD54,75),0)</f>
        <v/>
      </c>
      <c r="BZ54">
        <f>IFERROR(INDEX(PP_Grid[#Data],$DD54,76),0)</f>
        <v/>
      </c>
      <c r="CA54">
        <f>IFERROR(INDEX(PP_Grid[#Data],$DD54,77),0)</f>
        <v/>
      </c>
      <c r="CB54">
        <f>IFERROR(INDEX(PP_Grid[#Data],$DD54,78),0)</f>
        <v/>
      </c>
      <c r="CC54">
        <f>IFERROR(INDEX(PP_Grid[#Data],$DD54,79),0)</f>
        <v/>
      </c>
      <c r="CD54">
        <f>IFERROR(INDEX(PP_Grid[#Data],$DD54,80),0)</f>
        <v/>
      </c>
      <c r="CE54">
        <f>IFERROR(INDEX(PP_Grid[#Data],$DD54,81),0)</f>
        <v/>
      </c>
      <c r="CF54">
        <f>IFERROR(INDEX(PP_Grid[#Data],$DD54,82),0)</f>
        <v/>
      </c>
      <c r="CG54">
        <f>IFERROR(INDEX(PP_Grid[#Data],$DD54,83),0)</f>
        <v/>
      </c>
      <c r="CH54">
        <f>IFERROR(INDEX(PP_Grid[#Data],$DD54,84),0)</f>
        <v/>
      </c>
      <c r="CI54">
        <f>IFERROR(INDEX(PP_Grid[#Data],$DD54,85),0)</f>
        <v/>
      </c>
      <c r="CJ54">
        <f>IFERROR(INDEX(PP_Grid[#Data],$DD54,86),0)</f>
        <v/>
      </c>
      <c r="CK54">
        <f>IFERROR(INDEX(PP_Grid[#Data],$DD54,87),0)</f>
        <v/>
      </c>
      <c r="CL54">
        <f>IFERROR(INDEX(PP_Grid[#Data],$DD54,88),0)</f>
        <v/>
      </c>
      <c r="CM54">
        <f>IFERROR(INDEX(PP_Grid[#Data],$DD54,89),0)</f>
        <v/>
      </c>
      <c r="CN54">
        <f>IFERROR(INDEX(PP_Grid[#Data],$DD54,90),0)</f>
        <v/>
      </c>
      <c r="CO54">
        <f>IFERROR(INDEX(PP_Grid[#Data],$DD54,91),0)</f>
        <v/>
      </c>
      <c r="CP54">
        <f>IFERROR(INDEX(PP_Grid[#Data],$DD54,92),0)</f>
        <v/>
      </c>
      <c r="CQ54">
        <f>IFERROR(INDEX(PP_Grid[#Data],$DD54,93),0)</f>
        <v/>
      </c>
      <c r="CR54">
        <f>IFERROR(INDEX(PP_Grid[#Data],$DD54,94),0)</f>
        <v/>
      </c>
      <c r="CS54">
        <f>IFERROR(INDEX(PP_Grid[#Data],$DD54,95),0)</f>
        <v/>
      </c>
      <c r="CT54">
        <f>IFERROR(INDEX(PP_Grid[#Data],$DD54,96),0)</f>
        <v/>
      </c>
      <c r="CU54">
        <f>IFERROR(INDEX(PP_Grid[#Data],$DD54,97),0)</f>
        <v/>
      </c>
      <c r="CV54">
        <f>IFERROR(INDEX(PP_Grid[#Data],$DD54,98),0)</f>
        <v/>
      </c>
      <c r="CW54">
        <f>IFERROR(INDEX(PP_Grid[#Data],$DD54,99),0)</f>
        <v/>
      </c>
      <c r="CX54">
        <f>IFERROR(INDEX(PP_Grid[#Data],$DD54,100),0)</f>
        <v/>
      </c>
      <c r="CY54">
        <f>IFERROR(INDEX(PP_Grid[#Data],$DD54,101),0)</f>
        <v/>
      </c>
      <c r="CZ54">
        <f>IFERROR(INDEX(PP_Grid[#Data],$DD54,102),0)</f>
        <v/>
      </c>
      <c r="DA54">
        <f>IFERROR(INDEX(PP_Grid[#Data],$DD54,103),0)</f>
        <v/>
      </c>
      <c r="DB54">
        <f>IFERROR(INDEX(PP_Grid[#Data],$DD54,104),0)</f>
        <v/>
      </c>
      <c r="DC54">
        <f>IFERROR(INDEX(PP_Grid[#Data],$DD54,105),0)</f>
        <v/>
      </c>
      <c r="DD54" s="7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SUMIFS(M_BOM[RM_Qty_Per_Batch],M_BOM[Intermediate],$B54,M_BOM[Part Name],$A45)</f>
        <v/>
      </c>
      <c r="D55">
        <f>$C55*D54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</row>
    <row r="56">
      <c r="B56" t="inlineStr">
        <is>
          <t>TSP-078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7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Name],$A45)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t="inlineStr">
        <is>
          <t>TSP-080</t>
        </is>
      </c>
      <c r="C58" t="inlineStr">
        <is>
          <t>No. of batches</t>
        </is>
      </c>
      <c r="D58">
        <f>IFERROR(INDEX(PP_Grid[#Data],$DD58,2),0)</f>
        <v/>
      </c>
      <c r="E58">
        <f>IFERROR(INDEX(PP_Grid[#Data],$DD58,3),0)</f>
        <v/>
      </c>
      <c r="F58">
        <f>IFERROR(INDEX(PP_Grid[#Data],$DD58,4),0)</f>
        <v/>
      </c>
      <c r="G58">
        <f>IFERROR(INDEX(PP_Grid[#Data],$DD58,5),0)</f>
        <v/>
      </c>
      <c r="H58">
        <f>IFERROR(INDEX(PP_Grid[#Data],$DD58,6),0)</f>
        <v/>
      </c>
      <c r="I58">
        <f>IFERROR(INDEX(PP_Grid[#Data],$DD58,7),0)</f>
        <v/>
      </c>
      <c r="J58">
        <f>IFERROR(INDEX(PP_Grid[#Data],$DD58,8),0)</f>
        <v/>
      </c>
      <c r="K58">
        <f>IFERROR(INDEX(PP_Grid[#Data],$DD58,9),0)</f>
        <v/>
      </c>
      <c r="L58">
        <f>IFERROR(INDEX(PP_Grid[#Data],$DD58,10),0)</f>
        <v/>
      </c>
      <c r="M58">
        <f>IFERROR(INDEX(PP_Grid[#Data],$DD58,11),0)</f>
        <v/>
      </c>
      <c r="N58">
        <f>IFERROR(INDEX(PP_Grid[#Data],$DD58,12),0)</f>
        <v/>
      </c>
      <c r="O58">
        <f>IFERROR(INDEX(PP_Grid[#Data],$DD58,13),0)</f>
        <v/>
      </c>
      <c r="P58">
        <f>IFERROR(INDEX(PP_Grid[#Data],$DD58,14),0)</f>
        <v/>
      </c>
      <c r="Q58">
        <f>IFERROR(INDEX(PP_Grid[#Data],$DD58,15),0)</f>
        <v/>
      </c>
      <c r="R58">
        <f>IFERROR(INDEX(PP_Grid[#Data],$DD58,16),0)</f>
        <v/>
      </c>
      <c r="S58">
        <f>IFERROR(INDEX(PP_Grid[#Data],$DD58,17),0)</f>
        <v/>
      </c>
      <c r="T58">
        <f>IFERROR(INDEX(PP_Grid[#Data],$DD58,18),0)</f>
        <v/>
      </c>
      <c r="U58">
        <f>IFERROR(INDEX(PP_Grid[#Data],$DD58,19),0)</f>
        <v/>
      </c>
      <c r="V58">
        <f>IFERROR(INDEX(PP_Grid[#Data],$DD58,20),0)</f>
        <v/>
      </c>
      <c r="W58">
        <f>IFERROR(INDEX(PP_Grid[#Data],$DD58,21),0)</f>
        <v/>
      </c>
      <c r="X58">
        <f>IFERROR(INDEX(PP_Grid[#Data],$DD58,22),0)</f>
        <v/>
      </c>
      <c r="Y58">
        <f>IFERROR(INDEX(PP_Grid[#Data],$DD58,23),0)</f>
        <v/>
      </c>
      <c r="Z58">
        <f>IFERROR(INDEX(PP_Grid[#Data],$DD58,24),0)</f>
        <v/>
      </c>
      <c r="AA58">
        <f>IFERROR(INDEX(PP_Grid[#Data],$DD58,25),0)</f>
        <v/>
      </c>
      <c r="AB58">
        <f>IFERROR(INDEX(PP_Grid[#Data],$DD58,26),0)</f>
        <v/>
      </c>
      <c r="AC58">
        <f>IFERROR(INDEX(PP_Grid[#Data],$DD58,27),0)</f>
        <v/>
      </c>
      <c r="AD58">
        <f>IFERROR(INDEX(PP_Grid[#Data],$DD58,28),0)</f>
        <v/>
      </c>
      <c r="AE58">
        <f>IFERROR(INDEX(PP_Grid[#Data],$DD58,29),0)</f>
        <v/>
      </c>
      <c r="AF58">
        <f>IFERROR(INDEX(PP_Grid[#Data],$DD58,30),0)</f>
        <v/>
      </c>
      <c r="AG58">
        <f>IFERROR(INDEX(PP_Grid[#Data],$DD58,31),0)</f>
        <v/>
      </c>
      <c r="AH58">
        <f>IFERROR(INDEX(PP_Grid[#Data],$DD58,32),0)</f>
        <v/>
      </c>
      <c r="AI58">
        <f>IFERROR(INDEX(PP_Grid[#Data],$DD58,33),0)</f>
        <v/>
      </c>
      <c r="AJ58">
        <f>IFERROR(INDEX(PP_Grid[#Data],$DD58,34),0)</f>
        <v/>
      </c>
      <c r="AK58">
        <f>IFERROR(INDEX(PP_Grid[#Data],$DD58,35),0)</f>
        <v/>
      </c>
      <c r="AL58">
        <f>IFERROR(INDEX(PP_Grid[#Data],$DD58,36),0)</f>
        <v/>
      </c>
      <c r="AM58">
        <f>IFERROR(INDEX(PP_Grid[#Data],$DD58,37),0)</f>
        <v/>
      </c>
      <c r="AN58">
        <f>IFERROR(INDEX(PP_Grid[#Data],$DD58,38),0)</f>
        <v/>
      </c>
      <c r="AO58">
        <f>IFERROR(INDEX(PP_Grid[#Data],$DD58,39),0)</f>
        <v/>
      </c>
      <c r="AP58">
        <f>IFERROR(INDEX(PP_Grid[#Data],$DD58,40),0)</f>
        <v/>
      </c>
      <c r="AQ58">
        <f>IFERROR(INDEX(PP_Grid[#Data],$DD58,41),0)</f>
        <v/>
      </c>
      <c r="AR58">
        <f>IFERROR(INDEX(PP_Grid[#Data],$DD58,42),0)</f>
        <v/>
      </c>
      <c r="AS58">
        <f>IFERROR(INDEX(PP_Grid[#Data],$DD58,43),0)</f>
        <v/>
      </c>
      <c r="AT58">
        <f>IFERROR(INDEX(PP_Grid[#Data],$DD58,44),0)</f>
        <v/>
      </c>
      <c r="AU58">
        <f>IFERROR(INDEX(PP_Grid[#Data],$DD58,45),0)</f>
        <v/>
      </c>
      <c r="AV58">
        <f>IFERROR(INDEX(PP_Grid[#Data],$DD58,46),0)</f>
        <v/>
      </c>
      <c r="AW58">
        <f>IFERROR(INDEX(PP_Grid[#Data],$DD58,47),0)</f>
        <v/>
      </c>
      <c r="AX58">
        <f>IFERROR(INDEX(PP_Grid[#Data],$DD58,48),0)</f>
        <v/>
      </c>
      <c r="AY58">
        <f>IFERROR(INDEX(PP_Grid[#Data],$DD58,49),0)</f>
        <v/>
      </c>
      <c r="AZ58">
        <f>IFERROR(INDEX(PP_Grid[#Data],$DD58,50),0)</f>
        <v/>
      </c>
      <c r="BA58">
        <f>IFERROR(INDEX(PP_Grid[#Data],$DD58,51),0)</f>
        <v/>
      </c>
      <c r="BB58">
        <f>IFERROR(INDEX(PP_Grid[#Data],$DD58,52),0)</f>
        <v/>
      </c>
      <c r="BC58">
        <f>IFERROR(INDEX(PP_Grid[#Data],$DD58,53),0)</f>
        <v/>
      </c>
      <c r="BD58">
        <f>IFERROR(INDEX(PP_Grid[#Data],$DD58,54),0)</f>
        <v/>
      </c>
      <c r="BE58">
        <f>IFERROR(INDEX(PP_Grid[#Data],$DD58,55),0)</f>
        <v/>
      </c>
      <c r="BF58">
        <f>IFERROR(INDEX(PP_Grid[#Data],$DD58,56),0)</f>
        <v/>
      </c>
      <c r="BG58">
        <f>IFERROR(INDEX(PP_Grid[#Data],$DD58,57),0)</f>
        <v/>
      </c>
      <c r="BH58">
        <f>IFERROR(INDEX(PP_Grid[#Data],$DD58,58),0)</f>
        <v/>
      </c>
      <c r="BI58">
        <f>IFERROR(INDEX(PP_Grid[#Data],$DD58,59),0)</f>
        <v/>
      </c>
      <c r="BJ58">
        <f>IFERROR(INDEX(PP_Grid[#Data],$DD58,60),0)</f>
        <v/>
      </c>
      <c r="BK58">
        <f>IFERROR(INDEX(PP_Grid[#Data],$DD58,61),0)</f>
        <v/>
      </c>
      <c r="BL58">
        <f>IFERROR(INDEX(PP_Grid[#Data],$DD58,62),0)</f>
        <v/>
      </c>
      <c r="BM58">
        <f>IFERROR(INDEX(PP_Grid[#Data],$DD58,63),0)</f>
        <v/>
      </c>
      <c r="BN58">
        <f>IFERROR(INDEX(PP_Grid[#Data],$DD58,64),0)</f>
        <v/>
      </c>
      <c r="BO58">
        <f>IFERROR(INDEX(PP_Grid[#Data],$DD58,65),0)</f>
        <v/>
      </c>
      <c r="BP58">
        <f>IFERROR(INDEX(PP_Grid[#Data],$DD58,66),0)</f>
        <v/>
      </c>
      <c r="BQ58">
        <f>IFERROR(INDEX(PP_Grid[#Data],$DD58,67),0)</f>
        <v/>
      </c>
      <c r="BR58">
        <f>IFERROR(INDEX(PP_Grid[#Data],$DD58,68),0)</f>
        <v/>
      </c>
      <c r="BS58">
        <f>IFERROR(INDEX(PP_Grid[#Data],$DD58,69),0)</f>
        <v/>
      </c>
      <c r="BT58">
        <f>IFERROR(INDEX(PP_Grid[#Data],$DD58,70),0)</f>
        <v/>
      </c>
      <c r="BU58">
        <f>IFERROR(INDEX(PP_Grid[#Data],$DD58,71),0)</f>
        <v/>
      </c>
      <c r="BV58">
        <f>IFERROR(INDEX(PP_Grid[#Data],$DD58,72),0)</f>
        <v/>
      </c>
      <c r="BW58">
        <f>IFERROR(INDEX(PP_Grid[#Data],$DD58,73),0)</f>
        <v/>
      </c>
      <c r="BX58">
        <f>IFERROR(INDEX(PP_Grid[#Data],$DD58,74),0)</f>
        <v/>
      </c>
      <c r="BY58">
        <f>IFERROR(INDEX(PP_Grid[#Data],$DD58,75),0)</f>
        <v/>
      </c>
      <c r="BZ58">
        <f>IFERROR(INDEX(PP_Grid[#Data],$DD58,76),0)</f>
        <v/>
      </c>
      <c r="CA58">
        <f>IFERROR(INDEX(PP_Grid[#Data],$DD58,77),0)</f>
        <v/>
      </c>
      <c r="CB58">
        <f>IFERROR(INDEX(PP_Grid[#Data],$DD58,78),0)</f>
        <v/>
      </c>
      <c r="CC58">
        <f>IFERROR(INDEX(PP_Grid[#Data],$DD58,79),0)</f>
        <v/>
      </c>
      <c r="CD58">
        <f>IFERROR(INDEX(PP_Grid[#Data],$DD58,80),0)</f>
        <v/>
      </c>
      <c r="CE58">
        <f>IFERROR(INDEX(PP_Grid[#Data],$DD58,81),0)</f>
        <v/>
      </c>
      <c r="CF58">
        <f>IFERROR(INDEX(PP_Grid[#Data],$DD58,82),0)</f>
        <v/>
      </c>
      <c r="CG58">
        <f>IFERROR(INDEX(PP_Grid[#Data],$DD58,83),0)</f>
        <v/>
      </c>
      <c r="CH58">
        <f>IFERROR(INDEX(PP_Grid[#Data],$DD58,84),0)</f>
        <v/>
      </c>
      <c r="CI58">
        <f>IFERROR(INDEX(PP_Grid[#Data],$DD58,85),0)</f>
        <v/>
      </c>
      <c r="CJ58">
        <f>IFERROR(INDEX(PP_Grid[#Data],$DD58,86),0)</f>
        <v/>
      </c>
      <c r="CK58">
        <f>IFERROR(INDEX(PP_Grid[#Data],$DD58,87),0)</f>
        <v/>
      </c>
      <c r="CL58">
        <f>IFERROR(INDEX(PP_Grid[#Data],$DD58,88),0)</f>
        <v/>
      </c>
      <c r="CM58">
        <f>IFERROR(INDEX(PP_Grid[#Data],$DD58,89),0)</f>
        <v/>
      </c>
      <c r="CN58">
        <f>IFERROR(INDEX(PP_Grid[#Data],$DD58,90),0)</f>
        <v/>
      </c>
      <c r="CO58">
        <f>IFERROR(INDEX(PP_Grid[#Data],$DD58,91),0)</f>
        <v/>
      </c>
      <c r="CP58">
        <f>IFERROR(INDEX(PP_Grid[#Data],$DD58,92),0)</f>
        <v/>
      </c>
      <c r="CQ58">
        <f>IFERROR(INDEX(PP_Grid[#Data],$DD58,93),0)</f>
        <v/>
      </c>
      <c r="CR58">
        <f>IFERROR(INDEX(PP_Grid[#Data],$DD58,94),0)</f>
        <v/>
      </c>
      <c r="CS58">
        <f>IFERROR(INDEX(PP_Grid[#Data],$DD58,95),0)</f>
        <v/>
      </c>
      <c r="CT58">
        <f>IFERROR(INDEX(PP_Grid[#Data],$DD58,96),0)</f>
        <v/>
      </c>
      <c r="CU58">
        <f>IFERROR(INDEX(PP_Grid[#Data],$DD58,97),0)</f>
        <v/>
      </c>
      <c r="CV58">
        <f>IFERROR(INDEX(PP_Grid[#Data],$DD58,98),0)</f>
        <v/>
      </c>
      <c r="CW58">
        <f>IFERROR(INDEX(PP_Grid[#Data],$DD58,99),0)</f>
        <v/>
      </c>
      <c r="CX58">
        <f>IFERROR(INDEX(PP_Grid[#Data],$DD58,100),0)</f>
        <v/>
      </c>
      <c r="CY58">
        <f>IFERROR(INDEX(PP_Grid[#Data],$DD58,101),0)</f>
        <v/>
      </c>
      <c r="CZ58">
        <f>IFERROR(INDEX(PP_Grid[#Data],$DD58,102),0)</f>
        <v/>
      </c>
      <c r="DA58">
        <f>IFERROR(INDEX(PP_Grid[#Data],$DD58,103),0)</f>
        <v/>
      </c>
      <c r="DB58">
        <f>IFERROR(INDEX(PP_Grid[#Data],$DD58,104),0)</f>
        <v/>
      </c>
      <c r="DC58">
        <f>IFERROR(INDEX(PP_Grid[#Data],$DD58,105),0)</f>
        <v/>
      </c>
      <c r="DD58" s="7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SUMIFS(M_BOM[RM_Qty_Per_Batch],M_BOM[Intermediate],$B58,M_BOM[Part Name],$A45)</f>
        <v/>
      </c>
      <c r="D59">
        <f>$C59*D58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</row>
    <row r="60">
      <c r="B60" t="inlineStr">
        <is>
          <t>TSP-089</t>
        </is>
      </c>
      <c r="C60" t="inlineStr">
        <is>
          <t>No. of batches</t>
        </is>
      </c>
      <c r="D60">
        <f>IFERROR(INDEX(PP_Grid[#Data],$DD60,2),0)</f>
        <v/>
      </c>
      <c r="E60">
        <f>IFERROR(INDEX(PP_Grid[#Data],$DD60,3),0)</f>
        <v/>
      </c>
      <c r="F60">
        <f>IFERROR(INDEX(PP_Grid[#Data],$DD60,4),0)</f>
        <v/>
      </c>
      <c r="G60">
        <f>IFERROR(INDEX(PP_Grid[#Data],$DD60,5),0)</f>
        <v/>
      </c>
      <c r="H60">
        <f>IFERROR(INDEX(PP_Grid[#Data],$DD60,6),0)</f>
        <v/>
      </c>
      <c r="I60">
        <f>IFERROR(INDEX(PP_Grid[#Data],$DD60,7),0)</f>
        <v/>
      </c>
      <c r="J60">
        <f>IFERROR(INDEX(PP_Grid[#Data],$DD60,8),0)</f>
        <v/>
      </c>
      <c r="K60">
        <f>IFERROR(INDEX(PP_Grid[#Data],$DD60,9),0)</f>
        <v/>
      </c>
      <c r="L60">
        <f>IFERROR(INDEX(PP_Grid[#Data],$DD60,10),0)</f>
        <v/>
      </c>
      <c r="M60">
        <f>IFERROR(INDEX(PP_Grid[#Data],$DD60,11),0)</f>
        <v/>
      </c>
      <c r="N60">
        <f>IFERROR(INDEX(PP_Grid[#Data],$DD60,12),0)</f>
        <v/>
      </c>
      <c r="O60">
        <f>IFERROR(INDEX(PP_Grid[#Data],$DD60,13),0)</f>
        <v/>
      </c>
      <c r="P60">
        <f>IFERROR(INDEX(PP_Grid[#Data],$DD60,14),0)</f>
        <v/>
      </c>
      <c r="Q60">
        <f>IFERROR(INDEX(PP_Grid[#Data],$DD60,15),0)</f>
        <v/>
      </c>
      <c r="R60">
        <f>IFERROR(INDEX(PP_Grid[#Data],$DD60,16),0)</f>
        <v/>
      </c>
      <c r="S60">
        <f>IFERROR(INDEX(PP_Grid[#Data],$DD60,17),0)</f>
        <v/>
      </c>
      <c r="T60">
        <f>IFERROR(INDEX(PP_Grid[#Data],$DD60,18),0)</f>
        <v/>
      </c>
      <c r="U60">
        <f>IFERROR(INDEX(PP_Grid[#Data],$DD60,19),0)</f>
        <v/>
      </c>
      <c r="V60">
        <f>IFERROR(INDEX(PP_Grid[#Data],$DD60,20),0)</f>
        <v/>
      </c>
      <c r="W60">
        <f>IFERROR(INDEX(PP_Grid[#Data],$DD60,21),0)</f>
        <v/>
      </c>
      <c r="X60">
        <f>IFERROR(INDEX(PP_Grid[#Data],$DD60,22),0)</f>
        <v/>
      </c>
      <c r="Y60">
        <f>IFERROR(INDEX(PP_Grid[#Data],$DD60,23),0)</f>
        <v/>
      </c>
      <c r="Z60">
        <f>IFERROR(INDEX(PP_Grid[#Data],$DD60,24),0)</f>
        <v/>
      </c>
      <c r="AA60">
        <f>IFERROR(INDEX(PP_Grid[#Data],$DD60,25),0)</f>
        <v/>
      </c>
      <c r="AB60">
        <f>IFERROR(INDEX(PP_Grid[#Data],$DD60,26),0)</f>
        <v/>
      </c>
      <c r="AC60">
        <f>IFERROR(INDEX(PP_Grid[#Data],$DD60,27),0)</f>
        <v/>
      </c>
      <c r="AD60">
        <f>IFERROR(INDEX(PP_Grid[#Data],$DD60,28),0)</f>
        <v/>
      </c>
      <c r="AE60">
        <f>IFERROR(INDEX(PP_Grid[#Data],$DD60,29),0)</f>
        <v/>
      </c>
      <c r="AF60">
        <f>IFERROR(INDEX(PP_Grid[#Data],$DD60,30),0)</f>
        <v/>
      </c>
      <c r="AG60">
        <f>IFERROR(INDEX(PP_Grid[#Data],$DD60,31),0)</f>
        <v/>
      </c>
      <c r="AH60">
        <f>IFERROR(INDEX(PP_Grid[#Data],$DD60,32),0)</f>
        <v/>
      </c>
      <c r="AI60">
        <f>IFERROR(INDEX(PP_Grid[#Data],$DD60,33),0)</f>
        <v/>
      </c>
      <c r="AJ60">
        <f>IFERROR(INDEX(PP_Grid[#Data],$DD60,34),0)</f>
        <v/>
      </c>
      <c r="AK60">
        <f>IFERROR(INDEX(PP_Grid[#Data],$DD60,35),0)</f>
        <v/>
      </c>
      <c r="AL60">
        <f>IFERROR(INDEX(PP_Grid[#Data],$DD60,36),0)</f>
        <v/>
      </c>
      <c r="AM60">
        <f>IFERROR(INDEX(PP_Grid[#Data],$DD60,37),0)</f>
        <v/>
      </c>
      <c r="AN60">
        <f>IFERROR(INDEX(PP_Grid[#Data],$DD60,38),0)</f>
        <v/>
      </c>
      <c r="AO60">
        <f>IFERROR(INDEX(PP_Grid[#Data],$DD60,39),0)</f>
        <v/>
      </c>
      <c r="AP60">
        <f>IFERROR(INDEX(PP_Grid[#Data],$DD60,40),0)</f>
        <v/>
      </c>
      <c r="AQ60">
        <f>IFERROR(INDEX(PP_Grid[#Data],$DD60,41),0)</f>
        <v/>
      </c>
      <c r="AR60">
        <f>IFERROR(INDEX(PP_Grid[#Data],$DD60,42),0)</f>
        <v/>
      </c>
      <c r="AS60">
        <f>IFERROR(INDEX(PP_Grid[#Data],$DD60,43),0)</f>
        <v/>
      </c>
      <c r="AT60">
        <f>IFERROR(INDEX(PP_Grid[#Data],$DD60,44),0)</f>
        <v/>
      </c>
      <c r="AU60">
        <f>IFERROR(INDEX(PP_Grid[#Data],$DD60,45),0)</f>
        <v/>
      </c>
      <c r="AV60">
        <f>IFERROR(INDEX(PP_Grid[#Data],$DD60,46),0)</f>
        <v/>
      </c>
      <c r="AW60">
        <f>IFERROR(INDEX(PP_Grid[#Data],$DD60,47),0)</f>
        <v/>
      </c>
      <c r="AX60">
        <f>IFERROR(INDEX(PP_Grid[#Data],$DD60,48),0)</f>
        <v/>
      </c>
      <c r="AY60">
        <f>IFERROR(INDEX(PP_Grid[#Data],$DD60,49),0)</f>
        <v/>
      </c>
      <c r="AZ60">
        <f>IFERROR(INDEX(PP_Grid[#Data],$DD60,50),0)</f>
        <v/>
      </c>
      <c r="BA60">
        <f>IFERROR(INDEX(PP_Grid[#Data],$DD60,51),0)</f>
        <v/>
      </c>
      <c r="BB60">
        <f>IFERROR(INDEX(PP_Grid[#Data],$DD60,52),0)</f>
        <v/>
      </c>
      <c r="BC60">
        <f>IFERROR(INDEX(PP_Grid[#Data],$DD60,53),0)</f>
        <v/>
      </c>
      <c r="BD60">
        <f>IFERROR(INDEX(PP_Grid[#Data],$DD60,54),0)</f>
        <v/>
      </c>
      <c r="BE60">
        <f>IFERROR(INDEX(PP_Grid[#Data],$DD60,55),0)</f>
        <v/>
      </c>
      <c r="BF60">
        <f>IFERROR(INDEX(PP_Grid[#Data],$DD60,56),0)</f>
        <v/>
      </c>
      <c r="BG60">
        <f>IFERROR(INDEX(PP_Grid[#Data],$DD60,57),0)</f>
        <v/>
      </c>
      <c r="BH60">
        <f>IFERROR(INDEX(PP_Grid[#Data],$DD60,58),0)</f>
        <v/>
      </c>
      <c r="BI60">
        <f>IFERROR(INDEX(PP_Grid[#Data],$DD60,59),0)</f>
        <v/>
      </c>
      <c r="BJ60">
        <f>IFERROR(INDEX(PP_Grid[#Data],$DD60,60),0)</f>
        <v/>
      </c>
      <c r="BK60">
        <f>IFERROR(INDEX(PP_Grid[#Data],$DD60,61),0)</f>
        <v/>
      </c>
      <c r="BL60">
        <f>IFERROR(INDEX(PP_Grid[#Data],$DD60,62),0)</f>
        <v/>
      </c>
      <c r="BM60">
        <f>IFERROR(INDEX(PP_Grid[#Data],$DD60,63),0)</f>
        <v/>
      </c>
      <c r="BN60">
        <f>IFERROR(INDEX(PP_Grid[#Data],$DD60,64),0)</f>
        <v/>
      </c>
      <c r="BO60">
        <f>IFERROR(INDEX(PP_Grid[#Data],$DD60,65),0)</f>
        <v/>
      </c>
      <c r="BP60">
        <f>IFERROR(INDEX(PP_Grid[#Data],$DD60,66),0)</f>
        <v/>
      </c>
      <c r="BQ60">
        <f>IFERROR(INDEX(PP_Grid[#Data],$DD60,67),0)</f>
        <v/>
      </c>
      <c r="BR60">
        <f>IFERROR(INDEX(PP_Grid[#Data],$DD60,68),0)</f>
        <v/>
      </c>
      <c r="BS60">
        <f>IFERROR(INDEX(PP_Grid[#Data],$DD60,69),0)</f>
        <v/>
      </c>
      <c r="BT60">
        <f>IFERROR(INDEX(PP_Grid[#Data],$DD60,70),0)</f>
        <v/>
      </c>
      <c r="BU60">
        <f>IFERROR(INDEX(PP_Grid[#Data],$DD60,71),0)</f>
        <v/>
      </c>
      <c r="BV60">
        <f>IFERROR(INDEX(PP_Grid[#Data],$DD60,72),0)</f>
        <v/>
      </c>
      <c r="BW60">
        <f>IFERROR(INDEX(PP_Grid[#Data],$DD60,73),0)</f>
        <v/>
      </c>
      <c r="BX60">
        <f>IFERROR(INDEX(PP_Grid[#Data],$DD60,74),0)</f>
        <v/>
      </c>
      <c r="BY60">
        <f>IFERROR(INDEX(PP_Grid[#Data],$DD60,75),0)</f>
        <v/>
      </c>
      <c r="BZ60">
        <f>IFERROR(INDEX(PP_Grid[#Data],$DD60,76),0)</f>
        <v/>
      </c>
      <c r="CA60">
        <f>IFERROR(INDEX(PP_Grid[#Data],$DD60,77),0)</f>
        <v/>
      </c>
      <c r="CB60">
        <f>IFERROR(INDEX(PP_Grid[#Data],$DD60,78),0)</f>
        <v/>
      </c>
      <c r="CC60">
        <f>IFERROR(INDEX(PP_Grid[#Data],$DD60,79),0)</f>
        <v/>
      </c>
      <c r="CD60">
        <f>IFERROR(INDEX(PP_Grid[#Data],$DD60,80),0)</f>
        <v/>
      </c>
      <c r="CE60">
        <f>IFERROR(INDEX(PP_Grid[#Data],$DD60,81),0)</f>
        <v/>
      </c>
      <c r="CF60">
        <f>IFERROR(INDEX(PP_Grid[#Data],$DD60,82),0)</f>
        <v/>
      </c>
      <c r="CG60">
        <f>IFERROR(INDEX(PP_Grid[#Data],$DD60,83),0)</f>
        <v/>
      </c>
      <c r="CH60">
        <f>IFERROR(INDEX(PP_Grid[#Data],$DD60,84),0)</f>
        <v/>
      </c>
      <c r="CI60">
        <f>IFERROR(INDEX(PP_Grid[#Data],$DD60,85),0)</f>
        <v/>
      </c>
      <c r="CJ60">
        <f>IFERROR(INDEX(PP_Grid[#Data],$DD60,86),0)</f>
        <v/>
      </c>
      <c r="CK60">
        <f>IFERROR(INDEX(PP_Grid[#Data],$DD60,87),0)</f>
        <v/>
      </c>
      <c r="CL60">
        <f>IFERROR(INDEX(PP_Grid[#Data],$DD60,88),0)</f>
        <v/>
      </c>
      <c r="CM60">
        <f>IFERROR(INDEX(PP_Grid[#Data],$DD60,89),0)</f>
        <v/>
      </c>
      <c r="CN60">
        <f>IFERROR(INDEX(PP_Grid[#Data],$DD60,90),0)</f>
        <v/>
      </c>
      <c r="CO60">
        <f>IFERROR(INDEX(PP_Grid[#Data],$DD60,91),0)</f>
        <v/>
      </c>
      <c r="CP60">
        <f>IFERROR(INDEX(PP_Grid[#Data],$DD60,92),0)</f>
        <v/>
      </c>
      <c r="CQ60">
        <f>IFERROR(INDEX(PP_Grid[#Data],$DD60,93),0)</f>
        <v/>
      </c>
      <c r="CR60">
        <f>IFERROR(INDEX(PP_Grid[#Data],$DD60,94),0)</f>
        <v/>
      </c>
      <c r="CS60">
        <f>IFERROR(INDEX(PP_Grid[#Data],$DD60,95),0)</f>
        <v/>
      </c>
      <c r="CT60">
        <f>IFERROR(INDEX(PP_Grid[#Data],$DD60,96),0)</f>
        <v/>
      </c>
      <c r="CU60">
        <f>IFERROR(INDEX(PP_Grid[#Data],$DD60,97),0)</f>
        <v/>
      </c>
      <c r="CV60">
        <f>IFERROR(INDEX(PP_Grid[#Data],$DD60,98),0)</f>
        <v/>
      </c>
      <c r="CW60">
        <f>IFERROR(INDEX(PP_Grid[#Data],$DD60,99),0)</f>
        <v/>
      </c>
      <c r="CX60">
        <f>IFERROR(INDEX(PP_Grid[#Data],$DD60,100),0)</f>
        <v/>
      </c>
      <c r="CY60">
        <f>IFERROR(INDEX(PP_Grid[#Data],$DD60,101),0)</f>
        <v/>
      </c>
      <c r="CZ60">
        <f>IFERROR(INDEX(PP_Grid[#Data],$DD60,102),0)</f>
        <v/>
      </c>
      <c r="DA60">
        <f>IFERROR(INDEX(PP_Grid[#Data],$DD60,103),0)</f>
        <v/>
      </c>
      <c r="DB60">
        <f>IFERROR(INDEX(PP_Grid[#Data],$DD60,104),0)</f>
        <v/>
      </c>
      <c r="DC60">
        <f>IFERROR(INDEX(PP_Grid[#Data],$DD60,105),0)</f>
        <v/>
      </c>
      <c r="DD60" s="7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SUMIFS(M_BOM[RM_Qty_Per_Batch],M_BOM[Intermediate],$B60,M_BOM[Part Name],$A45)</f>
        <v/>
      </c>
      <c r="D61">
        <f>$C61*D60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</row>
    <row r="62">
      <c r="B62" t="inlineStr">
        <is>
          <t>TSP-104</t>
        </is>
      </c>
      <c r="C62" t="inlineStr">
        <is>
          <t>No. of batches</t>
        </is>
      </c>
      <c r="D62">
        <f>IFERROR(INDEX(PP_Grid[#Data],$DD62,2),0)</f>
        <v/>
      </c>
      <c r="E62">
        <f>IFERROR(INDEX(PP_Grid[#Data],$DD62,3),0)</f>
        <v/>
      </c>
      <c r="F62">
        <f>IFERROR(INDEX(PP_Grid[#Data],$DD62,4),0)</f>
        <v/>
      </c>
      <c r="G62">
        <f>IFERROR(INDEX(PP_Grid[#Data],$DD62,5),0)</f>
        <v/>
      </c>
      <c r="H62">
        <f>IFERROR(INDEX(PP_Grid[#Data],$DD62,6),0)</f>
        <v/>
      </c>
      <c r="I62">
        <f>IFERROR(INDEX(PP_Grid[#Data],$DD62,7),0)</f>
        <v/>
      </c>
      <c r="J62">
        <f>IFERROR(INDEX(PP_Grid[#Data],$DD62,8),0)</f>
        <v/>
      </c>
      <c r="K62">
        <f>IFERROR(INDEX(PP_Grid[#Data],$DD62,9),0)</f>
        <v/>
      </c>
      <c r="L62">
        <f>IFERROR(INDEX(PP_Grid[#Data],$DD62,10),0)</f>
        <v/>
      </c>
      <c r="M62">
        <f>IFERROR(INDEX(PP_Grid[#Data],$DD62,11),0)</f>
        <v/>
      </c>
      <c r="N62">
        <f>IFERROR(INDEX(PP_Grid[#Data],$DD62,12),0)</f>
        <v/>
      </c>
      <c r="O62">
        <f>IFERROR(INDEX(PP_Grid[#Data],$DD62,13),0)</f>
        <v/>
      </c>
      <c r="P62">
        <f>IFERROR(INDEX(PP_Grid[#Data],$DD62,14),0)</f>
        <v/>
      </c>
      <c r="Q62">
        <f>IFERROR(INDEX(PP_Grid[#Data],$DD62,15),0)</f>
        <v/>
      </c>
      <c r="R62">
        <f>IFERROR(INDEX(PP_Grid[#Data],$DD62,16),0)</f>
        <v/>
      </c>
      <c r="S62">
        <f>IFERROR(INDEX(PP_Grid[#Data],$DD62,17),0)</f>
        <v/>
      </c>
      <c r="T62">
        <f>IFERROR(INDEX(PP_Grid[#Data],$DD62,18),0)</f>
        <v/>
      </c>
      <c r="U62">
        <f>IFERROR(INDEX(PP_Grid[#Data],$DD62,19),0)</f>
        <v/>
      </c>
      <c r="V62">
        <f>IFERROR(INDEX(PP_Grid[#Data],$DD62,20),0)</f>
        <v/>
      </c>
      <c r="W62">
        <f>IFERROR(INDEX(PP_Grid[#Data],$DD62,21),0)</f>
        <v/>
      </c>
      <c r="X62">
        <f>IFERROR(INDEX(PP_Grid[#Data],$DD62,22),0)</f>
        <v/>
      </c>
      <c r="Y62">
        <f>IFERROR(INDEX(PP_Grid[#Data],$DD62,23),0)</f>
        <v/>
      </c>
      <c r="Z62">
        <f>IFERROR(INDEX(PP_Grid[#Data],$DD62,24),0)</f>
        <v/>
      </c>
      <c r="AA62">
        <f>IFERROR(INDEX(PP_Grid[#Data],$DD62,25),0)</f>
        <v/>
      </c>
      <c r="AB62">
        <f>IFERROR(INDEX(PP_Grid[#Data],$DD62,26),0)</f>
        <v/>
      </c>
      <c r="AC62">
        <f>IFERROR(INDEX(PP_Grid[#Data],$DD62,27),0)</f>
        <v/>
      </c>
      <c r="AD62">
        <f>IFERROR(INDEX(PP_Grid[#Data],$DD62,28),0)</f>
        <v/>
      </c>
      <c r="AE62">
        <f>IFERROR(INDEX(PP_Grid[#Data],$DD62,29),0)</f>
        <v/>
      </c>
      <c r="AF62">
        <f>IFERROR(INDEX(PP_Grid[#Data],$DD62,30),0)</f>
        <v/>
      </c>
      <c r="AG62">
        <f>IFERROR(INDEX(PP_Grid[#Data],$DD62,31),0)</f>
        <v/>
      </c>
      <c r="AH62">
        <f>IFERROR(INDEX(PP_Grid[#Data],$DD62,32),0)</f>
        <v/>
      </c>
      <c r="AI62">
        <f>IFERROR(INDEX(PP_Grid[#Data],$DD62,33),0)</f>
        <v/>
      </c>
      <c r="AJ62">
        <f>IFERROR(INDEX(PP_Grid[#Data],$DD62,34),0)</f>
        <v/>
      </c>
      <c r="AK62">
        <f>IFERROR(INDEX(PP_Grid[#Data],$DD62,35),0)</f>
        <v/>
      </c>
      <c r="AL62">
        <f>IFERROR(INDEX(PP_Grid[#Data],$DD62,36),0)</f>
        <v/>
      </c>
      <c r="AM62">
        <f>IFERROR(INDEX(PP_Grid[#Data],$DD62,37),0)</f>
        <v/>
      </c>
      <c r="AN62">
        <f>IFERROR(INDEX(PP_Grid[#Data],$DD62,38),0)</f>
        <v/>
      </c>
      <c r="AO62">
        <f>IFERROR(INDEX(PP_Grid[#Data],$DD62,39),0)</f>
        <v/>
      </c>
      <c r="AP62">
        <f>IFERROR(INDEX(PP_Grid[#Data],$DD62,40),0)</f>
        <v/>
      </c>
      <c r="AQ62">
        <f>IFERROR(INDEX(PP_Grid[#Data],$DD62,41),0)</f>
        <v/>
      </c>
      <c r="AR62">
        <f>IFERROR(INDEX(PP_Grid[#Data],$DD62,42),0)</f>
        <v/>
      </c>
      <c r="AS62">
        <f>IFERROR(INDEX(PP_Grid[#Data],$DD62,43),0)</f>
        <v/>
      </c>
      <c r="AT62">
        <f>IFERROR(INDEX(PP_Grid[#Data],$DD62,44),0)</f>
        <v/>
      </c>
      <c r="AU62">
        <f>IFERROR(INDEX(PP_Grid[#Data],$DD62,45),0)</f>
        <v/>
      </c>
      <c r="AV62">
        <f>IFERROR(INDEX(PP_Grid[#Data],$DD62,46),0)</f>
        <v/>
      </c>
      <c r="AW62">
        <f>IFERROR(INDEX(PP_Grid[#Data],$DD62,47),0)</f>
        <v/>
      </c>
      <c r="AX62">
        <f>IFERROR(INDEX(PP_Grid[#Data],$DD62,48),0)</f>
        <v/>
      </c>
      <c r="AY62">
        <f>IFERROR(INDEX(PP_Grid[#Data],$DD62,49),0)</f>
        <v/>
      </c>
      <c r="AZ62">
        <f>IFERROR(INDEX(PP_Grid[#Data],$DD62,50),0)</f>
        <v/>
      </c>
      <c r="BA62">
        <f>IFERROR(INDEX(PP_Grid[#Data],$DD62,51),0)</f>
        <v/>
      </c>
      <c r="BB62">
        <f>IFERROR(INDEX(PP_Grid[#Data],$DD62,52),0)</f>
        <v/>
      </c>
      <c r="BC62">
        <f>IFERROR(INDEX(PP_Grid[#Data],$DD62,53),0)</f>
        <v/>
      </c>
      <c r="BD62">
        <f>IFERROR(INDEX(PP_Grid[#Data],$DD62,54),0)</f>
        <v/>
      </c>
      <c r="BE62">
        <f>IFERROR(INDEX(PP_Grid[#Data],$DD62,55),0)</f>
        <v/>
      </c>
      <c r="BF62">
        <f>IFERROR(INDEX(PP_Grid[#Data],$DD62,56),0)</f>
        <v/>
      </c>
      <c r="BG62">
        <f>IFERROR(INDEX(PP_Grid[#Data],$DD62,57),0)</f>
        <v/>
      </c>
      <c r="BH62">
        <f>IFERROR(INDEX(PP_Grid[#Data],$DD62,58),0)</f>
        <v/>
      </c>
      <c r="BI62">
        <f>IFERROR(INDEX(PP_Grid[#Data],$DD62,59),0)</f>
        <v/>
      </c>
      <c r="BJ62">
        <f>IFERROR(INDEX(PP_Grid[#Data],$DD62,60),0)</f>
        <v/>
      </c>
      <c r="BK62">
        <f>IFERROR(INDEX(PP_Grid[#Data],$DD62,61),0)</f>
        <v/>
      </c>
      <c r="BL62">
        <f>IFERROR(INDEX(PP_Grid[#Data],$DD62,62),0)</f>
        <v/>
      </c>
      <c r="BM62">
        <f>IFERROR(INDEX(PP_Grid[#Data],$DD62,63),0)</f>
        <v/>
      </c>
      <c r="BN62">
        <f>IFERROR(INDEX(PP_Grid[#Data],$DD62,64),0)</f>
        <v/>
      </c>
      <c r="BO62">
        <f>IFERROR(INDEX(PP_Grid[#Data],$DD62,65),0)</f>
        <v/>
      </c>
      <c r="BP62">
        <f>IFERROR(INDEX(PP_Grid[#Data],$DD62,66),0)</f>
        <v/>
      </c>
      <c r="BQ62">
        <f>IFERROR(INDEX(PP_Grid[#Data],$DD62,67),0)</f>
        <v/>
      </c>
      <c r="BR62">
        <f>IFERROR(INDEX(PP_Grid[#Data],$DD62,68),0)</f>
        <v/>
      </c>
      <c r="BS62">
        <f>IFERROR(INDEX(PP_Grid[#Data],$DD62,69),0)</f>
        <v/>
      </c>
      <c r="BT62">
        <f>IFERROR(INDEX(PP_Grid[#Data],$DD62,70),0)</f>
        <v/>
      </c>
      <c r="BU62">
        <f>IFERROR(INDEX(PP_Grid[#Data],$DD62,71),0)</f>
        <v/>
      </c>
      <c r="BV62">
        <f>IFERROR(INDEX(PP_Grid[#Data],$DD62,72),0)</f>
        <v/>
      </c>
      <c r="BW62">
        <f>IFERROR(INDEX(PP_Grid[#Data],$DD62,73),0)</f>
        <v/>
      </c>
      <c r="BX62">
        <f>IFERROR(INDEX(PP_Grid[#Data],$DD62,74),0)</f>
        <v/>
      </c>
      <c r="BY62">
        <f>IFERROR(INDEX(PP_Grid[#Data],$DD62,75),0)</f>
        <v/>
      </c>
      <c r="BZ62">
        <f>IFERROR(INDEX(PP_Grid[#Data],$DD62,76),0)</f>
        <v/>
      </c>
      <c r="CA62">
        <f>IFERROR(INDEX(PP_Grid[#Data],$DD62,77),0)</f>
        <v/>
      </c>
      <c r="CB62">
        <f>IFERROR(INDEX(PP_Grid[#Data],$DD62,78),0)</f>
        <v/>
      </c>
      <c r="CC62">
        <f>IFERROR(INDEX(PP_Grid[#Data],$DD62,79),0)</f>
        <v/>
      </c>
      <c r="CD62">
        <f>IFERROR(INDEX(PP_Grid[#Data],$DD62,80),0)</f>
        <v/>
      </c>
      <c r="CE62">
        <f>IFERROR(INDEX(PP_Grid[#Data],$DD62,81),0)</f>
        <v/>
      </c>
      <c r="CF62">
        <f>IFERROR(INDEX(PP_Grid[#Data],$DD62,82),0)</f>
        <v/>
      </c>
      <c r="CG62">
        <f>IFERROR(INDEX(PP_Grid[#Data],$DD62,83),0)</f>
        <v/>
      </c>
      <c r="CH62">
        <f>IFERROR(INDEX(PP_Grid[#Data],$DD62,84),0)</f>
        <v/>
      </c>
      <c r="CI62">
        <f>IFERROR(INDEX(PP_Grid[#Data],$DD62,85),0)</f>
        <v/>
      </c>
      <c r="CJ62">
        <f>IFERROR(INDEX(PP_Grid[#Data],$DD62,86),0)</f>
        <v/>
      </c>
      <c r="CK62">
        <f>IFERROR(INDEX(PP_Grid[#Data],$DD62,87),0)</f>
        <v/>
      </c>
      <c r="CL62">
        <f>IFERROR(INDEX(PP_Grid[#Data],$DD62,88),0)</f>
        <v/>
      </c>
      <c r="CM62">
        <f>IFERROR(INDEX(PP_Grid[#Data],$DD62,89),0)</f>
        <v/>
      </c>
      <c r="CN62">
        <f>IFERROR(INDEX(PP_Grid[#Data],$DD62,90),0)</f>
        <v/>
      </c>
      <c r="CO62">
        <f>IFERROR(INDEX(PP_Grid[#Data],$DD62,91),0)</f>
        <v/>
      </c>
      <c r="CP62">
        <f>IFERROR(INDEX(PP_Grid[#Data],$DD62,92),0)</f>
        <v/>
      </c>
      <c r="CQ62">
        <f>IFERROR(INDEX(PP_Grid[#Data],$DD62,93),0)</f>
        <v/>
      </c>
      <c r="CR62">
        <f>IFERROR(INDEX(PP_Grid[#Data],$DD62,94),0)</f>
        <v/>
      </c>
      <c r="CS62">
        <f>IFERROR(INDEX(PP_Grid[#Data],$DD62,95),0)</f>
        <v/>
      </c>
      <c r="CT62">
        <f>IFERROR(INDEX(PP_Grid[#Data],$DD62,96),0)</f>
        <v/>
      </c>
      <c r="CU62">
        <f>IFERROR(INDEX(PP_Grid[#Data],$DD62,97),0)</f>
        <v/>
      </c>
      <c r="CV62">
        <f>IFERROR(INDEX(PP_Grid[#Data],$DD62,98),0)</f>
        <v/>
      </c>
      <c r="CW62">
        <f>IFERROR(INDEX(PP_Grid[#Data],$DD62,99),0)</f>
        <v/>
      </c>
      <c r="CX62">
        <f>IFERROR(INDEX(PP_Grid[#Data],$DD62,100),0)</f>
        <v/>
      </c>
      <c r="CY62">
        <f>IFERROR(INDEX(PP_Grid[#Data],$DD62,101),0)</f>
        <v/>
      </c>
      <c r="CZ62">
        <f>IFERROR(INDEX(PP_Grid[#Data],$DD62,102),0)</f>
        <v/>
      </c>
      <c r="DA62">
        <f>IFERROR(INDEX(PP_Grid[#Data],$DD62,103),0)</f>
        <v/>
      </c>
      <c r="DB62">
        <f>IFERROR(INDEX(PP_Grid[#Data],$DD62,104),0)</f>
        <v/>
      </c>
      <c r="DC62">
        <f>IFERROR(INDEX(PP_Grid[#Data],$DD62,105),0)</f>
        <v/>
      </c>
      <c r="DD62" s="7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SUMIFS(M_BOM[RM_Qty_Per_Batch],M_BOM[Intermediate],$B62,M_BOM[Part Name],$A45)</f>
        <v/>
      </c>
      <c r="D63">
        <f>$C63*D62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</row>
    <row r="64">
      <c r="B64" t="inlineStr">
        <is>
          <t>TSP-105</t>
        </is>
      </c>
      <c r="C64" t="inlineStr">
        <is>
          <t>No. of batches</t>
        </is>
      </c>
      <c r="D64">
        <f>IFERROR(INDEX(PP_Grid[#Data],$DD64,2),0)</f>
        <v/>
      </c>
      <c r="E64">
        <f>IFERROR(INDEX(PP_Grid[#Data],$DD64,3),0)</f>
        <v/>
      </c>
      <c r="F64">
        <f>IFERROR(INDEX(PP_Grid[#Data],$DD64,4),0)</f>
        <v/>
      </c>
      <c r="G64">
        <f>IFERROR(INDEX(PP_Grid[#Data],$DD64,5),0)</f>
        <v/>
      </c>
      <c r="H64">
        <f>IFERROR(INDEX(PP_Grid[#Data],$DD64,6),0)</f>
        <v/>
      </c>
      <c r="I64">
        <f>IFERROR(INDEX(PP_Grid[#Data],$DD64,7),0)</f>
        <v/>
      </c>
      <c r="J64">
        <f>IFERROR(INDEX(PP_Grid[#Data],$DD64,8),0)</f>
        <v/>
      </c>
      <c r="K64">
        <f>IFERROR(INDEX(PP_Grid[#Data],$DD64,9),0)</f>
        <v/>
      </c>
      <c r="L64">
        <f>IFERROR(INDEX(PP_Grid[#Data],$DD64,10),0)</f>
        <v/>
      </c>
      <c r="M64">
        <f>IFERROR(INDEX(PP_Grid[#Data],$DD64,11),0)</f>
        <v/>
      </c>
      <c r="N64">
        <f>IFERROR(INDEX(PP_Grid[#Data],$DD64,12),0)</f>
        <v/>
      </c>
      <c r="O64">
        <f>IFERROR(INDEX(PP_Grid[#Data],$DD64,13),0)</f>
        <v/>
      </c>
      <c r="P64">
        <f>IFERROR(INDEX(PP_Grid[#Data],$DD64,14),0)</f>
        <v/>
      </c>
      <c r="Q64">
        <f>IFERROR(INDEX(PP_Grid[#Data],$DD64,15),0)</f>
        <v/>
      </c>
      <c r="R64">
        <f>IFERROR(INDEX(PP_Grid[#Data],$DD64,16),0)</f>
        <v/>
      </c>
      <c r="S64">
        <f>IFERROR(INDEX(PP_Grid[#Data],$DD64,17),0)</f>
        <v/>
      </c>
      <c r="T64">
        <f>IFERROR(INDEX(PP_Grid[#Data],$DD64,18),0)</f>
        <v/>
      </c>
      <c r="U64">
        <f>IFERROR(INDEX(PP_Grid[#Data],$DD64,19),0)</f>
        <v/>
      </c>
      <c r="V64">
        <f>IFERROR(INDEX(PP_Grid[#Data],$DD64,20),0)</f>
        <v/>
      </c>
      <c r="W64">
        <f>IFERROR(INDEX(PP_Grid[#Data],$DD64,21),0)</f>
        <v/>
      </c>
      <c r="X64">
        <f>IFERROR(INDEX(PP_Grid[#Data],$DD64,22),0)</f>
        <v/>
      </c>
      <c r="Y64">
        <f>IFERROR(INDEX(PP_Grid[#Data],$DD64,23),0)</f>
        <v/>
      </c>
      <c r="Z64">
        <f>IFERROR(INDEX(PP_Grid[#Data],$DD64,24),0)</f>
        <v/>
      </c>
      <c r="AA64">
        <f>IFERROR(INDEX(PP_Grid[#Data],$DD64,25),0)</f>
        <v/>
      </c>
      <c r="AB64">
        <f>IFERROR(INDEX(PP_Grid[#Data],$DD64,26),0)</f>
        <v/>
      </c>
      <c r="AC64">
        <f>IFERROR(INDEX(PP_Grid[#Data],$DD64,27),0)</f>
        <v/>
      </c>
      <c r="AD64">
        <f>IFERROR(INDEX(PP_Grid[#Data],$DD64,28),0)</f>
        <v/>
      </c>
      <c r="AE64">
        <f>IFERROR(INDEX(PP_Grid[#Data],$DD64,29),0)</f>
        <v/>
      </c>
      <c r="AF64">
        <f>IFERROR(INDEX(PP_Grid[#Data],$DD64,30),0)</f>
        <v/>
      </c>
      <c r="AG64">
        <f>IFERROR(INDEX(PP_Grid[#Data],$DD64,31),0)</f>
        <v/>
      </c>
      <c r="AH64">
        <f>IFERROR(INDEX(PP_Grid[#Data],$DD64,32),0)</f>
        <v/>
      </c>
      <c r="AI64">
        <f>IFERROR(INDEX(PP_Grid[#Data],$DD64,33),0)</f>
        <v/>
      </c>
      <c r="AJ64">
        <f>IFERROR(INDEX(PP_Grid[#Data],$DD64,34),0)</f>
        <v/>
      </c>
      <c r="AK64">
        <f>IFERROR(INDEX(PP_Grid[#Data],$DD64,35),0)</f>
        <v/>
      </c>
      <c r="AL64">
        <f>IFERROR(INDEX(PP_Grid[#Data],$DD64,36),0)</f>
        <v/>
      </c>
      <c r="AM64">
        <f>IFERROR(INDEX(PP_Grid[#Data],$DD64,37),0)</f>
        <v/>
      </c>
      <c r="AN64">
        <f>IFERROR(INDEX(PP_Grid[#Data],$DD64,38),0)</f>
        <v/>
      </c>
      <c r="AO64">
        <f>IFERROR(INDEX(PP_Grid[#Data],$DD64,39),0)</f>
        <v/>
      </c>
      <c r="AP64">
        <f>IFERROR(INDEX(PP_Grid[#Data],$DD64,40),0)</f>
        <v/>
      </c>
      <c r="AQ64">
        <f>IFERROR(INDEX(PP_Grid[#Data],$DD64,41),0)</f>
        <v/>
      </c>
      <c r="AR64">
        <f>IFERROR(INDEX(PP_Grid[#Data],$DD64,42),0)</f>
        <v/>
      </c>
      <c r="AS64">
        <f>IFERROR(INDEX(PP_Grid[#Data],$DD64,43),0)</f>
        <v/>
      </c>
      <c r="AT64">
        <f>IFERROR(INDEX(PP_Grid[#Data],$DD64,44),0)</f>
        <v/>
      </c>
      <c r="AU64">
        <f>IFERROR(INDEX(PP_Grid[#Data],$DD64,45),0)</f>
        <v/>
      </c>
      <c r="AV64">
        <f>IFERROR(INDEX(PP_Grid[#Data],$DD64,46),0)</f>
        <v/>
      </c>
      <c r="AW64">
        <f>IFERROR(INDEX(PP_Grid[#Data],$DD64,47),0)</f>
        <v/>
      </c>
      <c r="AX64">
        <f>IFERROR(INDEX(PP_Grid[#Data],$DD64,48),0)</f>
        <v/>
      </c>
      <c r="AY64">
        <f>IFERROR(INDEX(PP_Grid[#Data],$DD64,49),0)</f>
        <v/>
      </c>
      <c r="AZ64">
        <f>IFERROR(INDEX(PP_Grid[#Data],$DD64,50),0)</f>
        <v/>
      </c>
      <c r="BA64">
        <f>IFERROR(INDEX(PP_Grid[#Data],$DD64,51),0)</f>
        <v/>
      </c>
      <c r="BB64">
        <f>IFERROR(INDEX(PP_Grid[#Data],$DD64,52),0)</f>
        <v/>
      </c>
      <c r="BC64">
        <f>IFERROR(INDEX(PP_Grid[#Data],$DD64,53),0)</f>
        <v/>
      </c>
      <c r="BD64">
        <f>IFERROR(INDEX(PP_Grid[#Data],$DD64,54),0)</f>
        <v/>
      </c>
      <c r="BE64">
        <f>IFERROR(INDEX(PP_Grid[#Data],$DD64,55),0)</f>
        <v/>
      </c>
      <c r="BF64">
        <f>IFERROR(INDEX(PP_Grid[#Data],$DD64,56),0)</f>
        <v/>
      </c>
      <c r="BG64">
        <f>IFERROR(INDEX(PP_Grid[#Data],$DD64,57),0)</f>
        <v/>
      </c>
      <c r="BH64">
        <f>IFERROR(INDEX(PP_Grid[#Data],$DD64,58),0)</f>
        <v/>
      </c>
      <c r="BI64">
        <f>IFERROR(INDEX(PP_Grid[#Data],$DD64,59),0)</f>
        <v/>
      </c>
      <c r="BJ64">
        <f>IFERROR(INDEX(PP_Grid[#Data],$DD64,60),0)</f>
        <v/>
      </c>
      <c r="BK64">
        <f>IFERROR(INDEX(PP_Grid[#Data],$DD64,61),0)</f>
        <v/>
      </c>
      <c r="BL64">
        <f>IFERROR(INDEX(PP_Grid[#Data],$DD64,62),0)</f>
        <v/>
      </c>
      <c r="BM64">
        <f>IFERROR(INDEX(PP_Grid[#Data],$DD64,63),0)</f>
        <v/>
      </c>
      <c r="BN64">
        <f>IFERROR(INDEX(PP_Grid[#Data],$DD64,64),0)</f>
        <v/>
      </c>
      <c r="BO64">
        <f>IFERROR(INDEX(PP_Grid[#Data],$DD64,65),0)</f>
        <v/>
      </c>
      <c r="BP64">
        <f>IFERROR(INDEX(PP_Grid[#Data],$DD64,66),0)</f>
        <v/>
      </c>
      <c r="BQ64">
        <f>IFERROR(INDEX(PP_Grid[#Data],$DD64,67),0)</f>
        <v/>
      </c>
      <c r="BR64">
        <f>IFERROR(INDEX(PP_Grid[#Data],$DD64,68),0)</f>
        <v/>
      </c>
      <c r="BS64">
        <f>IFERROR(INDEX(PP_Grid[#Data],$DD64,69),0)</f>
        <v/>
      </c>
      <c r="BT64">
        <f>IFERROR(INDEX(PP_Grid[#Data],$DD64,70),0)</f>
        <v/>
      </c>
      <c r="BU64">
        <f>IFERROR(INDEX(PP_Grid[#Data],$DD64,71),0)</f>
        <v/>
      </c>
      <c r="BV64">
        <f>IFERROR(INDEX(PP_Grid[#Data],$DD64,72),0)</f>
        <v/>
      </c>
      <c r="BW64">
        <f>IFERROR(INDEX(PP_Grid[#Data],$DD64,73),0)</f>
        <v/>
      </c>
      <c r="BX64">
        <f>IFERROR(INDEX(PP_Grid[#Data],$DD64,74),0)</f>
        <v/>
      </c>
      <c r="BY64">
        <f>IFERROR(INDEX(PP_Grid[#Data],$DD64,75),0)</f>
        <v/>
      </c>
      <c r="BZ64">
        <f>IFERROR(INDEX(PP_Grid[#Data],$DD64,76),0)</f>
        <v/>
      </c>
      <c r="CA64">
        <f>IFERROR(INDEX(PP_Grid[#Data],$DD64,77),0)</f>
        <v/>
      </c>
      <c r="CB64">
        <f>IFERROR(INDEX(PP_Grid[#Data],$DD64,78),0)</f>
        <v/>
      </c>
      <c r="CC64">
        <f>IFERROR(INDEX(PP_Grid[#Data],$DD64,79),0)</f>
        <v/>
      </c>
      <c r="CD64">
        <f>IFERROR(INDEX(PP_Grid[#Data],$DD64,80),0)</f>
        <v/>
      </c>
      <c r="CE64">
        <f>IFERROR(INDEX(PP_Grid[#Data],$DD64,81),0)</f>
        <v/>
      </c>
      <c r="CF64">
        <f>IFERROR(INDEX(PP_Grid[#Data],$DD64,82),0)</f>
        <v/>
      </c>
      <c r="CG64">
        <f>IFERROR(INDEX(PP_Grid[#Data],$DD64,83),0)</f>
        <v/>
      </c>
      <c r="CH64">
        <f>IFERROR(INDEX(PP_Grid[#Data],$DD64,84),0)</f>
        <v/>
      </c>
      <c r="CI64">
        <f>IFERROR(INDEX(PP_Grid[#Data],$DD64,85),0)</f>
        <v/>
      </c>
      <c r="CJ64">
        <f>IFERROR(INDEX(PP_Grid[#Data],$DD64,86),0)</f>
        <v/>
      </c>
      <c r="CK64">
        <f>IFERROR(INDEX(PP_Grid[#Data],$DD64,87),0)</f>
        <v/>
      </c>
      <c r="CL64">
        <f>IFERROR(INDEX(PP_Grid[#Data],$DD64,88),0)</f>
        <v/>
      </c>
      <c r="CM64">
        <f>IFERROR(INDEX(PP_Grid[#Data],$DD64,89),0)</f>
        <v/>
      </c>
      <c r="CN64">
        <f>IFERROR(INDEX(PP_Grid[#Data],$DD64,90),0)</f>
        <v/>
      </c>
      <c r="CO64">
        <f>IFERROR(INDEX(PP_Grid[#Data],$DD64,91),0)</f>
        <v/>
      </c>
      <c r="CP64">
        <f>IFERROR(INDEX(PP_Grid[#Data],$DD64,92),0)</f>
        <v/>
      </c>
      <c r="CQ64">
        <f>IFERROR(INDEX(PP_Grid[#Data],$DD64,93),0)</f>
        <v/>
      </c>
      <c r="CR64">
        <f>IFERROR(INDEX(PP_Grid[#Data],$DD64,94),0)</f>
        <v/>
      </c>
      <c r="CS64">
        <f>IFERROR(INDEX(PP_Grid[#Data],$DD64,95),0)</f>
        <v/>
      </c>
      <c r="CT64">
        <f>IFERROR(INDEX(PP_Grid[#Data],$DD64,96),0)</f>
        <v/>
      </c>
      <c r="CU64">
        <f>IFERROR(INDEX(PP_Grid[#Data],$DD64,97),0)</f>
        <v/>
      </c>
      <c r="CV64">
        <f>IFERROR(INDEX(PP_Grid[#Data],$DD64,98),0)</f>
        <v/>
      </c>
      <c r="CW64">
        <f>IFERROR(INDEX(PP_Grid[#Data],$DD64,99),0)</f>
        <v/>
      </c>
      <c r="CX64">
        <f>IFERROR(INDEX(PP_Grid[#Data],$DD64,100),0)</f>
        <v/>
      </c>
      <c r="CY64">
        <f>IFERROR(INDEX(PP_Grid[#Data],$DD64,101),0)</f>
        <v/>
      </c>
      <c r="CZ64">
        <f>IFERROR(INDEX(PP_Grid[#Data],$DD64,102),0)</f>
        <v/>
      </c>
      <c r="DA64">
        <f>IFERROR(INDEX(PP_Grid[#Data],$DD64,103),0)</f>
        <v/>
      </c>
      <c r="DB64">
        <f>IFERROR(INDEX(PP_Grid[#Data],$DD64,104),0)</f>
        <v/>
      </c>
      <c r="DC64">
        <f>IFERROR(INDEX(PP_Grid[#Data],$DD64,105),0)</f>
        <v/>
      </c>
      <c r="DD64" s="7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SUMIFS(M_BOM[RM_Qty_Per_Batch],M_BOM[Intermediate],$B64,M_BOM[Part Name],$A45)</f>
        <v/>
      </c>
      <c r="D65">
        <f>$C65*D64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</row>
    <row r="66">
      <c r="B66" t="inlineStr">
        <is>
          <t>TSP-199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7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Name],$A45)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TSP-205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7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Name],$A45)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TSP-206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7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Name],$A45)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TSP-218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7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Name],$A45)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TSP-219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7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Name],$A45)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TSP-224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7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Name],$A45)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TSP-225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7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Name],$A45)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t="inlineStr">
        <is>
          <t>TSP-360</t>
        </is>
      </c>
      <c r="C80" t="inlineStr">
        <is>
          <t>No. of batches</t>
        </is>
      </c>
      <c r="D80">
        <f>IFERROR(INDEX(PP_Grid[#Data],$DD80,2),0)</f>
        <v/>
      </c>
      <c r="E80">
        <f>IFERROR(INDEX(PP_Grid[#Data],$DD80,3),0)</f>
        <v/>
      </c>
      <c r="F80">
        <f>IFERROR(INDEX(PP_Grid[#Data],$DD80,4),0)</f>
        <v/>
      </c>
      <c r="G80">
        <f>IFERROR(INDEX(PP_Grid[#Data],$DD80,5),0)</f>
        <v/>
      </c>
      <c r="H80">
        <f>IFERROR(INDEX(PP_Grid[#Data],$DD80,6),0)</f>
        <v/>
      </c>
      <c r="I80">
        <f>IFERROR(INDEX(PP_Grid[#Data],$DD80,7),0)</f>
        <v/>
      </c>
      <c r="J80">
        <f>IFERROR(INDEX(PP_Grid[#Data],$DD80,8),0)</f>
        <v/>
      </c>
      <c r="K80">
        <f>IFERROR(INDEX(PP_Grid[#Data],$DD80,9),0)</f>
        <v/>
      </c>
      <c r="L80">
        <f>IFERROR(INDEX(PP_Grid[#Data],$DD80,10),0)</f>
        <v/>
      </c>
      <c r="M80">
        <f>IFERROR(INDEX(PP_Grid[#Data],$DD80,11),0)</f>
        <v/>
      </c>
      <c r="N80">
        <f>IFERROR(INDEX(PP_Grid[#Data],$DD80,12),0)</f>
        <v/>
      </c>
      <c r="O80">
        <f>IFERROR(INDEX(PP_Grid[#Data],$DD80,13),0)</f>
        <v/>
      </c>
      <c r="P80">
        <f>IFERROR(INDEX(PP_Grid[#Data],$DD80,14),0)</f>
        <v/>
      </c>
      <c r="Q80">
        <f>IFERROR(INDEX(PP_Grid[#Data],$DD80,15),0)</f>
        <v/>
      </c>
      <c r="R80">
        <f>IFERROR(INDEX(PP_Grid[#Data],$DD80,16),0)</f>
        <v/>
      </c>
      <c r="S80">
        <f>IFERROR(INDEX(PP_Grid[#Data],$DD80,17),0)</f>
        <v/>
      </c>
      <c r="T80">
        <f>IFERROR(INDEX(PP_Grid[#Data],$DD80,18),0)</f>
        <v/>
      </c>
      <c r="U80">
        <f>IFERROR(INDEX(PP_Grid[#Data],$DD80,19),0)</f>
        <v/>
      </c>
      <c r="V80">
        <f>IFERROR(INDEX(PP_Grid[#Data],$DD80,20),0)</f>
        <v/>
      </c>
      <c r="W80">
        <f>IFERROR(INDEX(PP_Grid[#Data],$DD80,21),0)</f>
        <v/>
      </c>
      <c r="X80">
        <f>IFERROR(INDEX(PP_Grid[#Data],$DD80,22),0)</f>
        <v/>
      </c>
      <c r="Y80">
        <f>IFERROR(INDEX(PP_Grid[#Data],$DD80,23),0)</f>
        <v/>
      </c>
      <c r="Z80">
        <f>IFERROR(INDEX(PP_Grid[#Data],$DD80,24),0)</f>
        <v/>
      </c>
      <c r="AA80">
        <f>IFERROR(INDEX(PP_Grid[#Data],$DD80,25),0)</f>
        <v/>
      </c>
      <c r="AB80">
        <f>IFERROR(INDEX(PP_Grid[#Data],$DD80,26),0)</f>
        <v/>
      </c>
      <c r="AC80">
        <f>IFERROR(INDEX(PP_Grid[#Data],$DD80,27),0)</f>
        <v/>
      </c>
      <c r="AD80">
        <f>IFERROR(INDEX(PP_Grid[#Data],$DD80,28),0)</f>
        <v/>
      </c>
      <c r="AE80">
        <f>IFERROR(INDEX(PP_Grid[#Data],$DD80,29),0)</f>
        <v/>
      </c>
      <c r="AF80">
        <f>IFERROR(INDEX(PP_Grid[#Data],$DD80,30),0)</f>
        <v/>
      </c>
      <c r="AG80">
        <f>IFERROR(INDEX(PP_Grid[#Data],$DD80,31),0)</f>
        <v/>
      </c>
      <c r="AH80">
        <f>IFERROR(INDEX(PP_Grid[#Data],$DD80,32),0)</f>
        <v/>
      </c>
      <c r="AI80">
        <f>IFERROR(INDEX(PP_Grid[#Data],$DD80,33),0)</f>
        <v/>
      </c>
      <c r="AJ80">
        <f>IFERROR(INDEX(PP_Grid[#Data],$DD80,34),0)</f>
        <v/>
      </c>
      <c r="AK80">
        <f>IFERROR(INDEX(PP_Grid[#Data],$DD80,35),0)</f>
        <v/>
      </c>
      <c r="AL80">
        <f>IFERROR(INDEX(PP_Grid[#Data],$DD80,36),0)</f>
        <v/>
      </c>
      <c r="AM80">
        <f>IFERROR(INDEX(PP_Grid[#Data],$DD80,37),0)</f>
        <v/>
      </c>
      <c r="AN80">
        <f>IFERROR(INDEX(PP_Grid[#Data],$DD80,38),0)</f>
        <v/>
      </c>
      <c r="AO80">
        <f>IFERROR(INDEX(PP_Grid[#Data],$DD80,39),0)</f>
        <v/>
      </c>
      <c r="AP80">
        <f>IFERROR(INDEX(PP_Grid[#Data],$DD80,40),0)</f>
        <v/>
      </c>
      <c r="AQ80">
        <f>IFERROR(INDEX(PP_Grid[#Data],$DD80,41),0)</f>
        <v/>
      </c>
      <c r="AR80">
        <f>IFERROR(INDEX(PP_Grid[#Data],$DD80,42),0)</f>
        <v/>
      </c>
      <c r="AS80">
        <f>IFERROR(INDEX(PP_Grid[#Data],$DD80,43),0)</f>
        <v/>
      </c>
      <c r="AT80">
        <f>IFERROR(INDEX(PP_Grid[#Data],$DD80,44),0)</f>
        <v/>
      </c>
      <c r="AU80">
        <f>IFERROR(INDEX(PP_Grid[#Data],$DD80,45),0)</f>
        <v/>
      </c>
      <c r="AV80">
        <f>IFERROR(INDEX(PP_Grid[#Data],$DD80,46),0)</f>
        <v/>
      </c>
      <c r="AW80">
        <f>IFERROR(INDEX(PP_Grid[#Data],$DD80,47),0)</f>
        <v/>
      </c>
      <c r="AX80">
        <f>IFERROR(INDEX(PP_Grid[#Data],$DD80,48),0)</f>
        <v/>
      </c>
      <c r="AY80">
        <f>IFERROR(INDEX(PP_Grid[#Data],$DD80,49),0)</f>
        <v/>
      </c>
      <c r="AZ80">
        <f>IFERROR(INDEX(PP_Grid[#Data],$DD80,50),0)</f>
        <v/>
      </c>
      <c r="BA80">
        <f>IFERROR(INDEX(PP_Grid[#Data],$DD80,51),0)</f>
        <v/>
      </c>
      <c r="BB80">
        <f>IFERROR(INDEX(PP_Grid[#Data],$DD80,52),0)</f>
        <v/>
      </c>
      <c r="BC80">
        <f>IFERROR(INDEX(PP_Grid[#Data],$DD80,53),0)</f>
        <v/>
      </c>
      <c r="BD80">
        <f>IFERROR(INDEX(PP_Grid[#Data],$DD80,54),0)</f>
        <v/>
      </c>
      <c r="BE80">
        <f>IFERROR(INDEX(PP_Grid[#Data],$DD80,55),0)</f>
        <v/>
      </c>
      <c r="BF80">
        <f>IFERROR(INDEX(PP_Grid[#Data],$DD80,56),0)</f>
        <v/>
      </c>
      <c r="BG80">
        <f>IFERROR(INDEX(PP_Grid[#Data],$DD80,57),0)</f>
        <v/>
      </c>
      <c r="BH80">
        <f>IFERROR(INDEX(PP_Grid[#Data],$DD80,58),0)</f>
        <v/>
      </c>
      <c r="BI80">
        <f>IFERROR(INDEX(PP_Grid[#Data],$DD80,59),0)</f>
        <v/>
      </c>
      <c r="BJ80">
        <f>IFERROR(INDEX(PP_Grid[#Data],$DD80,60),0)</f>
        <v/>
      </c>
      <c r="BK80">
        <f>IFERROR(INDEX(PP_Grid[#Data],$DD80,61),0)</f>
        <v/>
      </c>
      <c r="BL80">
        <f>IFERROR(INDEX(PP_Grid[#Data],$DD80,62),0)</f>
        <v/>
      </c>
      <c r="BM80">
        <f>IFERROR(INDEX(PP_Grid[#Data],$DD80,63),0)</f>
        <v/>
      </c>
      <c r="BN80">
        <f>IFERROR(INDEX(PP_Grid[#Data],$DD80,64),0)</f>
        <v/>
      </c>
      <c r="BO80">
        <f>IFERROR(INDEX(PP_Grid[#Data],$DD80,65),0)</f>
        <v/>
      </c>
      <c r="BP80">
        <f>IFERROR(INDEX(PP_Grid[#Data],$DD80,66),0)</f>
        <v/>
      </c>
      <c r="BQ80">
        <f>IFERROR(INDEX(PP_Grid[#Data],$DD80,67),0)</f>
        <v/>
      </c>
      <c r="BR80">
        <f>IFERROR(INDEX(PP_Grid[#Data],$DD80,68),0)</f>
        <v/>
      </c>
      <c r="BS80">
        <f>IFERROR(INDEX(PP_Grid[#Data],$DD80,69),0)</f>
        <v/>
      </c>
      <c r="BT80">
        <f>IFERROR(INDEX(PP_Grid[#Data],$DD80,70),0)</f>
        <v/>
      </c>
      <c r="BU80">
        <f>IFERROR(INDEX(PP_Grid[#Data],$DD80,71),0)</f>
        <v/>
      </c>
      <c r="BV80">
        <f>IFERROR(INDEX(PP_Grid[#Data],$DD80,72),0)</f>
        <v/>
      </c>
      <c r="BW80">
        <f>IFERROR(INDEX(PP_Grid[#Data],$DD80,73),0)</f>
        <v/>
      </c>
      <c r="BX80">
        <f>IFERROR(INDEX(PP_Grid[#Data],$DD80,74),0)</f>
        <v/>
      </c>
      <c r="BY80">
        <f>IFERROR(INDEX(PP_Grid[#Data],$DD80,75),0)</f>
        <v/>
      </c>
      <c r="BZ80">
        <f>IFERROR(INDEX(PP_Grid[#Data],$DD80,76),0)</f>
        <v/>
      </c>
      <c r="CA80">
        <f>IFERROR(INDEX(PP_Grid[#Data],$DD80,77),0)</f>
        <v/>
      </c>
      <c r="CB80">
        <f>IFERROR(INDEX(PP_Grid[#Data],$DD80,78),0)</f>
        <v/>
      </c>
      <c r="CC80">
        <f>IFERROR(INDEX(PP_Grid[#Data],$DD80,79),0)</f>
        <v/>
      </c>
      <c r="CD80">
        <f>IFERROR(INDEX(PP_Grid[#Data],$DD80,80),0)</f>
        <v/>
      </c>
      <c r="CE80">
        <f>IFERROR(INDEX(PP_Grid[#Data],$DD80,81),0)</f>
        <v/>
      </c>
      <c r="CF80">
        <f>IFERROR(INDEX(PP_Grid[#Data],$DD80,82),0)</f>
        <v/>
      </c>
      <c r="CG80">
        <f>IFERROR(INDEX(PP_Grid[#Data],$DD80,83),0)</f>
        <v/>
      </c>
      <c r="CH80">
        <f>IFERROR(INDEX(PP_Grid[#Data],$DD80,84),0)</f>
        <v/>
      </c>
      <c r="CI80">
        <f>IFERROR(INDEX(PP_Grid[#Data],$DD80,85),0)</f>
        <v/>
      </c>
      <c r="CJ80">
        <f>IFERROR(INDEX(PP_Grid[#Data],$DD80,86),0)</f>
        <v/>
      </c>
      <c r="CK80">
        <f>IFERROR(INDEX(PP_Grid[#Data],$DD80,87),0)</f>
        <v/>
      </c>
      <c r="CL80">
        <f>IFERROR(INDEX(PP_Grid[#Data],$DD80,88),0)</f>
        <v/>
      </c>
      <c r="CM80">
        <f>IFERROR(INDEX(PP_Grid[#Data],$DD80,89),0)</f>
        <v/>
      </c>
      <c r="CN80">
        <f>IFERROR(INDEX(PP_Grid[#Data],$DD80,90),0)</f>
        <v/>
      </c>
      <c r="CO80">
        <f>IFERROR(INDEX(PP_Grid[#Data],$DD80,91),0)</f>
        <v/>
      </c>
      <c r="CP80">
        <f>IFERROR(INDEX(PP_Grid[#Data],$DD80,92),0)</f>
        <v/>
      </c>
      <c r="CQ80">
        <f>IFERROR(INDEX(PP_Grid[#Data],$DD80,93),0)</f>
        <v/>
      </c>
      <c r="CR80">
        <f>IFERROR(INDEX(PP_Grid[#Data],$DD80,94),0)</f>
        <v/>
      </c>
      <c r="CS80">
        <f>IFERROR(INDEX(PP_Grid[#Data],$DD80,95),0)</f>
        <v/>
      </c>
      <c r="CT80">
        <f>IFERROR(INDEX(PP_Grid[#Data],$DD80,96),0)</f>
        <v/>
      </c>
      <c r="CU80">
        <f>IFERROR(INDEX(PP_Grid[#Data],$DD80,97),0)</f>
        <v/>
      </c>
      <c r="CV80">
        <f>IFERROR(INDEX(PP_Grid[#Data],$DD80,98),0)</f>
        <v/>
      </c>
      <c r="CW80">
        <f>IFERROR(INDEX(PP_Grid[#Data],$DD80,99),0)</f>
        <v/>
      </c>
      <c r="CX80">
        <f>IFERROR(INDEX(PP_Grid[#Data],$DD80,100),0)</f>
        <v/>
      </c>
      <c r="CY80">
        <f>IFERROR(INDEX(PP_Grid[#Data],$DD80,101),0)</f>
        <v/>
      </c>
      <c r="CZ80">
        <f>IFERROR(INDEX(PP_Grid[#Data],$DD80,102),0)</f>
        <v/>
      </c>
      <c r="DA80">
        <f>IFERROR(INDEX(PP_Grid[#Data],$DD80,103),0)</f>
        <v/>
      </c>
      <c r="DB80">
        <f>IFERROR(INDEX(PP_Grid[#Data],$DD80,104),0)</f>
        <v/>
      </c>
      <c r="DC80">
        <f>IFERROR(INDEX(PP_Grid[#Data],$DD80,105),0)</f>
        <v/>
      </c>
      <c r="DD80" s="7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SUMIFS(M_BOM[RM_Qty_Per_Batch],M_BOM[Intermediate],$B80,M_BOM[Part Name],$A45)</f>
        <v/>
      </c>
      <c r="D81">
        <f>$C81*D80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</row>
    <row r="82">
      <c r="B82" t="inlineStr">
        <is>
          <t>TSP-367</t>
        </is>
      </c>
      <c r="C82" t="inlineStr">
        <is>
          <t>No. of batches</t>
        </is>
      </c>
      <c r="D82">
        <f>IFERROR(INDEX(PP_Grid[#Data],$DD82,2),0)</f>
        <v/>
      </c>
      <c r="E82">
        <f>IFERROR(INDEX(PP_Grid[#Data],$DD82,3),0)</f>
        <v/>
      </c>
      <c r="F82">
        <f>IFERROR(INDEX(PP_Grid[#Data],$DD82,4),0)</f>
        <v/>
      </c>
      <c r="G82">
        <f>IFERROR(INDEX(PP_Grid[#Data],$DD82,5),0)</f>
        <v/>
      </c>
      <c r="H82">
        <f>IFERROR(INDEX(PP_Grid[#Data],$DD82,6),0)</f>
        <v/>
      </c>
      <c r="I82">
        <f>IFERROR(INDEX(PP_Grid[#Data],$DD82,7),0)</f>
        <v/>
      </c>
      <c r="J82">
        <f>IFERROR(INDEX(PP_Grid[#Data],$DD82,8),0)</f>
        <v/>
      </c>
      <c r="K82">
        <f>IFERROR(INDEX(PP_Grid[#Data],$DD82,9),0)</f>
        <v/>
      </c>
      <c r="L82">
        <f>IFERROR(INDEX(PP_Grid[#Data],$DD82,10),0)</f>
        <v/>
      </c>
      <c r="M82">
        <f>IFERROR(INDEX(PP_Grid[#Data],$DD82,11),0)</f>
        <v/>
      </c>
      <c r="N82">
        <f>IFERROR(INDEX(PP_Grid[#Data],$DD82,12),0)</f>
        <v/>
      </c>
      <c r="O82">
        <f>IFERROR(INDEX(PP_Grid[#Data],$DD82,13),0)</f>
        <v/>
      </c>
      <c r="P82">
        <f>IFERROR(INDEX(PP_Grid[#Data],$DD82,14),0)</f>
        <v/>
      </c>
      <c r="Q82">
        <f>IFERROR(INDEX(PP_Grid[#Data],$DD82,15),0)</f>
        <v/>
      </c>
      <c r="R82">
        <f>IFERROR(INDEX(PP_Grid[#Data],$DD82,16),0)</f>
        <v/>
      </c>
      <c r="S82">
        <f>IFERROR(INDEX(PP_Grid[#Data],$DD82,17),0)</f>
        <v/>
      </c>
      <c r="T82">
        <f>IFERROR(INDEX(PP_Grid[#Data],$DD82,18),0)</f>
        <v/>
      </c>
      <c r="U82">
        <f>IFERROR(INDEX(PP_Grid[#Data],$DD82,19),0)</f>
        <v/>
      </c>
      <c r="V82">
        <f>IFERROR(INDEX(PP_Grid[#Data],$DD82,20),0)</f>
        <v/>
      </c>
      <c r="W82">
        <f>IFERROR(INDEX(PP_Grid[#Data],$DD82,21),0)</f>
        <v/>
      </c>
      <c r="X82">
        <f>IFERROR(INDEX(PP_Grid[#Data],$DD82,22),0)</f>
        <v/>
      </c>
      <c r="Y82">
        <f>IFERROR(INDEX(PP_Grid[#Data],$DD82,23),0)</f>
        <v/>
      </c>
      <c r="Z82">
        <f>IFERROR(INDEX(PP_Grid[#Data],$DD82,24),0)</f>
        <v/>
      </c>
      <c r="AA82">
        <f>IFERROR(INDEX(PP_Grid[#Data],$DD82,25),0)</f>
        <v/>
      </c>
      <c r="AB82">
        <f>IFERROR(INDEX(PP_Grid[#Data],$DD82,26),0)</f>
        <v/>
      </c>
      <c r="AC82">
        <f>IFERROR(INDEX(PP_Grid[#Data],$DD82,27),0)</f>
        <v/>
      </c>
      <c r="AD82">
        <f>IFERROR(INDEX(PP_Grid[#Data],$DD82,28),0)</f>
        <v/>
      </c>
      <c r="AE82">
        <f>IFERROR(INDEX(PP_Grid[#Data],$DD82,29),0)</f>
        <v/>
      </c>
      <c r="AF82">
        <f>IFERROR(INDEX(PP_Grid[#Data],$DD82,30),0)</f>
        <v/>
      </c>
      <c r="AG82">
        <f>IFERROR(INDEX(PP_Grid[#Data],$DD82,31),0)</f>
        <v/>
      </c>
      <c r="AH82">
        <f>IFERROR(INDEX(PP_Grid[#Data],$DD82,32),0)</f>
        <v/>
      </c>
      <c r="AI82">
        <f>IFERROR(INDEX(PP_Grid[#Data],$DD82,33),0)</f>
        <v/>
      </c>
      <c r="AJ82">
        <f>IFERROR(INDEX(PP_Grid[#Data],$DD82,34),0)</f>
        <v/>
      </c>
      <c r="AK82">
        <f>IFERROR(INDEX(PP_Grid[#Data],$DD82,35),0)</f>
        <v/>
      </c>
      <c r="AL82">
        <f>IFERROR(INDEX(PP_Grid[#Data],$DD82,36),0)</f>
        <v/>
      </c>
      <c r="AM82">
        <f>IFERROR(INDEX(PP_Grid[#Data],$DD82,37),0)</f>
        <v/>
      </c>
      <c r="AN82">
        <f>IFERROR(INDEX(PP_Grid[#Data],$DD82,38),0)</f>
        <v/>
      </c>
      <c r="AO82">
        <f>IFERROR(INDEX(PP_Grid[#Data],$DD82,39),0)</f>
        <v/>
      </c>
      <c r="AP82">
        <f>IFERROR(INDEX(PP_Grid[#Data],$DD82,40),0)</f>
        <v/>
      </c>
      <c r="AQ82">
        <f>IFERROR(INDEX(PP_Grid[#Data],$DD82,41),0)</f>
        <v/>
      </c>
      <c r="AR82">
        <f>IFERROR(INDEX(PP_Grid[#Data],$DD82,42),0)</f>
        <v/>
      </c>
      <c r="AS82">
        <f>IFERROR(INDEX(PP_Grid[#Data],$DD82,43),0)</f>
        <v/>
      </c>
      <c r="AT82">
        <f>IFERROR(INDEX(PP_Grid[#Data],$DD82,44),0)</f>
        <v/>
      </c>
      <c r="AU82">
        <f>IFERROR(INDEX(PP_Grid[#Data],$DD82,45),0)</f>
        <v/>
      </c>
      <c r="AV82">
        <f>IFERROR(INDEX(PP_Grid[#Data],$DD82,46),0)</f>
        <v/>
      </c>
      <c r="AW82">
        <f>IFERROR(INDEX(PP_Grid[#Data],$DD82,47),0)</f>
        <v/>
      </c>
      <c r="AX82">
        <f>IFERROR(INDEX(PP_Grid[#Data],$DD82,48),0)</f>
        <v/>
      </c>
      <c r="AY82">
        <f>IFERROR(INDEX(PP_Grid[#Data],$DD82,49),0)</f>
        <v/>
      </c>
      <c r="AZ82">
        <f>IFERROR(INDEX(PP_Grid[#Data],$DD82,50),0)</f>
        <v/>
      </c>
      <c r="BA82">
        <f>IFERROR(INDEX(PP_Grid[#Data],$DD82,51),0)</f>
        <v/>
      </c>
      <c r="BB82">
        <f>IFERROR(INDEX(PP_Grid[#Data],$DD82,52),0)</f>
        <v/>
      </c>
      <c r="BC82">
        <f>IFERROR(INDEX(PP_Grid[#Data],$DD82,53),0)</f>
        <v/>
      </c>
      <c r="BD82">
        <f>IFERROR(INDEX(PP_Grid[#Data],$DD82,54),0)</f>
        <v/>
      </c>
      <c r="BE82">
        <f>IFERROR(INDEX(PP_Grid[#Data],$DD82,55),0)</f>
        <v/>
      </c>
      <c r="BF82">
        <f>IFERROR(INDEX(PP_Grid[#Data],$DD82,56),0)</f>
        <v/>
      </c>
      <c r="BG82">
        <f>IFERROR(INDEX(PP_Grid[#Data],$DD82,57),0)</f>
        <v/>
      </c>
      <c r="BH82">
        <f>IFERROR(INDEX(PP_Grid[#Data],$DD82,58),0)</f>
        <v/>
      </c>
      <c r="BI82">
        <f>IFERROR(INDEX(PP_Grid[#Data],$DD82,59),0)</f>
        <v/>
      </c>
      <c r="BJ82">
        <f>IFERROR(INDEX(PP_Grid[#Data],$DD82,60),0)</f>
        <v/>
      </c>
      <c r="BK82">
        <f>IFERROR(INDEX(PP_Grid[#Data],$DD82,61),0)</f>
        <v/>
      </c>
      <c r="BL82">
        <f>IFERROR(INDEX(PP_Grid[#Data],$DD82,62),0)</f>
        <v/>
      </c>
      <c r="BM82">
        <f>IFERROR(INDEX(PP_Grid[#Data],$DD82,63),0)</f>
        <v/>
      </c>
      <c r="BN82">
        <f>IFERROR(INDEX(PP_Grid[#Data],$DD82,64),0)</f>
        <v/>
      </c>
      <c r="BO82">
        <f>IFERROR(INDEX(PP_Grid[#Data],$DD82,65),0)</f>
        <v/>
      </c>
      <c r="BP82">
        <f>IFERROR(INDEX(PP_Grid[#Data],$DD82,66),0)</f>
        <v/>
      </c>
      <c r="BQ82">
        <f>IFERROR(INDEX(PP_Grid[#Data],$DD82,67),0)</f>
        <v/>
      </c>
      <c r="BR82">
        <f>IFERROR(INDEX(PP_Grid[#Data],$DD82,68),0)</f>
        <v/>
      </c>
      <c r="BS82">
        <f>IFERROR(INDEX(PP_Grid[#Data],$DD82,69),0)</f>
        <v/>
      </c>
      <c r="BT82">
        <f>IFERROR(INDEX(PP_Grid[#Data],$DD82,70),0)</f>
        <v/>
      </c>
      <c r="BU82">
        <f>IFERROR(INDEX(PP_Grid[#Data],$DD82,71),0)</f>
        <v/>
      </c>
      <c r="BV82">
        <f>IFERROR(INDEX(PP_Grid[#Data],$DD82,72),0)</f>
        <v/>
      </c>
      <c r="BW82">
        <f>IFERROR(INDEX(PP_Grid[#Data],$DD82,73),0)</f>
        <v/>
      </c>
      <c r="BX82">
        <f>IFERROR(INDEX(PP_Grid[#Data],$DD82,74),0)</f>
        <v/>
      </c>
      <c r="BY82">
        <f>IFERROR(INDEX(PP_Grid[#Data],$DD82,75),0)</f>
        <v/>
      </c>
      <c r="BZ82">
        <f>IFERROR(INDEX(PP_Grid[#Data],$DD82,76),0)</f>
        <v/>
      </c>
      <c r="CA82">
        <f>IFERROR(INDEX(PP_Grid[#Data],$DD82,77),0)</f>
        <v/>
      </c>
      <c r="CB82">
        <f>IFERROR(INDEX(PP_Grid[#Data],$DD82,78),0)</f>
        <v/>
      </c>
      <c r="CC82">
        <f>IFERROR(INDEX(PP_Grid[#Data],$DD82,79),0)</f>
        <v/>
      </c>
      <c r="CD82">
        <f>IFERROR(INDEX(PP_Grid[#Data],$DD82,80),0)</f>
        <v/>
      </c>
      <c r="CE82">
        <f>IFERROR(INDEX(PP_Grid[#Data],$DD82,81),0)</f>
        <v/>
      </c>
      <c r="CF82">
        <f>IFERROR(INDEX(PP_Grid[#Data],$DD82,82),0)</f>
        <v/>
      </c>
      <c r="CG82">
        <f>IFERROR(INDEX(PP_Grid[#Data],$DD82,83),0)</f>
        <v/>
      </c>
      <c r="CH82">
        <f>IFERROR(INDEX(PP_Grid[#Data],$DD82,84),0)</f>
        <v/>
      </c>
      <c r="CI82">
        <f>IFERROR(INDEX(PP_Grid[#Data],$DD82,85),0)</f>
        <v/>
      </c>
      <c r="CJ82">
        <f>IFERROR(INDEX(PP_Grid[#Data],$DD82,86),0)</f>
        <v/>
      </c>
      <c r="CK82">
        <f>IFERROR(INDEX(PP_Grid[#Data],$DD82,87),0)</f>
        <v/>
      </c>
      <c r="CL82">
        <f>IFERROR(INDEX(PP_Grid[#Data],$DD82,88),0)</f>
        <v/>
      </c>
      <c r="CM82">
        <f>IFERROR(INDEX(PP_Grid[#Data],$DD82,89),0)</f>
        <v/>
      </c>
      <c r="CN82">
        <f>IFERROR(INDEX(PP_Grid[#Data],$DD82,90),0)</f>
        <v/>
      </c>
      <c r="CO82">
        <f>IFERROR(INDEX(PP_Grid[#Data],$DD82,91),0)</f>
        <v/>
      </c>
      <c r="CP82">
        <f>IFERROR(INDEX(PP_Grid[#Data],$DD82,92),0)</f>
        <v/>
      </c>
      <c r="CQ82">
        <f>IFERROR(INDEX(PP_Grid[#Data],$DD82,93),0)</f>
        <v/>
      </c>
      <c r="CR82">
        <f>IFERROR(INDEX(PP_Grid[#Data],$DD82,94),0)</f>
        <v/>
      </c>
      <c r="CS82">
        <f>IFERROR(INDEX(PP_Grid[#Data],$DD82,95),0)</f>
        <v/>
      </c>
      <c r="CT82">
        <f>IFERROR(INDEX(PP_Grid[#Data],$DD82,96),0)</f>
        <v/>
      </c>
      <c r="CU82">
        <f>IFERROR(INDEX(PP_Grid[#Data],$DD82,97),0)</f>
        <v/>
      </c>
      <c r="CV82">
        <f>IFERROR(INDEX(PP_Grid[#Data],$DD82,98),0)</f>
        <v/>
      </c>
      <c r="CW82">
        <f>IFERROR(INDEX(PP_Grid[#Data],$DD82,99),0)</f>
        <v/>
      </c>
      <c r="CX82">
        <f>IFERROR(INDEX(PP_Grid[#Data],$DD82,100),0)</f>
        <v/>
      </c>
      <c r="CY82">
        <f>IFERROR(INDEX(PP_Grid[#Data],$DD82,101),0)</f>
        <v/>
      </c>
      <c r="CZ82">
        <f>IFERROR(INDEX(PP_Grid[#Data],$DD82,102),0)</f>
        <v/>
      </c>
      <c r="DA82">
        <f>IFERROR(INDEX(PP_Grid[#Data],$DD82,103),0)</f>
        <v/>
      </c>
      <c r="DB82">
        <f>IFERROR(INDEX(PP_Grid[#Data],$DD82,104),0)</f>
        <v/>
      </c>
      <c r="DC82">
        <f>IFERROR(INDEX(PP_Grid[#Data],$DD82,105),0)</f>
        <v/>
      </c>
      <c r="DD82" s="7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SUMIFS(M_BOM[RM_Qty_Per_Batch],M_BOM[Intermediate],$B82,M_BOM[Part Name],$A45)</f>
        <v/>
      </c>
      <c r="D83">
        <f>$C83*D82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</row>
    <row r="84">
      <c r="B84" t="inlineStr">
        <is>
          <t>TSP-369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7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Name],$A45)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t="inlineStr">
        <is>
          <t>TSP-390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7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Name],$A45)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t="inlineStr">
        <is>
          <t>TSP-399</t>
        </is>
      </c>
      <c r="C88" t="inlineStr">
        <is>
          <t>No. of batches</t>
        </is>
      </c>
      <c r="D88">
        <f>IFERROR(INDEX(PP_Grid[#Data],$DD88,2),0)</f>
        <v/>
      </c>
      <c r="E88">
        <f>IFERROR(INDEX(PP_Grid[#Data],$DD88,3),0)</f>
        <v/>
      </c>
      <c r="F88">
        <f>IFERROR(INDEX(PP_Grid[#Data],$DD88,4),0)</f>
        <v/>
      </c>
      <c r="G88">
        <f>IFERROR(INDEX(PP_Grid[#Data],$DD88,5),0)</f>
        <v/>
      </c>
      <c r="H88">
        <f>IFERROR(INDEX(PP_Grid[#Data],$DD88,6),0)</f>
        <v/>
      </c>
      <c r="I88">
        <f>IFERROR(INDEX(PP_Grid[#Data],$DD88,7),0)</f>
        <v/>
      </c>
      <c r="J88">
        <f>IFERROR(INDEX(PP_Grid[#Data],$DD88,8),0)</f>
        <v/>
      </c>
      <c r="K88">
        <f>IFERROR(INDEX(PP_Grid[#Data],$DD88,9),0)</f>
        <v/>
      </c>
      <c r="L88">
        <f>IFERROR(INDEX(PP_Grid[#Data],$DD88,10),0)</f>
        <v/>
      </c>
      <c r="M88">
        <f>IFERROR(INDEX(PP_Grid[#Data],$DD88,11),0)</f>
        <v/>
      </c>
      <c r="N88">
        <f>IFERROR(INDEX(PP_Grid[#Data],$DD88,12),0)</f>
        <v/>
      </c>
      <c r="O88">
        <f>IFERROR(INDEX(PP_Grid[#Data],$DD88,13),0)</f>
        <v/>
      </c>
      <c r="P88">
        <f>IFERROR(INDEX(PP_Grid[#Data],$DD88,14),0)</f>
        <v/>
      </c>
      <c r="Q88">
        <f>IFERROR(INDEX(PP_Grid[#Data],$DD88,15),0)</f>
        <v/>
      </c>
      <c r="R88">
        <f>IFERROR(INDEX(PP_Grid[#Data],$DD88,16),0)</f>
        <v/>
      </c>
      <c r="S88">
        <f>IFERROR(INDEX(PP_Grid[#Data],$DD88,17),0)</f>
        <v/>
      </c>
      <c r="T88">
        <f>IFERROR(INDEX(PP_Grid[#Data],$DD88,18),0)</f>
        <v/>
      </c>
      <c r="U88">
        <f>IFERROR(INDEX(PP_Grid[#Data],$DD88,19),0)</f>
        <v/>
      </c>
      <c r="V88">
        <f>IFERROR(INDEX(PP_Grid[#Data],$DD88,20),0)</f>
        <v/>
      </c>
      <c r="W88">
        <f>IFERROR(INDEX(PP_Grid[#Data],$DD88,21),0)</f>
        <v/>
      </c>
      <c r="X88">
        <f>IFERROR(INDEX(PP_Grid[#Data],$DD88,22),0)</f>
        <v/>
      </c>
      <c r="Y88">
        <f>IFERROR(INDEX(PP_Grid[#Data],$DD88,23),0)</f>
        <v/>
      </c>
      <c r="Z88">
        <f>IFERROR(INDEX(PP_Grid[#Data],$DD88,24),0)</f>
        <v/>
      </c>
      <c r="AA88">
        <f>IFERROR(INDEX(PP_Grid[#Data],$DD88,25),0)</f>
        <v/>
      </c>
      <c r="AB88">
        <f>IFERROR(INDEX(PP_Grid[#Data],$DD88,26),0)</f>
        <v/>
      </c>
      <c r="AC88">
        <f>IFERROR(INDEX(PP_Grid[#Data],$DD88,27),0)</f>
        <v/>
      </c>
      <c r="AD88">
        <f>IFERROR(INDEX(PP_Grid[#Data],$DD88,28),0)</f>
        <v/>
      </c>
      <c r="AE88">
        <f>IFERROR(INDEX(PP_Grid[#Data],$DD88,29),0)</f>
        <v/>
      </c>
      <c r="AF88">
        <f>IFERROR(INDEX(PP_Grid[#Data],$DD88,30),0)</f>
        <v/>
      </c>
      <c r="AG88">
        <f>IFERROR(INDEX(PP_Grid[#Data],$DD88,31),0)</f>
        <v/>
      </c>
      <c r="AH88">
        <f>IFERROR(INDEX(PP_Grid[#Data],$DD88,32),0)</f>
        <v/>
      </c>
      <c r="AI88">
        <f>IFERROR(INDEX(PP_Grid[#Data],$DD88,33),0)</f>
        <v/>
      </c>
      <c r="AJ88">
        <f>IFERROR(INDEX(PP_Grid[#Data],$DD88,34),0)</f>
        <v/>
      </c>
      <c r="AK88">
        <f>IFERROR(INDEX(PP_Grid[#Data],$DD88,35),0)</f>
        <v/>
      </c>
      <c r="AL88">
        <f>IFERROR(INDEX(PP_Grid[#Data],$DD88,36),0)</f>
        <v/>
      </c>
      <c r="AM88">
        <f>IFERROR(INDEX(PP_Grid[#Data],$DD88,37),0)</f>
        <v/>
      </c>
      <c r="AN88">
        <f>IFERROR(INDEX(PP_Grid[#Data],$DD88,38),0)</f>
        <v/>
      </c>
      <c r="AO88">
        <f>IFERROR(INDEX(PP_Grid[#Data],$DD88,39),0)</f>
        <v/>
      </c>
      <c r="AP88">
        <f>IFERROR(INDEX(PP_Grid[#Data],$DD88,40),0)</f>
        <v/>
      </c>
      <c r="AQ88">
        <f>IFERROR(INDEX(PP_Grid[#Data],$DD88,41),0)</f>
        <v/>
      </c>
      <c r="AR88">
        <f>IFERROR(INDEX(PP_Grid[#Data],$DD88,42),0)</f>
        <v/>
      </c>
      <c r="AS88">
        <f>IFERROR(INDEX(PP_Grid[#Data],$DD88,43),0)</f>
        <v/>
      </c>
      <c r="AT88">
        <f>IFERROR(INDEX(PP_Grid[#Data],$DD88,44),0)</f>
        <v/>
      </c>
      <c r="AU88">
        <f>IFERROR(INDEX(PP_Grid[#Data],$DD88,45),0)</f>
        <v/>
      </c>
      <c r="AV88">
        <f>IFERROR(INDEX(PP_Grid[#Data],$DD88,46),0)</f>
        <v/>
      </c>
      <c r="AW88">
        <f>IFERROR(INDEX(PP_Grid[#Data],$DD88,47),0)</f>
        <v/>
      </c>
      <c r="AX88">
        <f>IFERROR(INDEX(PP_Grid[#Data],$DD88,48),0)</f>
        <v/>
      </c>
      <c r="AY88">
        <f>IFERROR(INDEX(PP_Grid[#Data],$DD88,49),0)</f>
        <v/>
      </c>
      <c r="AZ88">
        <f>IFERROR(INDEX(PP_Grid[#Data],$DD88,50),0)</f>
        <v/>
      </c>
      <c r="BA88">
        <f>IFERROR(INDEX(PP_Grid[#Data],$DD88,51),0)</f>
        <v/>
      </c>
      <c r="BB88">
        <f>IFERROR(INDEX(PP_Grid[#Data],$DD88,52),0)</f>
        <v/>
      </c>
      <c r="BC88">
        <f>IFERROR(INDEX(PP_Grid[#Data],$DD88,53),0)</f>
        <v/>
      </c>
      <c r="BD88">
        <f>IFERROR(INDEX(PP_Grid[#Data],$DD88,54),0)</f>
        <v/>
      </c>
      <c r="BE88">
        <f>IFERROR(INDEX(PP_Grid[#Data],$DD88,55),0)</f>
        <v/>
      </c>
      <c r="BF88">
        <f>IFERROR(INDEX(PP_Grid[#Data],$DD88,56),0)</f>
        <v/>
      </c>
      <c r="BG88">
        <f>IFERROR(INDEX(PP_Grid[#Data],$DD88,57),0)</f>
        <v/>
      </c>
      <c r="BH88">
        <f>IFERROR(INDEX(PP_Grid[#Data],$DD88,58),0)</f>
        <v/>
      </c>
      <c r="BI88">
        <f>IFERROR(INDEX(PP_Grid[#Data],$DD88,59),0)</f>
        <v/>
      </c>
      <c r="BJ88">
        <f>IFERROR(INDEX(PP_Grid[#Data],$DD88,60),0)</f>
        <v/>
      </c>
      <c r="BK88">
        <f>IFERROR(INDEX(PP_Grid[#Data],$DD88,61),0)</f>
        <v/>
      </c>
      <c r="BL88">
        <f>IFERROR(INDEX(PP_Grid[#Data],$DD88,62),0)</f>
        <v/>
      </c>
      <c r="BM88">
        <f>IFERROR(INDEX(PP_Grid[#Data],$DD88,63),0)</f>
        <v/>
      </c>
      <c r="BN88">
        <f>IFERROR(INDEX(PP_Grid[#Data],$DD88,64),0)</f>
        <v/>
      </c>
      <c r="BO88">
        <f>IFERROR(INDEX(PP_Grid[#Data],$DD88,65),0)</f>
        <v/>
      </c>
      <c r="BP88">
        <f>IFERROR(INDEX(PP_Grid[#Data],$DD88,66),0)</f>
        <v/>
      </c>
      <c r="BQ88">
        <f>IFERROR(INDEX(PP_Grid[#Data],$DD88,67),0)</f>
        <v/>
      </c>
      <c r="BR88">
        <f>IFERROR(INDEX(PP_Grid[#Data],$DD88,68),0)</f>
        <v/>
      </c>
      <c r="BS88">
        <f>IFERROR(INDEX(PP_Grid[#Data],$DD88,69),0)</f>
        <v/>
      </c>
      <c r="BT88">
        <f>IFERROR(INDEX(PP_Grid[#Data],$DD88,70),0)</f>
        <v/>
      </c>
      <c r="BU88">
        <f>IFERROR(INDEX(PP_Grid[#Data],$DD88,71),0)</f>
        <v/>
      </c>
      <c r="BV88">
        <f>IFERROR(INDEX(PP_Grid[#Data],$DD88,72),0)</f>
        <v/>
      </c>
      <c r="BW88">
        <f>IFERROR(INDEX(PP_Grid[#Data],$DD88,73),0)</f>
        <v/>
      </c>
      <c r="BX88">
        <f>IFERROR(INDEX(PP_Grid[#Data],$DD88,74),0)</f>
        <v/>
      </c>
      <c r="BY88">
        <f>IFERROR(INDEX(PP_Grid[#Data],$DD88,75),0)</f>
        <v/>
      </c>
      <c r="BZ88">
        <f>IFERROR(INDEX(PP_Grid[#Data],$DD88,76),0)</f>
        <v/>
      </c>
      <c r="CA88">
        <f>IFERROR(INDEX(PP_Grid[#Data],$DD88,77),0)</f>
        <v/>
      </c>
      <c r="CB88">
        <f>IFERROR(INDEX(PP_Grid[#Data],$DD88,78),0)</f>
        <v/>
      </c>
      <c r="CC88">
        <f>IFERROR(INDEX(PP_Grid[#Data],$DD88,79),0)</f>
        <v/>
      </c>
      <c r="CD88">
        <f>IFERROR(INDEX(PP_Grid[#Data],$DD88,80),0)</f>
        <v/>
      </c>
      <c r="CE88">
        <f>IFERROR(INDEX(PP_Grid[#Data],$DD88,81),0)</f>
        <v/>
      </c>
      <c r="CF88">
        <f>IFERROR(INDEX(PP_Grid[#Data],$DD88,82),0)</f>
        <v/>
      </c>
      <c r="CG88">
        <f>IFERROR(INDEX(PP_Grid[#Data],$DD88,83),0)</f>
        <v/>
      </c>
      <c r="CH88">
        <f>IFERROR(INDEX(PP_Grid[#Data],$DD88,84),0)</f>
        <v/>
      </c>
      <c r="CI88">
        <f>IFERROR(INDEX(PP_Grid[#Data],$DD88,85),0)</f>
        <v/>
      </c>
      <c r="CJ88">
        <f>IFERROR(INDEX(PP_Grid[#Data],$DD88,86),0)</f>
        <v/>
      </c>
      <c r="CK88">
        <f>IFERROR(INDEX(PP_Grid[#Data],$DD88,87),0)</f>
        <v/>
      </c>
      <c r="CL88">
        <f>IFERROR(INDEX(PP_Grid[#Data],$DD88,88),0)</f>
        <v/>
      </c>
      <c r="CM88">
        <f>IFERROR(INDEX(PP_Grid[#Data],$DD88,89),0)</f>
        <v/>
      </c>
      <c r="CN88">
        <f>IFERROR(INDEX(PP_Grid[#Data],$DD88,90),0)</f>
        <v/>
      </c>
      <c r="CO88">
        <f>IFERROR(INDEX(PP_Grid[#Data],$DD88,91),0)</f>
        <v/>
      </c>
      <c r="CP88">
        <f>IFERROR(INDEX(PP_Grid[#Data],$DD88,92),0)</f>
        <v/>
      </c>
      <c r="CQ88">
        <f>IFERROR(INDEX(PP_Grid[#Data],$DD88,93),0)</f>
        <v/>
      </c>
      <c r="CR88">
        <f>IFERROR(INDEX(PP_Grid[#Data],$DD88,94),0)</f>
        <v/>
      </c>
      <c r="CS88">
        <f>IFERROR(INDEX(PP_Grid[#Data],$DD88,95),0)</f>
        <v/>
      </c>
      <c r="CT88">
        <f>IFERROR(INDEX(PP_Grid[#Data],$DD88,96),0)</f>
        <v/>
      </c>
      <c r="CU88">
        <f>IFERROR(INDEX(PP_Grid[#Data],$DD88,97),0)</f>
        <v/>
      </c>
      <c r="CV88">
        <f>IFERROR(INDEX(PP_Grid[#Data],$DD88,98),0)</f>
        <v/>
      </c>
      <c r="CW88">
        <f>IFERROR(INDEX(PP_Grid[#Data],$DD88,99),0)</f>
        <v/>
      </c>
      <c r="CX88">
        <f>IFERROR(INDEX(PP_Grid[#Data],$DD88,100),0)</f>
        <v/>
      </c>
      <c r="CY88">
        <f>IFERROR(INDEX(PP_Grid[#Data],$DD88,101),0)</f>
        <v/>
      </c>
      <c r="CZ88">
        <f>IFERROR(INDEX(PP_Grid[#Data],$DD88,102),0)</f>
        <v/>
      </c>
      <c r="DA88">
        <f>IFERROR(INDEX(PP_Grid[#Data],$DD88,103),0)</f>
        <v/>
      </c>
      <c r="DB88">
        <f>IFERROR(INDEX(PP_Grid[#Data],$DD88,104),0)</f>
        <v/>
      </c>
      <c r="DC88">
        <f>IFERROR(INDEX(PP_Grid[#Data],$DD88,105),0)</f>
        <v/>
      </c>
      <c r="DD88" s="7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SUMIFS(M_BOM[RM_Qty_Per_Batch],M_BOM[Intermediate],$B88,M_BOM[Part Name],$A45)</f>
        <v/>
      </c>
      <c r="D89">
        <f>$C89*D88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</row>
    <row r="90">
      <c r="B90" t="inlineStr">
        <is>
          <t>TSP-402</t>
        </is>
      </c>
      <c r="C90" t="inlineStr">
        <is>
          <t>No. of batches</t>
        </is>
      </c>
      <c r="D90">
        <f>IFERROR(INDEX(PP_Grid[#Data],$DD90,2),0)</f>
        <v/>
      </c>
      <c r="E90">
        <f>IFERROR(INDEX(PP_Grid[#Data],$DD90,3),0)</f>
        <v/>
      </c>
      <c r="F90">
        <f>IFERROR(INDEX(PP_Grid[#Data],$DD90,4),0)</f>
        <v/>
      </c>
      <c r="G90">
        <f>IFERROR(INDEX(PP_Grid[#Data],$DD90,5),0)</f>
        <v/>
      </c>
      <c r="H90">
        <f>IFERROR(INDEX(PP_Grid[#Data],$DD90,6),0)</f>
        <v/>
      </c>
      <c r="I90">
        <f>IFERROR(INDEX(PP_Grid[#Data],$DD90,7),0)</f>
        <v/>
      </c>
      <c r="J90">
        <f>IFERROR(INDEX(PP_Grid[#Data],$DD90,8),0)</f>
        <v/>
      </c>
      <c r="K90">
        <f>IFERROR(INDEX(PP_Grid[#Data],$DD90,9),0)</f>
        <v/>
      </c>
      <c r="L90">
        <f>IFERROR(INDEX(PP_Grid[#Data],$DD90,10),0)</f>
        <v/>
      </c>
      <c r="M90">
        <f>IFERROR(INDEX(PP_Grid[#Data],$DD90,11),0)</f>
        <v/>
      </c>
      <c r="N90">
        <f>IFERROR(INDEX(PP_Grid[#Data],$DD90,12),0)</f>
        <v/>
      </c>
      <c r="O90">
        <f>IFERROR(INDEX(PP_Grid[#Data],$DD90,13),0)</f>
        <v/>
      </c>
      <c r="P90">
        <f>IFERROR(INDEX(PP_Grid[#Data],$DD90,14),0)</f>
        <v/>
      </c>
      <c r="Q90">
        <f>IFERROR(INDEX(PP_Grid[#Data],$DD90,15),0)</f>
        <v/>
      </c>
      <c r="R90">
        <f>IFERROR(INDEX(PP_Grid[#Data],$DD90,16),0)</f>
        <v/>
      </c>
      <c r="S90">
        <f>IFERROR(INDEX(PP_Grid[#Data],$DD90,17),0)</f>
        <v/>
      </c>
      <c r="T90">
        <f>IFERROR(INDEX(PP_Grid[#Data],$DD90,18),0)</f>
        <v/>
      </c>
      <c r="U90">
        <f>IFERROR(INDEX(PP_Grid[#Data],$DD90,19),0)</f>
        <v/>
      </c>
      <c r="V90">
        <f>IFERROR(INDEX(PP_Grid[#Data],$DD90,20),0)</f>
        <v/>
      </c>
      <c r="W90">
        <f>IFERROR(INDEX(PP_Grid[#Data],$DD90,21),0)</f>
        <v/>
      </c>
      <c r="X90">
        <f>IFERROR(INDEX(PP_Grid[#Data],$DD90,22),0)</f>
        <v/>
      </c>
      <c r="Y90">
        <f>IFERROR(INDEX(PP_Grid[#Data],$DD90,23),0)</f>
        <v/>
      </c>
      <c r="Z90">
        <f>IFERROR(INDEX(PP_Grid[#Data],$DD90,24),0)</f>
        <v/>
      </c>
      <c r="AA90">
        <f>IFERROR(INDEX(PP_Grid[#Data],$DD90,25),0)</f>
        <v/>
      </c>
      <c r="AB90">
        <f>IFERROR(INDEX(PP_Grid[#Data],$DD90,26),0)</f>
        <v/>
      </c>
      <c r="AC90">
        <f>IFERROR(INDEX(PP_Grid[#Data],$DD90,27),0)</f>
        <v/>
      </c>
      <c r="AD90">
        <f>IFERROR(INDEX(PP_Grid[#Data],$DD90,28),0)</f>
        <v/>
      </c>
      <c r="AE90">
        <f>IFERROR(INDEX(PP_Grid[#Data],$DD90,29),0)</f>
        <v/>
      </c>
      <c r="AF90">
        <f>IFERROR(INDEX(PP_Grid[#Data],$DD90,30),0)</f>
        <v/>
      </c>
      <c r="AG90">
        <f>IFERROR(INDEX(PP_Grid[#Data],$DD90,31),0)</f>
        <v/>
      </c>
      <c r="AH90">
        <f>IFERROR(INDEX(PP_Grid[#Data],$DD90,32),0)</f>
        <v/>
      </c>
      <c r="AI90">
        <f>IFERROR(INDEX(PP_Grid[#Data],$DD90,33),0)</f>
        <v/>
      </c>
      <c r="AJ90">
        <f>IFERROR(INDEX(PP_Grid[#Data],$DD90,34),0)</f>
        <v/>
      </c>
      <c r="AK90">
        <f>IFERROR(INDEX(PP_Grid[#Data],$DD90,35),0)</f>
        <v/>
      </c>
      <c r="AL90">
        <f>IFERROR(INDEX(PP_Grid[#Data],$DD90,36),0)</f>
        <v/>
      </c>
      <c r="AM90">
        <f>IFERROR(INDEX(PP_Grid[#Data],$DD90,37),0)</f>
        <v/>
      </c>
      <c r="AN90">
        <f>IFERROR(INDEX(PP_Grid[#Data],$DD90,38),0)</f>
        <v/>
      </c>
      <c r="AO90">
        <f>IFERROR(INDEX(PP_Grid[#Data],$DD90,39),0)</f>
        <v/>
      </c>
      <c r="AP90">
        <f>IFERROR(INDEX(PP_Grid[#Data],$DD90,40),0)</f>
        <v/>
      </c>
      <c r="AQ90">
        <f>IFERROR(INDEX(PP_Grid[#Data],$DD90,41),0)</f>
        <v/>
      </c>
      <c r="AR90">
        <f>IFERROR(INDEX(PP_Grid[#Data],$DD90,42),0)</f>
        <v/>
      </c>
      <c r="AS90">
        <f>IFERROR(INDEX(PP_Grid[#Data],$DD90,43),0)</f>
        <v/>
      </c>
      <c r="AT90">
        <f>IFERROR(INDEX(PP_Grid[#Data],$DD90,44),0)</f>
        <v/>
      </c>
      <c r="AU90">
        <f>IFERROR(INDEX(PP_Grid[#Data],$DD90,45),0)</f>
        <v/>
      </c>
      <c r="AV90">
        <f>IFERROR(INDEX(PP_Grid[#Data],$DD90,46),0)</f>
        <v/>
      </c>
      <c r="AW90">
        <f>IFERROR(INDEX(PP_Grid[#Data],$DD90,47),0)</f>
        <v/>
      </c>
      <c r="AX90">
        <f>IFERROR(INDEX(PP_Grid[#Data],$DD90,48),0)</f>
        <v/>
      </c>
      <c r="AY90">
        <f>IFERROR(INDEX(PP_Grid[#Data],$DD90,49),0)</f>
        <v/>
      </c>
      <c r="AZ90">
        <f>IFERROR(INDEX(PP_Grid[#Data],$DD90,50),0)</f>
        <v/>
      </c>
      <c r="BA90">
        <f>IFERROR(INDEX(PP_Grid[#Data],$DD90,51),0)</f>
        <v/>
      </c>
      <c r="BB90">
        <f>IFERROR(INDEX(PP_Grid[#Data],$DD90,52),0)</f>
        <v/>
      </c>
      <c r="BC90">
        <f>IFERROR(INDEX(PP_Grid[#Data],$DD90,53),0)</f>
        <v/>
      </c>
      <c r="BD90">
        <f>IFERROR(INDEX(PP_Grid[#Data],$DD90,54),0)</f>
        <v/>
      </c>
      <c r="BE90">
        <f>IFERROR(INDEX(PP_Grid[#Data],$DD90,55),0)</f>
        <v/>
      </c>
      <c r="BF90">
        <f>IFERROR(INDEX(PP_Grid[#Data],$DD90,56),0)</f>
        <v/>
      </c>
      <c r="BG90">
        <f>IFERROR(INDEX(PP_Grid[#Data],$DD90,57),0)</f>
        <v/>
      </c>
      <c r="BH90">
        <f>IFERROR(INDEX(PP_Grid[#Data],$DD90,58),0)</f>
        <v/>
      </c>
      <c r="BI90">
        <f>IFERROR(INDEX(PP_Grid[#Data],$DD90,59),0)</f>
        <v/>
      </c>
      <c r="BJ90">
        <f>IFERROR(INDEX(PP_Grid[#Data],$DD90,60),0)</f>
        <v/>
      </c>
      <c r="BK90">
        <f>IFERROR(INDEX(PP_Grid[#Data],$DD90,61),0)</f>
        <v/>
      </c>
      <c r="BL90">
        <f>IFERROR(INDEX(PP_Grid[#Data],$DD90,62),0)</f>
        <v/>
      </c>
      <c r="BM90">
        <f>IFERROR(INDEX(PP_Grid[#Data],$DD90,63),0)</f>
        <v/>
      </c>
      <c r="BN90">
        <f>IFERROR(INDEX(PP_Grid[#Data],$DD90,64),0)</f>
        <v/>
      </c>
      <c r="BO90">
        <f>IFERROR(INDEX(PP_Grid[#Data],$DD90,65),0)</f>
        <v/>
      </c>
      <c r="BP90">
        <f>IFERROR(INDEX(PP_Grid[#Data],$DD90,66),0)</f>
        <v/>
      </c>
      <c r="BQ90">
        <f>IFERROR(INDEX(PP_Grid[#Data],$DD90,67),0)</f>
        <v/>
      </c>
      <c r="BR90">
        <f>IFERROR(INDEX(PP_Grid[#Data],$DD90,68),0)</f>
        <v/>
      </c>
      <c r="BS90">
        <f>IFERROR(INDEX(PP_Grid[#Data],$DD90,69),0)</f>
        <v/>
      </c>
      <c r="BT90">
        <f>IFERROR(INDEX(PP_Grid[#Data],$DD90,70),0)</f>
        <v/>
      </c>
      <c r="BU90">
        <f>IFERROR(INDEX(PP_Grid[#Data],$DD90,71),0)</f>
        <v/>
      </c>
      <c r="BV90">
        <f>IFERROR(INDEX(PP_Grid[#Data],$DD90,72),0)</f>
        <v/>
      </c>
      <c r="BW90">
        <f>IFERROR(INDEX(PP_Grid[#Data],$DD90,73),0)</f>
        <v/>
      </c>
      <c r="BX90">
        <f>IFERROR(INDEX(PP_Grid[#Data],$DD90,74),0)</f>
        <v/>
      </c>
      <c r="BY90">
        <f>IFERROR(INDEX(PP_Grid[#Data],$DD90,75),0)</f>
        <v/>
      </c>
      <c r="BZ90">
        <f>IFERROR(INDEX(PP_Grid[#Data],$DD90,76),0)</f>
        <v/>
      </c>
      <c r="CA90">
        <f>IFERROR(INDEX(PP_Grid[#Data],$DD90,77),0)</f>
        <v/>
      </c>
      <c r="CB90">
        <f>IFERROR(INDEX(PP_Grid[#Data],$DD90,78),0)</f>
        <v/>
      </c>
      <c r="CC90">
        <f>IFERROR(INDEX(PP_Grid[#Data],$DD90,79),0)</f>
        <v/>
      </c>
      <c r="CD90">
        <f>IFERROR(INDEX(PP_Grid[#Data],$DD90,80),0)</f>
        <v/>
      </c>
      <c r="CE90">
        <f>IFERROR(INDEX(PP_Grid[#Data],$DD90,81),0)</f>
        <v/>
      </c>
      <c r="CF90">
        <f>IFERROR(INDEX(PP_Grid[#Data],$DD90,82),0)</f>
        <v/>
      </c>
      <c r="CG90">
        <f>IFERROR(INDEX(PP_Grid[#Data],$DD90,83),0)</f>
        <v/>
      </c>
      <c r="CH90">
        <f>IFERROR(INDEX(PP_Grid[#Data],$DD90,84),0)</f>
        <v/>
      </c>
      <c r="CI90">
        <f>IFERROR(INDEX(PP_Grid[#Data],$DD90,85),0)</f>
        <v/>
      </c>
      <c r="CJ90">
        <f>IFERROR(INDEX(PP_Grid[#Data],$DD90,86),0)</f>
        <v/>
      </c>
      <c r="CK90">
        <f>IFERROR(INDEX(PP_Grid[#Data],$DD90,87),0)</f>
        <v/>
      </c>
      <c r="CL90">
        <f>IFERROR(INDEX(PP_Grid[#Data],$DD90,88),0)</f>
        <v/>
      </c>
      <c r="CM90">
        <f>IFERROR(INDEX(PP_Grid[#Data],$DD90,89),0)</f>
        <v/>
      </c>
      <c r="CN90">
        <f>IFERROR(INDEX(PP_Grid[#Data],$DD90,90),0)</f>
        <v/>
      </c>
      <c r="CO90">
        <f>IFERROR(INDEX(PP_Grid[#Data],$DD90,91),0)</f>
        <v/>
      </c>
      <c r="CP90">
        <f>IFERROR(INDEX(PP_Grid[#Data],$DD90,92),0)</f>
        <v/>
      </c>
      <c r="CQ90">
        <f>IFERROR(INDEX(PP_Grid[#Data],$DD90,93),0)</f>
        <v/>
      </c>
      <c r="CR90">
        <f>IFERROR(INDEX(PP_Grid[#Data],$DD90,94),0)</f>
        <v/>
      </c>
      <c r="CS90">
        <f>IFERROR(INDEX(PP_Grid[#Data],$DD90,95),0)</f>
        <v/>
      </c>
      <c r="CT90">
        <f>IFERROR(INDEX(PP_Grid[#Data],$DD90,96),0)</f>
        <v/>
      </c>
      <c r="CU90">
        <f>IFERROR(INDEX(PP_Grid[#Data],$DD90,97),0)</f>
        <v/>
      </c>
      <c r="CV90">
        <f>IFERROR(INDEX(PP_Grid[#Data],$DD90,98),0)</f>
        <v/>
      </c>
      <c r="CW90">
        <f>IFERROR(INDEX(PP_Grid[#Data],$DD90,99),0)</f>
        <v/>
      </c>
      <c r="CX90">
        <f>IFERROR(INDEX(PP_Grid[#Data],$DD90,100),0)</f>
        <v/>
      </c>
      <c r="CY90">
        <f>IFERROR(INDEX(PP_Grid[#Data],$DD90,101),0)</f>
        <v/>
      </c>
      <c r="CZ90">
        <f>IFERROR(INDEX(PP_Grid[#Data],$DD90,102),0)</f>
        <v/>
      </c>
      <c r="DA90">
        <f>IFERROR(INDEX(PP_Grid[#Data],$DD90,103),0)</f>
        <v/>
      </c>
      <c r="DB90">
        <f>IFERROR(INDEX(PP_Grid[#Data],$DD90,104),0)</f>
        <v/>
      </c>
      <c r="DC90">
        <f>IFERROR(INDEX(PP_Grid[#Data],$DD90,105),0)</f>
        <v/>
      </c>
      <c r="DD90" s="7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SUMIFS(M_BOM[RM_Qty_Per_Batch],M_BOM[Intermediate],$B90,M_BOM[Part Name],$A45)</f>
        <v/>
      </c>
      <c r="D91">
        <f>$C91*D90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</row>
    <row r="92">
      <c r="B92" t="inlineStr">
        <is>
          <t>TSP-403</t>
        </is>
      </c>
      <c r="C92" t="inlineStr">
        <is>
          <t>No. of batches</t>
        </is>
      </c>
      <c r="D92">
        <f>IFERROR(INDEX(PP_Grid[#Data],$DD92,2),0)</f>
        <v/>
      </c>
      <c r="E92">
        <f>IFERROR(INDEX(PP_Grid[#Data],$DD92,3),0)</f>
        <v/>
      </c>
      <c r="F92">
        <f>IFERROR(INDEX(PP_Grid[#Data],$DD92,4),0)</f>
        <v/>
      </c>
      <c r="G92">
        <f>IFERROR(INDEX(PP_Grid[#Data],$DD92,5),0)</f>
        <v/>
      </c>
      <c r="H92">
        <f>IFERROR(INDEX(PP_Grid[#Data],$DD92,6),0)</f>
        <v/>
      </c>
      <c r="I92">
        <f>IFERROR(INDEX(PP_Grid[#Data],$DD92,7),0)</f>
        <v/>
      </c>
      <c r="J92">
        <f>IFERROR(INDEX(PP_Grid[#Data],$DD92,8),0)</f>
        <v/>
      </c>
      <c r="K92">
        <f>IFERROR(INDEX(PP_Grid[#Data],$DD92,9),0)</f>
        <v/>
      </c>
      <c r="L92">
        <f>IFERROR(INDEX(PP_Grid[#Data],$DD92,10),0)</f>
        <v/>
      </c>
      <c r="M92">
        <f>IFERROR(INDEX(PP_Grid[#Data],$DD92,11),0)</f>
        <v/>
      </c>
      <c r="N92">
        <f>IFERROR(INDEX(PP_Grid[#Data],$DD92,12),0)</f>
        <v/>
      </c>
      <c r="O92">
        <f>IFERROR(INDEX(PP_Grid[#Data],$DD92,13),0)</f>
        <v/>
      </c>
      <c r="P92">
        <f>IFERROR(INDEX(PP_Grid[#Data],$DD92,14),0)</f>
        <v/>
      </c>
      <c r="Q92">
        <f>IFERROR(INDEX(PP_Grid[#Data],$DD92,15),0)</f>
        <v/>
      </c>
      <c r="R92">
        <f>IFERROR(INDEX(PP_Grid[#Data],$DD92,16),0)</f>
        <v/>
      </c>
      <c r="S92">
        <f>IFERROR(INDEX(PP_Grid[#Data],$DD92,17),0)</f>
        <v/>
      </c>
      <c r="T92">
        <f>IFERROR(INDEX(PP_Grid[#Data],$DD92,18),0)</f>
        <v/>
      </c>
      <c r="U92">
        <f>IFERROR(INDEX(PP_Grid[#Data],$DD92,19),0)</f>
        <v/>
      </c>
      <c r="V92">
        <f>IFERROR(INDEX(PP_Grid[#Data],$DD92,20),0)</f>
        <v/>
      </c>
      <c r="W92">
        <f>IFERROR(INDEX(PP_Grid[#Data],$DD92,21),0)</f>
        <v/>
      </c>
      <c r="X92">
        <f>IFERROR(INDEX(PP_Grid[#Data],$DD92,22),0)</f>
        <v/>
      </c>
      <c r="Y92">
        <f>IFERROR(INDEX(PP_Grid[#Data],$DD92,23),0)</f>
        <v/>
      </c>
      <c r="Z92">
        <f>IFERROR(INDEX(PP_Grid[#Data],$DD92,24),0)</f>
        <v/>
      </c>
      <c r="AA92">
        <f>IFERROR(INDEX(PP_Grid[#Data],$DD92,25),0)</f>
        <v/>
      </c>
      <c r="AB92">
        <f>IFERROR(INDEX(PP_Grid[#Data],$DD92,26),0)</f>
        <v/>
      </c>
      <c r="AC92">
        <f>IFERROR(INDEX(PP_Grid[#Data],$DD92,27),0)</f>
        <v/>
      </c>
      <c r="AD92">
        <f>IFERROR(INDEX(PP_Grid[#Data],$DD92,28),0)</f>
        <v/>
      </c>
      <c r="AE92">
        <f>IFERROR(INDEX(PP_Grid[#Data],$DD92,29),0)</f>
        <v/>
      </c>
      <c r="AF92">
        <f>IFERROR(INDEX(PP_Grid[#Data],$DD92,30),0)</f>
        <v/>
      </c>
      <c r="AG92">
        <f>IFERROR(INDEX(PP_Grid[#Data],$DD92,31),0)</f>
        <v/>
      </c>
      <c r="AH92">
        <f>IFERROR(INDEX(PP_Grid[#Data],$DD92,32),0)</f>
        <v/>
      </c>
      <c r="AI92">
        <f>IFERROR(INDEX(PP_Grid[#Data],$DD92,33),0)</f>
        <v/>
      </c>
      <c r="AJ92">
        <f>IFERROR(INDEX(PP_Grid[#Data],$DD92,34),0)</f>
        <v/>
      </c>
      <c r="AK92">
        <f>IFERROR(INDEX(PP_Grid[#Data],$DD92,35),0)</f>
        <v/>
      </c>
      <c r="AL92">
        <f>IFERROR(INDEX(PP_Grid[#Data],$DD92,36),0)</f>
        <v/>
      </c>
      <c r="AM92">
        <f>IFERROR(INDEX(PP_Grid[#Data],$DD92,37),0)</f>
        <v/>
      </c>
      <c r="AN92">
        <f>IFERROR(INDEX(PP_Grid[#Data],$DD92,38),0)</f>
        <v/>
      </c>
      <c r="AO92">
        <f>IFERROR(INDEX(PP_Grid[#Data],$DD92,39),0)</f>
        <v/>
      </c>
      <c r="AP92">
        <f>IFERROR(INDEX(PP_Grid[#Data],$DD92,40),0)</f>
        <v/>
      </c>
      <c r="AQ92">
        <f>IFERROR(INDEX(PP_Grid[#Data],$DD92,41),0)</f>
        <v/>
      </c>
      <c r="AR92">
        <f>IFERROR(INDEX(PP_Grid[#Data],$DD92,42),0)</f>
        <v/>
      </c>
      <c r="AS92">
        <f>IFERROR(INDEX(PP_Grid[#Data],$DD92,43),0)</f>
        <v/>
      </c>
      <c r="AT92">
        <f>IFERROR(INDEX(PP_Grid[#Data],$DD92,44),0)</f>
        <v/>
      </c>
      <c r="AU92">
        <f>IFERROR(INDEX(PP_Grid[#Data],$DD92,45),0)</f>
        <v/>
      </c>
      <c r="AV92">
        <f>IFERROR(INDEX(PP_Grid[#Data],$DD92,46),0)</f>
        <v/>
      </c>
      <c r="AW92">
        <f>IFERROR(INDEX(PP_Grid[#Data],$DD92,47),0)</f>
        <v/>
      </c>
      <c r="AX92">
        <f>IFERROR(INDEX(PP_Grid[#Data],$DD92,48),0)</f>
        <v/>
      </c>
      <c r="AY92">
        <f>IFERROR(INDEX(PP_Grid[#Data],$DD92,49),0)</f>
        <v/>
      </c>
      <c r="AZ92">
        <f>IFERROR(INDEX(PP_Grid[#Data],$DD92,50),0)</f>
        <v/>
      </c>
      <c r="BA92">
        <f>IFERROR(INDEX(PP_Grid[#Data],$DD92,51),0)</f>
        <v/>
      </c>
      <c r="BB92">
        <f>IFERROR(INDEX(PP_Grid[#Data],$DD92,52),0)</f>
        <v/>
      </c>
      <c r="BC92">
        <f>IFERROR(INDEX(PP_Grid[#Data],$DD92,53),0)</f>
        <v/>
      </c>
      <c r="BD92">
        <f>IFERROR(INDEX(PP_Grid[#Data],$DD92,54),0)</f>
        <v/>
      </c>
      <c r="BE92">
        <f>IFERROR(INDEX(PP_Grid[#Data],$DD92,55),0)</f>
        <v/>
      </c>
      <c r="BF92">
        <f>IFERROR(INDEX(PP_Grid[#Data],$DD92,56),0)</f>
        <v/>
      </c>
      <c r="BG92">
        <f>IFERROR(INDEX(PP_Grid[#Data],$DD92,57),0)</f>
        <v/>
      </c>
      <c r="BH92">
        <f>IFERROR(INDEX(PP_Grid[#Data],$DD92,58),0)</f>
        <v/>
      </c>
      <c r="BI92">
        <f>IFERROR(INDEX(PP_Grid[#Data],$DD92,59),0)</f>
        <v/>
      </c>
      <c r="BJ92">
        <f>IFERROR(INDEX(PP_Grid[#Data],$DD92,60),0)</f>
        <v/>
      </c>
      <c r="BK92">
        <f>IFERROR(INDEX(PP_Grid[#Data],$DD92,61),0)</f>
        <v/>
      </c>
      <c r="BL92">
        <f>IFERROR(INDEX(PP_Grid[#Data],$DD92,62),0)</f>
        <v/>
      </c>
      <c r="BM92">
        <f>IFERROR(INDEX(PP_Grid[#Data],$DD92,63),0)</f>
        <v/>
      </c>
      <c r="BN92">
        <f>IFERROR(INDEX(PP_Grid[#Data],$DD92,64),0)</f>
        <v/>
      </c>
      <c r="BO92">
        <f>IFERROR(INDEX(PP_Grid[#Data],$DD92,65),0)</f>
        <v/>
      </c>
      <c r="BP92">
        <f>IFERROR(INDEX(PP_Grid[#Data],$DD92,66),0)</f>
        <v/>
      </c>
      <c r="BQ92">
        <f>IFERROR(INDEX(PP_Grid[#Data],$DD92,67),0)</f>
        <v/>
      </c>
      <c r="BR92">
        <f>IFERROR(INDEX(PP_Grid[#Data],$DD92,68),0)</f>
        <v/>
      </c>
      <c r="BS92">
        <f>IFERROR(INDEX(PP_Grid[#Data],$DD92,69),0)</f>
        <v/>
      </c>
      <c r="BT92">
        <f>IFERROR(INDEX(PP_Grid[#Data],$DD92,70),0)</f>
        <v/>
      </c>
      <c r="BU92">
        <f>IFERROR(INDEX(PP_Grid[#Data],$DD92,71),0)</f>
        <v/>
      </c>
      <c r="BV92">
        <f>IFERROR(INDEX(PP_Grid[#Data],$DD92,72),0)</f>
        <v/>
      </c>
      <c r="BW92">
        <f>IFERROR(INDEX(PP_Grid[#Data],$DD92,73),0)</f>
        <v/>
      </c>
      <c r="BX92">
        <f>IFERROR(INDEX(PP_Grid[#Data],$DD92,74),0)</f>
        <v/>
      </c>
      <c r="BY92">
        <f>IFERROR(INDEX(PP_Grid[#Data],$DD92,75),0)</f>
        <v/>
      </c>
      <c r="BZ92">
        <f>IFERROR(INDEX(PP_Grid[#Data],$DD92,76),0)</f>
        <v/>
      </c>
      <c r="CA92">
        <f>IFERROR(INDEX(PP_Grid[#Data],$DD92,77),0)</f>
        <v/>
      </c>
      <c r="CB92">
        <f>IFERROR(INDEX(PP_Grid[#Data],$DD92,78),0)</f>
        <v/>
      </c>
      <c r="CC92">
        <f>IFERROR(INDEX(PP_Grid[#Data],$DD92,79),0)</f>
        <v/>
      </c>
      <c r="CD92">
        <f>IFERROR(INDEX(PP_Grid[#Data],$DD92,80),0)</f>
        <v/>
      </c>
      <c r="CE92">
        <f>IFERROR(INDEX(PP_Grid[#Data],$DD92,81),0)</f>
        <v/>
      </c>
      <c r="CF92">
        <f>IFERROR(INDEX(PP_Grid[#Data],$DD92,82),0)</f>
        <v/>
      </c>
      <c r="CG92">
        <f>IFERROR(INDEX(PP_Grid[#Data],$DD92,83),0)</f>
        <v/>
      </c>
      <c r="CH92">
        <f>IFERROR(INDEX(PP_Grid[#Data],$DD92,84),0)</f>
        <v/>
      </c>
      <c r="CI92">
        <f>IFERROR(INDEX(PP_Grid[#Data],$DD92,85),0)</f>
        <v/>
      </c>
      <c r="CJ92">
        <f>IFERROR(INDEX(PP_Grid[#Data],$DD92,86),0)</f>
        <v/>
      </c>
      <c r="CK92">
        <f>IFERROR(INDEX(PP_Grid[#Data],$DD92,87),0)</f>
        <v/>
      </c>
      <c r="CL92">
        <f>IFERROR(INDEX(PP_Grid[#Data],$DD92,88),0)</f>
        <v/>
      </c>
      <c r="CM92">
        <f>IFERROR(INDEX(PP_Grid[#Data],$DD92,89),0)</f>
        <v/>
      </c>
      <c r="CN92">
        <f>IFERROR(INDEX(PP_Grid[#Data],$DD92,90),0)</f>
        <v/>
      </c>
      <c r="CO92">
        <f>IFERROR(INDEX(PP_Grid[#Data],$DD92,91),0)</f>
        <v/>
      </c>
      <c r="CP92">
        <f>IFERROR(INDEX(PP_Grid[#Data],$DD92,92),0)</f>
        <v/>
      </c>
      <c r="CQ92">
        <f>IFERROR(INDEX(PP_Grid[#Data],$DD92,93),0)</f>
        <v/>
      </c>
      <c r="CR92">
        <f>IFERROR(INDEX(PP_Grid[#Data],$DD92,94),0)</f>
        <v/>
      </c>
      <c r="CS92">
        <f>IFERROR(INDEX(PP_Grid[#Data],$DD92,95),0)</f>
        <v/>
      </c>
      <c r="CT92">
        <f>IFERROR(INDEX(PP_Grid[#Data],$DD92,96),0)</f>
        <v/>
      </c>
      <c r="CU92">
        <f>IFERROR(INDEX(PP_Grid[#Data],$DD92,97),0)</f>
        <v/>
      </c>
      <c r="CV92">
        <f>IFERROR(INDEX(PP_Grid[#Data],$DD92,98),0)</f>
        <v/>
      </c>
      <c r="CW92">
        <f>IFERROR(INDEX(PP_Grid[#Data],$DD92,99),0)</f>
        <v/>
      </c>
      <c r="CX92">
        <f>IFERROR(INDEX(PP_Grid[#Data],$DD92,100),0)</f>
        <v/>
      </c>
      <c r="CY92">
        <f>IFERROR(INDEX(PP_Grid[#Data],$DD92,101),0)</f>
        <v/>
      </c>
      <c r="CZ92">
        <f>IFERROR(INDEX(PP_Grid[#Data],$DD92,102),0)</f>
        <v/>
      </c>
      <c r="DA92">
        <f>IFERROR(INDEX(PP_Grid[#Data],$DD92,103),0)</f>
        <v/>
      </c>
      <c r="DB92">
        <f>IFERROR(INDEX(PP_Grid[#Data],$DD92,104),0)</f>
        <v/>
      </c>
      <c r="DC92">
        <f>IFERROR(INDEX(PP_Grid[#Data],$DD92,105),0)</f>
        <v/>
      </c>
      <c r="DD92" s="7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SUMIFS(M_BOM[RM_Qty_Per_Batch],M_BOM[Intermediate],$B92,M_BOM[Part Name],$A45)</f>
        <v/>
      </c>
      <c r="D93">
        <f>$C93*D92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</row>
    <row r="94">
      <c r="B94" t="inlineStr">
        <is>
          <t>TSP-404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7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Name],$A45)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t="inlineStr">
        <is>
          <t>TSP-405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7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Name],$A45)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t="inlineStr">
        <is>
          <t>TSP-544</t>
        </is>
      </c>
      <c r="C98" t="inlineStr">
        <is>
          <t>No. of batches</t>
        </is>
      </c>
      <c r="D98">
        <f>IFERROR(INDEX(PP_Grid[#Data],$DD98,2),0)</f>
        <v/>
      </c>
      <c r="E98">
        <f>IFERROR(INDEX(PP_Grid[#Data],$DD98,3),0)</f>
        <v/>
      </c>
      <c r="F98">
        <f>IFERROR(INDEX(PP_Grid[#Data],$DD98,4),0)</f>
        <v/>
      </c>
      <c r="G98">
        <f>IFERROR(INDEX(PP_Grid[#Data],$DD98,5),0)</f>
        <v/>
      </c>
      <c r="H98">
        <f>IFERROR(INDEX(PP_Grid[#Data],$DD98,6),0)</f>
        <v/>
      </c>
      <c r="I98">
        <f>IFERROR(INDEX(PP_Grid[#Data],$DD98,7),0)</f>
        <v/>
      </c>
      <c r="J98">
        <f>IFERROR(INDEX(PP_Grid[#Data],$DD98,8),0)</f>
        <v/>
      </c>
      <c r="K98">
        <f>IFERROR(INDEX(PP_Grid[#Data],$DD98,9),0)</f>
        <v/>
      </c>
      <c r="L98">
        <f>IFERROR(INDEX(PP_Grid[#Data],$DD98,10),0)</f>
        <v/>
      </c>
      <c r="M98">
        <f>IFERROR(INDEX(PP_Grid[#Data],$DD98,11),0)</f>
        <v/>
      </c>
      <c r="N98">
        <f>IFERROR(INDEX(PP_Grid[#Data],$DD98,12),0)</f>
        <v/>
      </c>
      <c r="O98">
        <f>IFERROR(INDEX(PP_Grid[#Data],$DD98,13),0)</f>
        <v/>
      </c>
      <c r="P98">
        <f>IFERROR(INDEX(PP_Grid[#Data],$DD98,14),0)</f>
        <v/>
      </c>
      <c r="Q98">
        <f>IFERROR(INDEX(PP_Grid[#Data],$DD98,15),0)</f>
        <v/>
      </c>
      <c r="R98">
        <f>IFERROR(INDEX(PP_Grid[#Data],$DD98,16),0)</f>
        <v/>
      </c>
      <c r="S98">
        <f>IFERROR(INDEX(PP_Grid[#Data],$DD98,17),0)</f>
        <v/>
      </c>
      <c r="T98">
        <f>IFERROR(INDEX(PP_Grid[#Data],$DD98,18),0)</f>
        <v/>
      </c>
      <c r="U98">
        <f>IFERROR(INDEX(PP_Grid[#Data],$DD98,19),0)</f>
        <v/>
      </c>
      <c r="V98">
        <f>IFERROR(INDEX(PP_Grid[#Data],$DD98,20),0)</f>
        <v/>
      </c>
      <c r="W98">
        <f>IFERROR(INDEX(PP_Grid[#Data],$DD98,21),0)</f>
        <v/>
      </c>
      <c r="X98">
        <f>IFERROR(INDEX(PP_Grid[#Data],$DD98,22),0)</f>
        <v/>
      </c>
      <c r="Y98">
        <f>IFERROR(INDEX(PP_Grid[#Data],$DD98,23),0)</f>
        <v/>
      </c>
      <c r="Z98">
        <f>IFERROR(INDEX(PP_Grid[#Data],$DD98,24),0)</f>
        <v/>
      </c>
      <c r="AA98">
        <f>IFERROR(INDEX(PP_Grid[#Data],$DD98,25),0)</f>
        <v/>
      </c>
      <c r="AB98">
        <f>IFERROR(INDEX(PP_Grid[#Data],$DD98,26),0)</f>
        <v/>
      </c>
      <c r="AC98">
        <f>IFERROR(INDEX(PP_Grid[#Data],$DD98,27),0)</f>
        <v/>
      </c>
      <c r="AD98">
        <f>IFERROR(INDEX(PP_Grid[#Data],$DD98,28),0)</f>
        <v/>
      </c>
      <c r="AE98">
        <f>IFERROR(INDEX(PP_Grid[#Data],$DD98,29),0)</f>
        <v/>
      </c>
      <c r="AF98">
        <f>IFERROR(INDEX(PP_Grid[#Data],$DD98,30),0)</f>
        <v/>
      </c>
      <c r="AG98">
        <f>IFERROR(INDEX(PP_Grid[#Data],$DD98,31),0)</f>
        <v/>
      </c>
      <c r="AH98">
        <f>IFERROR(INDEX(PP_Grid[#Data],$DD98,32),0)</f>
        <v/>
      </c>
      <c r="AI98">
        <f>IFERROR(INDEX(PP_Grid[#Data],$DD98,33),0)</f>
        <v/>
      </c>
      <c r="AJ98">
        <f>IFERROR(INDEX(PP_Grid[#Data],$DD98,34),0)</f>
        <v/>
      </c>
      <c r="AK98">
        <f>IFERROR(INDEX(PP_Grid[#Data],$DD98,35),0)</f>
        <v/>
      </c>
      <c r="AL98">
        <f>IFERROR(INDEX(PP_Grid[#Data],$DD98,36),0)</f>
        <v/>
      </c>
      <c r="AM98">
        <f>IFERROR(INDEX(PP_Grid[#Data],$DD98,37),0)</f>
        <v/>
      </c>
      <c r="AN98">
        <f>IFERROR(INDEX(PP_Grid[#Data],$DD98,38),0)</f>
        <v/>
      </c>
      <c r="AO98">
        <f>IFERROR(INDEX(PP_Grid[#Data],$DD98,39),0)</f>
        <v/>
      </c>
      <c r="AP98">
        <f>IFERROR(INDEX(PP_Grid[#Data],$DD98,40),0)</f>
        <v/>
      </c>
      <c r="AQ98">
        <f>IFERROR(INDEX(PP_Grid[#Data],$DD98,41),0)</f>
        <v/>
      </c>
      <c r="AR98">
        <f>IFERROR(INDEX(PP_Grid[#Data],$DD98,42),0)</f>
        <v/>
      </c>
      <c r="AS98">
        <f>IFERROR(INDEX(PP_Grid[#Data],$DD98,43),0)</f>
        <v/>
      </c>
      <c r="AT98">
        <f>IFERROR(INDEX(PP_Grid[#Data],$DD98,44),0)</f>
        <v/>
      </c>
      <c r="AU98">
        <f>IFERROR(INDEX(PP_Grid[#Data],$DD98,45),0)</f>
        <v/>
      </c>
      <c r="AV98">
        <f>IFERROR(INDEX(PP_Grid[#Data],$DD98,46),0)</f>
        <v/>
      </c>
      <c r="AW98">
        <f>IFERROR(INDEX(PP_Grid[#Data],$DD98,47),0)</f>
        <v/>
      </c>
      <c r="AX98">
        <f>IFERROR(INDEX(PP_Grid[#Data],$DD98,48),0)</f>
        <v/>
      </c>
      <c r="AY98">
        <f>IFERROR(INDEX(PP_Grid[#Data],$DD98,49),0)</f>
        <v/>
      </c>
      <c r="AZ98">
        <f>IFERROR(INDEX(PP_Grid[#Data],$DD98,50),0)</f>
        <v/>
      </c>
      <c r="BA98">
        <f>IFERROR(INDEX(PP_Grid[#Data],$DD98,51),0)</f>
        <v/>
      </c>
      <c r="BB98">
        <f>IFERROR(INDEX(PP_Grid[#Data],$DD98,52),0)</f>
        <v/>
      </c>
      <c r="BC98">
        <f>IFERROR(INDEX(PP_Grid[#Data],$DD98,53),0)</f>
        <v/>
      </c>
      <c r="BD98">
        <f>IFERROR(INDEX(PP_Grid[#Data],$DD98,54),0)</f>
        <v/>
      </c>
      <c r="BE98">
        <f>IFERROR(INDEX(PP_Grid[#Data],$DD98,55),0)</f>
        <v/>
      </c>
      <c r="BF98">
        <f>IFERROR(INDEX(PP_Grid[#Data],$DD98,56),0)</f>
        <v/>
      </c>
      <c r="BG98">
        <f>IFERROR(INDEX(PP_Grid[#Data],$DD98,57),0)</f>
        <v/>
      </c>
      <c r="BH98">
        <f>IFERROR(INDEX(PP_Grid[#Data],$DD98,58),0)</f>
        <v/>
      </c>
      <c r="BI98">
        <f>IFERROR(INDEX(PP_Grid[#Data],$DD98,59),0)</f>
        <v/>
      </c>
      <c r="BJ98">
        <f>IFERROR(INDEX(PP_Grid[#Data],$DD98,60),0)</f>
        <v/>
      </c>
      <c r="BK98">
        <f>IFERROR(INDEX(PP_Grid[#Data],$DD98,61),0)</f>
        <v/>
      </c>
      <c r="BL98">
        <f>IFERROR(INDEX(PP_Grid[#Data],$DD98,62),0)</f>
        <v/>
      </c>
      <c r="BM98">
        <f>IFERROR(INDEX(PP_Grid[#Data],$DD98,63),0)</f>
        <v/>
      </c>
      <c r="BN98">
        <f>IFERROR(INDEX(PP_Grid[#Data],$DD98,64),0)</f>
        <v/>
      </c>
      <c r="BO98">
        <f>IFERROR(INDEX(PP_Grid[#Data],$DD98,65),0)</f>
        <v/>
      </c>
      <c r="BP98">
        <f>IFERROR(INDEX(PP_Grid[#Data],$DD98,66),0)</f>
        <v/>
      </c>
      <c r="BQ98">
        <f>IFERROR(INDEX(PP_Grid[#Data],$DD98,67),0)</f>
        <v/>
      </c>
      <c r="BR98">
        <f>IFERROR(INDEX(PP_Grid[#Data],$DD98,68),0)</f>
        <v/>
      </c>
      <c r="BS98">
        <f>IFERROR(INDEX(PP_Grid[#Data],$DD98,69),0)</f>
        <v/>
      </c>
      <c r="BT98">
        <f>IFERROR(INDEX(PP_Grid[#Data],$DD98,70),0)</f>
        <v/>
      </c>
      <c r="BU98">
        <f>IFERROR(INDEX(PP_Grid[#Data],$DD98,71),0)</f>
        <v/>
      </c>
      <c r="BV98">
        <f>IFERROR(INDEX(PP_Grid[#Data],$DD98,72),0)</f>
        <v/>
      </c>
      <c r="BW98">
        <f>IFERROR(INDEX(PP_Grid[#Data],$DD98,73),0)</f>
        <v/>
      </c>
      <c r="BX98">
        <f>IFERROR(INDEX(PP_Grid[#Data],$DD98,74),0)</f>
        <v/>
      </c>
      <c r="BY98">
        <f>IFERROR(INDEX(PP_Grid[#Data],$DD98,75),0)</f>
        <v/>
      </c>
      <c r="BZ98">
        <f>IFERROR(INDEX(PP_Grid[#Data],$DD98,76),0)</f>
        <v/>
      </c>
      <c r="CA98">
        <f>IFERROR(INDEX(PP_Grid[#Data],$DD98,77),0)</f>
        <v/>
      </c>
      <c r="CB98">
        <f>IFERROR(INDEX(PP_Grid[#Data],$DD98,78),0)</f>
        <v/>
      </c>
      <c r="CC98">
        <f>IFERROR(INDEX(PP_Grid[#Data],$DD98,79),0)</f>
        <v/>
      </c>
      <c r="CD98">
        <f>IFERROR(INDEX(PP_Grid[#Data],$DD98,80),0)</f>
        <v/>
      </c>
      <c r="CE98">
        <f>IFERROR(INDEX(PP_Grid[#Data],$DD98,81),0)</f>
        <v/>
      </c>
      <c r="CF98">
        <f>IFERROR(INDEX(PP_Grid[#Data],$DD98,82),0)</f>
        <v/>
      </c>
      <c r="CG98">
        <f>IFERROR(INDEX(PP_Grid[#Data],$DD98,83),0)</f>
        <v/>
      </c>
      <c r="CH98">
        <f>IFERROR(INDEX(PP_Grid[#Data],$DD98,84),0)</f>
        <v/>
      </c>
      <c r="CI98">
        <f>IFERROR(INDEX(PP_Grid[#Data],$DD98,85),0)</f>
        <v/>
      </c>
      <c r="CJ98">
        <f>IFERROR(INDEX(PP_Grid[#Data],$DD98,86),0)</f>
        <v/>
      </c>
      <c r="CK98">
        <f>IFERROR(INDEX(PP_Grid[#Data],$DD98,87),0)</f>
        <v/>
      </c>
      <c r="CL98">
        <f>IFERROR(INDEX(PP_Grid[#Data],$DD98,88),0)</f>
        <v/>
      </c>
      <c r="CM98">
        <f>IFERROR(INDEX(PP_Grid[#Data],$DD98,89),0)</f>
        <v/>
      </c>
      <c r="CN98">
        <f>IFERROR(INDEX(PP_Grid[#Data],$DD98,90),0)</f>
        <v/>
      </c>
      <c r="CO98">
        <f>IFERROR(INDEX(PP_Grid[#Data],$DD98,91),0)</f>
        <v/>
      </c>
      <c r="CP98">
        <f>IFERROR(INDEX(PP_Grid[#Data],$DD98,92),0)</f>
        <v/>
      </c>
      <c r="CQ98">
        <f>IFERROR(INDEX(PP_Grid[#Data],$DD98,93),0)</f>
        <v/>
      </c>
      <c r="CR98">
        <f>IFERROR(INDEX(PP_Grid[#Data],$DD98,94),0)</f>
        <v/>
      </c>
      <c r="CS98">
        <f>IFERROR(INDEX(PP_Grid[#Data],$DD98,95),0)</f>
        <v/>
      </c>
      <c r="CT98">
        <f>IFERROR(INDEX(PP_Grid[#Data],$DD98,96),0)</f>
        <v/>
      </c>
      <c r="CU98">
        <f>IFERROR(INDEX(PP_Grid[#Data],$DD98,97),0)</f>
        <v/>
      </c>
      <c r="CV98">
        <f>IFERROR(INDEX(PP_Grid[#Data],$DD98,98),0)</f>
        <v/>
      </c>
      <c r="CW98">
        <f>IFERROR(INDEX(PP_Grid[#Data],$DD98,99),0)</f>
        <v/>
      </c>
      <c r="CX98">
        <f>IFERROR(INDEX(PP_Grid[#Data],$DD98,100),0)</f>
        <v/>
      </c>
      <c r="CY98">
        <f>IFERROR(INDEX(PP_Grid[#Data],$DD98,101),0)</f>
        <v/>
      </c>
      <c r="CZ98">
        <f>IFERROR(INDEX(PP_Grid[#Data],$DD98,102),0)</f>
        <v/>
      </c>
      <c r="DA98">
        <f>IFERROR(INDEX(PP_Grid[#Data],$DD98,103),0)</f>
        <v/>
      </c>
      <c r="DB98">
        <f>IFERROR(INDEX(PP_Grid[#Data],$DD98,104),0)</f>
        <v/>
      </c>
      <c r="DC98">
        <f>IFERROR(INDEX(PP_Grid[#Data],$DD98,105),0)</f>
        <v/>
      </c>
      <c r="DD98" s="7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SUMIFS(M_BOM[RM_Qty_Per_Batch],M_BOM[Intermediate],$B98,M_BOM[Part Name],$A45)</f>
        <v/>
      </c>
      <c r="D99">
        <f>$C99*D98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</row>
    <row r="100">
      <c r="B100" t="inlineStr">
        <is>
          <t>TSP-558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7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Name],$A45)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t="inlineStr">
        <is>
          <t>TSP-618</t>
        </is>
      </c>
      <c r="C102" t="inlineStr">
        <is>
          <t>No. of batches</t>
        </is>
      </c>
      <c r="D102">
        <f>IFERROR(INDEX(PP_Grid[#Data],$DD102,2),0)</f>
        <v/>
      </c>
      <c r="E102">
        <f>IFERROR(INDEX(PP_Grid[#Data],$DD102,3),0)</f>
        <v/>
      </c>
      <c r="F102">
        <f>IFERROR(INDEX(PP_Grid[#Data],$DD102,4),0)</f>
        <v/>
      </c>
      <c r="G102">
        <f>IFERROR(INDEX(PP_Grid[#Data],$DD102,5),0)</f>
        <v/>
      </c>
      <c r="H102">
        <f>IFERROR(INDEX(PP_Grid[#Data],$DD102,6),0)</f>
        <v/>
      </c>
      <c r="I102">
        <f>IFERROR(INDEX(PP_Grid[#Data],$DD102,7),0)</f>
        <v/>
      </c>
      <c r="J102">
        <f>IFERROR(INDEX(PP_Grid[#Data],$DD102,8),0)</f>
        <v/>
      </c>
      <c r="K102">
        <f>IFERROR(INDEX(PP_Grid[#Data],$DD102,9),0)</f>
        <v/>
      </c>
      <c r="L102">
        <f>IFERROR(INDEX(PP_Grid[#Data],$DD102,10),0)</f>
        <v/>
      </c>
      <c r="M102">
        <f>IFERROR(INDEX(PP_Grid[#Data],$DD102,11),0)</f>
        <v/>
      </c>
      <c r="N102">
        <f>IFERROR(INDEX(PP_Grid[#Data],$DD102,12),0)</f>
        <v/>
      </c>
      <c r="O102">
        <f>IFERROR(INDEX(PP_Grid[#Data],$DD102,13),0)</f>
        <v/>
      </c>
      <c r="P102">
        <f>IFERROR(INDEX(PP_Grid[#Data],$DD102,14),0)</f>
        <v/>
      </c>
      <c r="Q102">
        <f>IFERROR(INDEX(PP_Grid[#Data],$DD102,15),0)</f>
        <v/>
      </c>
      <c r="R102">
        <f>IFERROR(INDEX(PP_Grid[#Data],$DD102,16),0)</f>
        <v/>
      </c>
      <c r="S102">
        <f>IFERROR(INDEX(PP_Grid[#Data],$DD102,17),0)</f>
        <v/>
      </c>
      <c r="T102">
        <f>IFERROR(INDEX(PP_Grid[#Data],$DD102,18),0)</f>
        <v/>
      </c>
      <c r="U102">
        <f>IFERROR(INDEX(PP_Grid[#Data],$DD102,19),0)</f>
        <v/>
      </c>
      <c r="V102">
        <f>IFERROR(INDEX(PP_Grid[#Data],$DD102,20),0)</f>
        <v/>
      </c>
      <c r="W102">
        <f>IFERROR(INDEX(PP_Grid[#Data],$DD102,21),0)</f>
        <v/>
      </c>
      <c r="X102">
        <f>IFERROR(INDEX(PP_Grid[#Data],$DD102,22),0)</f>
        <v/>
      </c>
      <c r="Y102">
        <f>IFERROR(INDEX(PP_Grid[#Data],$DD102,23),0)</f>
        <v/>
      </c>
      <c r="Z102">
        <f>IFERROR(INDEX(PP_Grid[#Data],$DD102,24),0)</f>
        <v/>
      </c>
      <c r="AA102">
        <f>IFERROR(INDEX(PP_Grid[#Data],$DD102,25),0)</f>
        <v/>
      </c>
      <c r="AB102">
        <f>IFERROR(INDEX(PP_Grid[#Data],$DD102,26),0)</f>
        <v/>
      </c>
      <c r="AC102">
        <f>IFERROR(INDEX(PP_Grid[#Data],$DD102,27),0)</f>
        <v/>
      </c>
      <c r="AD102">
        <f>IFERROR(INDEX(PP_Grid[#Data],$DD102,28),0)</f>
        <v/>
      </c>
      <c r="AE102">
        <f>IFERROR(INDEX(PP_Grid[#Data],$DD102,29),0)</f>
        <v/>
      </c>
      <c r="AF102">
        <f>IFERROR(INDEX(PP_Grid[#Data],$DD102,30),0)</f>
        <v/>
      </c>
      <c r="AG102">
        <f>IFERROR(INDEX(PP_Grid[#Data],$DD102,31),0)</f>
        <v/>
      </c>
      <c r="AH102">
        <f>IFERROR(INDEX(PP_Grid[#Data],$DD102,32),0)</f>
        <v/>
      </c>
      <c r="AI102">
        <f>IFERROR(INDEX(PP_Grid[#Data],$DD102,33),0)</f>
        <v/>
      </c>
      <c r="AJ102">
        <f>IFERROR(INDEX(PP_Grid[#Data],$DD102,34),0)</f>
        <v/>
      </c>
      <c r="AK102">
        <f>IFERROR(INDEX(PP_Grid[#Data],$DD102,35),0)</f>
        <v/>
      </c>
      <c r="AL102">
        <f>IFERROR(INDEX(PP_Grid[#Data],$DD102,36),0)</f>
        <v/>
      </c>
      <c r="AM102">
        <f>IFERROR(INDEX(PP_Grid[#Data],$DD102,37),0)</f>
        <v/>
      </c>
      <c r="AN102">
        <f>IFERROR(INDEX(PP_Grid[#Data],$DD102,38),0)</f>
        <v/>
      </c>
      <c r="AO102">
        <f>IFERROR(INDEX(PP_Grid[#Data],$DD102,39),0)</f>
        <v/>
      </c>
      <c r="AP102">
        <f>IFERROR(INDEX(PP_Grid[#Data],$DD102,40),0)</f>
        <v/>
      </c>
      <c r="AQ102">
        <f>IFERROR(INDEX(PP_Grid[#Data],$DD102,41),0)</f>
        <v/>
      </c>
      <c r="AR102">
        <f>IFERROR(INDEX(PP_Grid[#Data],$DD102,42),0)</f>
        <v/>
      </c>
      <c r="AS102">
        <f>IFERROR(INDEX(PP_Grid[#Data],$DD102,43),0)</f>
        <v/>
      </c>
      <c r="AT102">
        <f>IFERROR(INDEX(PP_Grid[#Data],$DD102,44),0)</f>
        <v/>
      </c>
      <c r="AU102">
        <f>IFERROR(INDEX(PP_Grid[#Data],$DD102,45),0)</f>
        <v/>
      </c>
      <c r="AV102">
        <f>IFERROR(INDEX(PP_Grid[#Data],$DD102,46),0)</f>
        <v/>
      </c>
      <c r="AW102">
        <f>IFERROR(INDEX(PP_Grid[#Data],$DD102,47),0)</f>
        <v/>
      </c>
      <c r="AX102">
        <f>IFERROR(INDEX(PP_Grid[#Data],$DD102,48),0)</f>
        <v/>
      </c>
      <c r="AY102">
        <f>IFERROR(INDEX(PP_Grid[#Data],$DD102,49),0)</f>
        <v/>
      </c>
      <c r="AZ102">
        <f>IFERROR(INDEX(PP_Grid[#Data],$DD102,50),0)</f>
        <v/>
      </c>
      <c r="BA102">
        <f>IFERROR(INDEX(PP_Grid[#Data],$DD102,51),0)</f>
        <v/>
      </c>
      <c r="BB102">
        <f>IFERROR(INDEX(PP_Grid[#Data],$DD102,52),0)</f>
        <v/>
      </c>
      <c r="BC102">
        <f>IFERROR(INDEX(PP_Grid[#Data],$DD102,53),0)</f>
        <v/>
      </c>
      <c r="BD102">
        <f>IFERROR(INDEX(PP_Grid[#Data],$DD102,54),0)</f>
        <v/>
      </c>
      <c r="BE102">
        <f>IFERROR(INDEX(PP_Grid[#Data],$DD102,55),0)</f>
        <v/>
      </c>
      <c r="BF102">
        <f>IFERROR(INDEX(PP_Grid[#Data],$DD102,56),0)</f>
        <v/>
      </c>
      <c r="BG102">
        <f>IFERROR(INDEX(PP_Grid[#Data],$DD102,57),0)</f>
        <v/>
      </c>
      <c r="BH102">
        <f>IFERROR(INDEX(PP_Grid[#Data],$DD102,58),0)</f>
        <v/>
      </c>
      <c r="BI102">
        <f>IFERROR(INDEX(PP_Grid[#Data],$DD102,59),0)</f>
        <v/>
      </c>
      <c r="BJ102">
        <f>IFERROR(INDEX(PP_Grid[#Data],$DD102,60),0)</f>
        <v/>
      </c>
      <c r="BK102">
        <f>IFERROR(INDEX(PP_Grid[#Data],$DD102,61),0)</f>
        <v/>
      </c>
      <c r="BL102">
        <f>IFERROR(INDEX(PP_Grid[#Data],$DD102,62),0)</f>
        <v/>
      </c>
      <c r="BM102">
        <f>IFERROR(INDEX(PP_Grid[#Data],$DD102,63),0)</f>
        <v/>
      </c>
      <c r="BN102">
        <f>IFERROR(INDEX(PP_Grid[#Data],$DD102,64),0)</f>
        <v/>
      </c>
      <c r="BO102">
        <f>IFERROR(INDEX(PP_Grid[#Data],$DD102,65),0)</f>
        <v/>
      </c>
      <c r="BP102">
        <f>IFERROR(INDEX(PP_Grid[#Data],$DD102,66),0)</f>
        <v/>
      </c>
      <c r="BQ102">
        <f>IFERROR(INDEX(PP_Grid[#Data],$DD102,67),0)</f>
        <v/>
      </c>
      <c r="BR102">
        <f>IFERROR(INDEX(PP_Grid[#Data],$DD102,68),0)</f>
        <v/>
      </c>
      <c r="BS102">
        <f>IFERROR(INDEX(PP_Grid[#Data],$DD102,69),0)</f>
        <v/>
      </c>
      <c r="BT102">
        <f>IFERROR(INDEX(PP_Grid[#Data],$DD102,70),0)</f>
        <v/>
      </c>
      <c r="BU102">
        <f>IFERROR(INDEX(PP_Grid[#Data],$DD102,71),0)</f>
        <v/>
      </c>
      <c r="BV102">
        <f>IFERROR(INDEX(PP_Grid[#Data],$DD102,72),0)</f>
        <v/>
      </c>
      <c r="BW102">
        <f>IFERROR(INDEX(PP_Grid[#Data],$DD102,73),0)</f>
        <v/>
      </c>
      <c r="BX102">
        <f>IFERROR(INDEX(PP_Grid[#Data],$DD102,74),0)</f>
        <v/>
      </c>
      <c r="BY102">
        <f>IFERROR(INDEX(PP_Grid[#Data],$DD102,75),0)</f>
        <v/>
      </c>
      <c r="BZ102">
        <f>IFERROR(INDEX(PP_Grid[#Data],$DD102,76),0)</f>
        <v/>
      </c>
      <c r="CA102">
        <f>IFERROR(INDEX(PP_Grid[#Data],$DD102,77),0)</f>
        <v/>
      </c>
      <c r="CB102">
        <f>IFERROR(INDEX(PP_Grid[#Data],$DD102,78),0)</f>
        <v/>
      </c>
      <c r="CC102">
        <f>IFERROR(INDEX(PP_Grid[#Data],$DD102,79),0)</f>
        <v/>
      </c>
      <c r="CD102">
        <f>IFERROR(INDEX(PP_Grid[#Data],$DD102,80),0)</f>
        <v/>
      </c>
      <c r="CE102">
        <f>IFERROR(INDEX(PP_Grid[#Data],$DD102,81),0)</f>
        <v/>
      </c>
      <c r="CF102">
        <f>IFERROR(INDEX(PP_Grid[#Data],$DD102,82),0)</f>
        <v/>
      </c>
      <c r="CG102">
        <f>IFERROR(INDEX(PP_Grid[#Data],$DD102,83),0)</f>
        <v/>
      </c>
      <c r="CH102">
        <f>IFERROR(INDEX(PP_Grid[#Data],$DD102,84),0)</f>
        <v/>
      </c>
      <c r="CI102">
        <f>IFERROR(INDEX(PP_Grid[#Data],$DD102,85),0)</f>
        <v/>
      </c>
      <c r="CJ102">
        <f>IFERROR(INDEX(PP_Grid[#Data],$DD102,86),0)</f>
        <v/>
      </c>
      <c r="CK102">
        <f>IFERROR(INDEX(PP_Grid[#Data],$DD102,87),0)</f>
        <v/>
      </c>
      <c r="CL102">
        <f>IFERROR(INDEX(PP_Grid[#Data],$DD102,88),0)</f>
        <v/>
      </c>
      <c r="CM102">
        <f>IFERROR(INDEX(PP_Grid[#Data],$DD102,89),0)</f>
        <v/>
      </c>
      <c r="CN102">
        <f>IFERROR(INDEX(PP_Grid[#Data],$DD102,90),0)</f>
        <v/>
      </c>
      <c r="CO102">
        <f>IFERROR(INDEX(PP_Grid[#Data],$DD102,91),0)</f>
        <v/>
      </c>
      <c r="CP102">
        <f>IFERROR(INDEX(PP_Grid[#Data],$DD102,92),0)</f>
        <v/>
      </c>
      <c r="CQ102">
        <f>IFERROR(INDEX(PP_Grid[#Data],$DD102,93),0)</f>
        <v/>
      </c>
      <c r="CR102">
        <f>IFERROR(INDEX(PP_Grid[#Data],$DD102,94),0)</f>
        <v/>
      </c>
      <c r="CS102">
        <f>IFERROR(INDEX(PP_Grid[#Data],$DD102,95),0)</f>
        <v/>
      </c>
      <c r="CT102">
        <f>IFERROR(INDEX(PP_Grid[#Data],$DD102,96),0)</f>
        <v/>
      </c>
      <c r="CU102">
        <f>IFERROR(INDEX(PP_Grid[#Data],$DD102,97),0)</f>
        <v/>
      </c>
      <c r="CV102">
        <f>IFERROR(INDEX(PP_Grid[#Data],$DD102,98),0)</f>
        <v/>
      </c>
      <c r="CW102">
        <f>IFERROR(INDEX(PP_Grid[#Data],$DD102,99),0)</f>
        <v/>
      </c>
      <c r="CX102">
        <f>IFERROR(INDEX(PP_Grid[#Data],$DD102,100),0)</f>
        <v/>
      </c>
      <c r="CY102">
        <f>IFERROR(INDEX(PP_Grid[#Data],$DD102,101),0)</f>
        <v/>
      </c>
      <c r="CZ102">
        <f>IFERROR(INDEX(PP_Grid[#Data],$DD102,102),0)</f>
        <v/>
      </c>
      <c r="DA102">
        <f>IFERROR(INDEX(PP_Grid[#Data],$DD102,103),0)</f>
        <v/>
      </c>
      <c r="DB102">
        <f>IFERROR(INDEX(PP_Grid[#Data],$DD102,104),0)</f>
        <v/>
      </c>
      <c r="DC102">
        <f>IFERROR(INDEX(PP_Grid[#Data],$DD102,105),0)</f>
        <v/>
      </c>
      <c r="DD102" s="7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SUMIFS(M_BOM[RM_Qty_Per_Batch],M_BOM[Intermediate],$B102,M_BOM[Part Name],$A45)</f>
        <v/>
      </c>
      <c r="D103">
        <f>$C103*D102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</row>
    <row r="104">
      <c r="B104" t="inlineStr">
        <is>
          <t>TSP-620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7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Name],$A45)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t="inlineStr">
        <is>
          <t>TSP-623</t>
        </is>
      </c>
      <c r="C106" t="inlineStr">
        <is>
          <t>No. of batches</t>
        </is>
      </c>
      <c r="D106">
        <f>IFERROR(INDEX(PP_Grid[#Data],$DD106,2),0)</f>
        <v/>
      </c>
      <c r="E106">
        <f>IFERROR(INDEX(PP_Grid[#Data],$DD106,3),0)</f>
        <v/>
      </c>
      <c r="F106">
        <f>IFERROR(INDEX(PP_Grid[#Data],$DD106,4),0)</f>
        <v/>
      </c>
      <c r="G106">
        <f>IFERROR(INDEX(PP_Grid[#Data],$DD106,5),0)</f>
        <v/>
      </c>
      <c r="H106">
        <f>IFERROR(INDEX(PP_Grid[#Data],$DD106,6),0)</f>
        <v/>
      </c>
      <c r="I106">
        <f>IFERROR(INDEX(PP_Grid[#Data],$DD106,7),0)</f>
        <v/>
      </c>
      <c r="J106">
        <f>IFERROR(INDEX(PP_Grid[#Data],$DD106,8),0)</f>
        <v/>
      </c>
      <c r="K106">
        <f>IFERROR(INDEX(PP_Grid[#Data],$DD106,9),0)</f>
        <v/>
      </c>
      <c r="L106">
        <f>IFERROR(INDEX(PP_Grid[#Data],$DD106,10),0)</f>
        <v/>
      </c>
      <c r="M106">
        <f>IFERROR(INDEX(PP_Grid[#Data],$DD106,11),0)</f>
        <v/>
      </c>
      <c r="N106">
        <f>IFERROR(INDEX(PP_Grid[#Data],$DD106,12),0)</f>
        <v/>
      </c>
      <c r="O106">
        <f>IFERROR(INDEX(PP_Grid[#Data],$DD106,13),0)</f>
        <v/>
      </c>
      <c r="P106">
        <f>IFERROR(INDEX(PP_Grid[#Data],$DD106,14),0)</f>
        <v/>
      </c>
      <c r="Q106">
        <f>IFERROR(INDEX(PP_Grid[#Data],$DD106,15),0)</f>
        <v/>
      </c>
      <c r="R106">
        <f>IFERROR(INDEX(PP_Grid[#Data],$DD106,16),0)</f>
        <v/>
      </c>
      <c r="S106">
        <f>IFERROR(INDEX(PP_Grid[#Data],$DD106,17),0)</f>
        <v/>
      </c>
      <c r="T106">
        <f>IFERROR(INDEX(PP_Grid[#Data],$DD106,18),0)</f>
        <v/>
      </c>
      <c r="U106">
        <f>IFERROR(INDEX(PP_Grid[#Data],$DD106,19),0)</f>
        <v/>
      </c>
      <c r="V106">
        <f>IFERROR(INDEX(PP_Grid[#Data],$DD106,20),0)</f>
        <v/>
      </c>
      <c r="W106">
        <f>IFERROR(INDEX(PP_Grid[#Data],$DD106,21),0)</f>
        <v/>
      </c>
      <c r="X106">
        <f>IFERROR(INDEX(PP_Grid[#Data],$DD106,22),0)</f>
        <v/>
      </c>
      <c r="Y106">
        <f>IFERROR(INDEX(PP_Grid[#Data],$DD106,23),0)</f>
        <v/>
      </c>
      <c r="Z106">
        <f>IFERROR(INDEX(PP_Grid[#Data],$DD106,24),0)</f>
        <v/>
      </c>
      <c r="AA106">
        <f>IFERROR(INDEX(PP_Grid[#Data],$DD106,25),0)</f>
        <v/>
      </c>
      <c r="AB106">
        <f>IFERROR(INDEX(PP_Grid[#Data],$DD106,26),0)</f>
        <v/>
      </c>
      <c r="AC106">
        <f>IFERROR(INDEX(PP_Grid[#Data],$DD106,27),0)</f>
        <v/>
      </c>
      <c r="AD106">
        <f>IFERROR(INDEX(PP_Grid[#Data],$DD106,28),0)</f>
        <v/>
      </c>
      <c r="AE106">
        <f>IFERROR(INDEX(PP_Grid[#Data],$DD106,29),0)</f>
        <v/>
      </c>
      <c r="AF106">
        <f>IFERROR(INDEX(PP_Grid[#Data],$DD106,30),0)</f>
        <v/>
      </c>
      <c r="AG106">
        <f>IFERROR(INDEX(PP_Grid[#Data],$DD106,31),0)</f>
        <v/>
      </c>
      <c r="AH106">
        <f>IFERROR(INDEX(PP_Grid[#Data],$DD106,32),0)</f>
        <v/>
      </c>
      <c r="AI106">
        <f>IFERROR(INDEX(PP_Grid[#Data],$DD106,33),0)</f>
        <v/>
      </c>
      <c r="AJ106">
        <f>IFERROR(INDEX(PP_Grid[#Data],$DD106,34),0)</f>
        <v/>
      </c>
      <c r="AK106">
        <f>IFERROR(INDEX(PP_Grid[#Data],$DD106,35),0)</f>
        <v/>
      </c>
      <c r="AL106">
        <f>IFERROR(INDEX(PP_Grid[#Data],$DD106,36),0)</f>
        <v/>
      </c>
      <c r="AM106">
        <f>IFERROR(INDEX(PP_Grid[#Data],$DD106,37),0)</f>
        <v/>
      </c>
      <c r="AN106">
        <f>IFERROR(INDEX(PP_Grid[#Data],$DD106,38),0)</f>
        <v/>
      </c>
      <c r="AO106">
        <f>IFERROR(INDEX(PP_Grid[#Data],$DD106,39),0)</f>
        <v/>
      </c>
      <c r="AP106">
        <f>IFERROR(INDEX(PP_Grid[#Data],$DD106,40),0)</f>
        <v/>
      </c>
      <c r="AQ106">
        <f>IFERROR(INDEX(PP_Grid[#Data],$DD106,41),0)</f>
        <v/>
      </c>
      <c r="AR106">
        <f>IFERROR(INDEX(PP_Grid[#Data],$DD106,42),0)</f>
        <v/>
      </c>
      <c r="AS106">
        <f>IFERROR(INDEX(PP_Grid[#Data],$DD106,43),0)</f>
        <v/>
      </c>
      <c r="AT106">
        <f>IFERROR(INDEX(PP_Grid[#Data],$DD106,44),0)</f>
        <v/>
      </c>
      <c r="AU106">
        <f>IFERROR(INDEX(PP_Grid[#Data],$DD106,45),0)</f>
        <v/>
      </c>
      <c r="AV106">
        <f>IFERROR(INDEX(PP_Grid[#Data],$DD106,46),0)</f>
        <v/>
      </c>
      <c r="AW106">
        <f>IFERROR(INDEX(PP_Grid[#Data],$DD106,47),0)</f>
        <v/>
      </c>
      <c r="AX106">
        <f>IFERROR(INDEX(PP_Grid[#Data],$DD106,48),0)</f>
        <v/>
      </c>
      <c r="AY106">
        <f>IFERROR(INDEX(PP_Grid[#Data],$DD106,49),0)</f>
        <v/>
      </c>
      <c r="AZ106">
        <f>IFERROR(INDEX(PP_Grid[#Data],$DD106,50),0)</f>
        <v/>
      </c>
      <c r="BA106">
        <f>IFERROR(INDEX(PP_Grid[#Data],$DD106,51),0)</f>
        <v/>
      </c>
      <c r="BB106">
        <f>IFERROR(INDEX(PP_Grid[#Data],$DD106,52),0)</f>
        <v/>
      </c>
      <c r="BC106">
        <f>IFERROR(INDEX(PP_Grid[#Data],$DD106,53),0)</f>
        <v/>
      </c>
      <c r="BD106">
        <f>IFERROR(INDEX(PP_Grid[#Data],$DD106,54),0)</f>
        <v/>
      </c>
      <c r="BE106">
        <f>IFERROR(INDEX(PP_Grid[#Data],$DD106,55),0)</f>
        <v/>
      </c>
      <c r="BF106">
        <f>IFERROR(INDEX(PP_Grid[#Data],$DD106,56),0)</f>
        <v/>
      </c>
      <c r="BG106">
        <f>IFERROR(INDEX(PP_Grid[#Data],$DD106,57),0)</f>
        <v/>
      </c>
      <c r="BH106">
        <f>IFERROR(INDEX(PP_Grid[#Data],$DD106,58),0)</f>
        <v/>
      </c>
      <c r="BI106">
        <f>IFERROR(INDEX(PP_Grid[#Data],$DD106,59),0)</f>
        <v/>
      </c>
      <c r="BJ106">
        <f>IFERROR(INDEX(PP_Grid[#Data],$DD106,60),0)</f>
        <v/>
      </c>
      <c r="BK106">
        <f>IFERROR(INDEX(PP_Grid[#Data],$DD106,61),0)</f>
        <v/>
      </c>
      <c r="BL106">
        <f>IFERROR(INDEX(PP_Grid[#Data],$DD106,62),0)</f>
        <v/>
      </c>
      <c r="BM106">
        <f>IFERROR(INDEX(PP_Grid[#Data],$DD106,63),0)</f>
        <v/>
      </c>
      <c r="BN106">
        <f>IFERROR(INDEX(PP_Grid[#Data],$DD106,64),0)</f>
        <v/>
      </c>
      <c r="BO106">
        <f>IFERROR(INDEX(PP_Grid[#Data],$DD106,65),0)</f>
        <v/>
      </c>
      <c r="BP106">
        <f>IFERROR(INDEX(PP_Grid[#Data],$DD106,66),0)</f>
        <v/>
      </c>
      <c r="BQ106">
        <f>IFERROR(INDEX(PP_Grid[#Data],$DD106,67),0)</f>
        <v/>
      </c>
      <c r="BR106">
        <f>IFERROR(INDEX(PP_Grid[#Data],$DD106,68),0)</f>
        <v/>
      </c>
      <c r="BS106">
        <f>IFERROR(INDEX(PP_Grid[#Data],$DD106,69),0)</f>
        <v/>
      </c>
      <c r="BT106">
        <f>IFERROR(INDEX(PP_Grid[#Data],$DD106,70),0)</f>
        <v/>
      </c>
      <c r="BU106">
        <f>IFERROR(INDEX(PP_Grid[#Data],$DD106,71),0)</f>
        <v/>
      </c>
      <c r="BV106">
        <f>IFERROR(INDEX(PP_Grid[#Data],$DD106,72),0)</f>
        <v/>
      </c>
      <c r="BW106">
        <f>IFERROR(INDEX(PP_Grid[#Data],$DD106,73),0)</f>
        <v/>
      </c>
      <c r="BX106">
        <f>IFERROR(INDEX(PP_Grid[#Data],$DD106,74),0)</f>
        <v/>
      </c>
      <c r="BY106">
        <f>IFERROR(INDEX(PP_Grid[#Data],$DD106,75),0)</f>
        <v/>
      </c>
      <c r="BZ106">
        <f>IFERROR(INDEX(PP_Grid[#Data],$DD106,76),0)</f>
        <v/>
      </c>
      <c r="CA106">
        <f>IFERROR(INDEX(PP_Grid[#Data],$DD106,77),0)</f>
        <v/>
      </c>
      <c r="CB106">
        <f>IFERROR(INDEX(PP_Grid[#Data],$DD106,78),0)</f>
        <v/>
      </c>
      <c r="CC106">
        <f>IFERROR(INDEX(PP_Grid[#Data],$DD106,79),0)</f>
        <v/>
      </c>
      <c r="CD106">
        <f>IFERROR(INDEX(PP_Grid[#Data],$DD106,80),0)</f>
        <v/>
      </c>
      <c r="CE106">
        <f>IFERROR(INDEX(PP_Grid[#Data],$DD106,81),0)</f>
        <v/>
      </c>
      <c r="CF106">
        <f>IFERROR(INDEX(PP_Grid[#Data],$DD106,82),0)</f>
        <v/>
      </c>
      <c r="CG106">
        <f>IFERROR(INDEX(PP_Grid[#Data],$DD106,83),0)</f>
        <v/>
      </c>
      <c r="CH106">
        <f>IFERROR(INDEX(PP_Grid[#Data],$DD106,84),0)</f>
        <v/>
      </c>
      <c r="CI106">
        <f>IFERROR(INDEX(PP_Grid[#Data],$DD106,85),0)</f>
        <v/>
      </c>
      <c r="CJ106">
        <f>IFERROR(INDEX(PP_Grid[#Data],$DD106,86),0)</f>
        <v/>
      </c>
      <c r="CK106">
        <f>IFERROR(INDEX(PP_Grid[#Data],$DD106,87),0)</f>
        <v/>
      </c>
      <c r="CL106">
        <f>IFERROR(INDEX(PP_Grid[#Data],$DD106,88),0)</f>
        <v/>
      </c>
      <c r="CM106">
        <f>IFERROR(INDEX(PP_Grid[#Data],$DD106,89),0)</f>
        <v/>
      </c>
      <c r="CN106">
        <f>IFERROR(INDEX(PP_Grid[#Data],$DD106,90),0)</f>
        <v/>
      </c>
      <c r="CO106">
        <f>IFERROR(INDEX(PP_Grid[#Data],$DD106,91),0)</f>
        <v/>
      </c>
      <c r="CP106">
        <f>IFERROR(INDEX(PP_Grid[#Data],$DD106,92),0)</f>
        <v/>
      </c>
      <c r="CQ106">
        <f>IFERROR(INDEX(PP_Grid[#Data],$DD106,93),0)</f>
        <v/>
      </c>
      <c r="CR106">
        <f>IFERROR(INDEX(PP_Grid[#Data],$DD106,94),0)</f>
        <v/>
      </c>
      <c r="CS106">
        <f>IFERROR(INDEX(PP_Grid[#Data],$DD106,95),0)</f>
        <v/>
      </c>
      <c r="CT106">
        <f>IFERROR(INDEX(PP_Grid[#Data],$DD106,96),0)</f>
        <v/>
      </c>
      <c r="CU106">
        <f>IFERROR(INDEX(PP_Grid[#Data],$DD106,97),0)</f>
        <v/>
      </c>
      <c r="CV106">
        <f>IFERROR(INDEX(PP_Grid[#Data],$DD106,98),0)</f>
        <v/>
      </c>
      <c r="CW106">
        <f>IFERROR(INDEX(PP_Grid[#Data],$DD106,99),0)</f>
        <v/>
      </c>
      <c r="CX106">
        <f>IFERROR(INDEX(PP_Grid[#Data],$DD106,100),0)</f>
        <v/>
      </c>
      <c r="CY106">
        <f>IFERROR(INDEX(PP_Grid[#Data],$DD106,101),0)</f>
        <v/>
      </c>
      <c r="CZ106">
        <f>IFERROR(INDEX(PP_Grid[#Data],$DD106,102),0)</f>
        <v/>
      </c>
      <c r="DA106">
        <f>IFERROR(INDEX(PP_Grid[#Data],$DD106,103),0)</f>
        <v/>
      </c>
      <c r="DB106">
        <f>IFERROR(INDEX(PP_Grid[#Data],$DD106,104),0)</f>
        <v/>
      </c>
      <c r="DC106">
        <f>IFERROR(INDEX(PP_Grid[#Data],$DD106,105),0)</f>
        <v/>
      </c>
      <c r="DD106" s="7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SUMIFS(M_BOM[RM_Qty_Per_Batch],M_BOM[Intermediate],$B106,M_BOM[Part Name],$A45)</f>
        <v/>
      </c>
      <c r="D107">
        <f>$C107*D106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</row>
    <row r="108">
      <c r="B108" t="inlineStr">
        <is>
          <t>TSP-655</t>
        </is>
      </c>
      <c r="C108" t="inlineStr">
        <is>
          <t>No. of batches</t>
        </is>
      </c>
      <c r="D108">
        <f>IFERROR(INDEX(PP_Grid[#Data],$DD108,2),0)</f>
        <v/>
      </c>
      <c r="E108">
        <f>IFERROR(INDEX(PP_Grid[#Data],$DD108,3),0)</f>
        <v/>
      </c>
      <c r="F108">
        <f>IFERROR(INDEX(PP_Grid[#Data],$DD108,4),0)</f>
        <v/>
      </c>
      <c r="G108">
        <f>IFERROR(INDEX(PP_Grid[#Data],$DD108,5),0)</f>
        <v/>
      </c>
      <c r="H108">
        <f>IFERROR(INDEX(PP_Grid[#Data],$DD108,6),0)</f>
        <v/>
      </c>
      <c r="I108">
        <f>IFERROR(INDEX(PP_Grid[#Data],$DD108,7),0)</f>
        <v/>
      </c>
      <c r="J108">
        <f>IFERROR(INDEX(PP_Grid[#Data],$DD108,8),0)</f>
        <v/>
      </c>
      <c r="K108">
        <f>IFERROR(INDEX(PP_Grid[#Data],$DD108,9),0)</f>
        <v/>
      </c>
      <c r="L108">
        <f>IFERROR(INDEX(PP_Grid[#Data],$DD108,10),0)</f>
        <v/>
      </c>
      <c r="M108">
        <f>IFERROR(INDEX(PP_Grid[#Data],$DD108,11),0)</f>
        <v/>
      </c>
      <c r="N108">
        <f>IFERROR(INDEX(PP_Grid[#Data],$DD108,12),0)</f>
        <v/>
      </c>
      <c r="O108">
        <f>IFERROR(INDEX(PP_Grid[#Data],$DD108,13),0)</f>
        <v/>
      </c>
      <c r="P108">
        <f>IFERROR(INDEX(PP_Grid[#Data],$DD108,14),0)</f>
        <v/>
      </c>
      <c r="Q108">
        <f>IFERROR(INDEX(PP_Grid[#Data],$DD108,15),0)</f>
        <v/>
      </c>
      <c r="R108">
        <f>IFERROR(INDEX(PP_Grid[#Data],$DD108,16),0)</f>
        <v/>
      </c>
      <c r="S108">
        <f>IFERROR(INDEX(PP_Grid[#Data],$DD108,17),0)</f>
        <v/>
      </c>
      <c r="T108">
        <f>IFERROR(INDEX(PP_Grid[#Data],$DD108,18),0)</f>
        <v/>
      </c>
      <c r="U108">
        <f>IFERROR(INDEX(PP_Grid[#Data],$DD108,19),0)</f>
        <v/>
      </c>
      <c r="V108">
        <f>IFERROR(INDEX(PP_Grid[#Data],$DD108,20),0)</f>
        <v/>
      </c>
      <c r="W108">
        <f>IFERROR(INDEX(PP_Grid[#Data],$DD108,21),0)</f>
        <v/>
      </c>
      <c r="X108">
        <f>IFERROR(INDEX(PP_Grid[#Data],$DD108,22),0)</f>
        <v/>
      </c>
      <c r="Y108">
        <f>IFERROR(INDEX(PP_Grid[#Data],$DD108,23),0)</f>
        <v/>
      </c>
      <c r="Z108">
        <f>IFERROR(INDEX(PP_Grid[#Data],$DD108,24),0)</f>
        <v/>
      </c>
      <c r="AA108">
        <f>IFERROR(INDEX(PP_Grid[#Data],$DD108,25),0)</f>
        <v/>
      </c>
      <c r="AB108">
        <f>IFERROR(INDEX(PP_Grid[#Data],$DD108,26),0)</f>
        <v/>
      </c>
      <c r="AC108">
        <f>IFERROR(INDEX(PP_Grid[#Data],$DD108,27),0)</f>
        <v/>
      </c>
      <c r="AD108">
        <f>IFERROR(INDEX(PP_Grid[#Data],$DD108,28),0)</f>
        <v/>
      </c>
      <c r="AE108">
        <f>IFERROR(INDEX(PP_Grid[#Data],$DD108,29),0)</f>
        <v/>
      </c>
      <c r="AF108">
        <f>IFERROR(INDEX(PP_Grid[#Data],$DD108,30),0)</f>
        <v/>
      </c>
      <c r="AG108">
        <f>IFERROR(INDEX(PP_Grid[#Data],$DD108,31),0)</f>
        <v/>
      </c>
      <c r="AH108">
        <f>IFERROR(INDEX(PP_Grid[#Data],$DD108,32),0)</f>
        <v/>
      </c>
      <c r="AI108">
        <f>IFERROR(INDEX(PP_Grid[#Data],$DD108,33),0)</f>
        <v/>
      </c>
      <c r="AJ108">
        <f>IFERROR(INDEX(PP_Grid[#Data],$DD108,34),0)</f>
        <v/>
      </c>
      <c r="AK108">
        <f>IFERROR(INDEX(PP_Grid[#Data],$DD108,35),0)</f>
        <v/>
      </c>
      <c r="AL108">
        <f>IFERROR(INDEX(PP_Grid[#Data],$DD108,36),0)</f>
        <v/>
      </c>
      <c r="AM108">
        <f>IFERROR(INDEX(PP_Grid[#Data],$DD108,37),0)</f>
        <v/>
      </c>
      <c r="AN108">
        <f>IFERROR(INDEX(PP_Grid[#Data],$DD108,38),0)</f>
        <v/>
      </c>
      <c r="AO108">
        <f>IFERROR(INDEX(PP_Grid[#Data],$DD108,39),0)</f>
        <v/>
      </c>
      <c r="AP108">
        <f>IFERROR(INDEX(PP_Grid[#Data],$DD108,40),0)</f>
        <v/>
      </c>
      <c r="AQ108">
        <f>IFERROR(INDEX(PP_Grid[#Data],$DD108,41),0)</f>
        <v/>
      </c>
      <c r="AR108">
        <f>IFERROR(INDEX(PP_Grid[#Data],$DD108,42),0)</f>
        <v/>
      </c>
      <c r="AS108">
        <f>IFERROR(INDEX(PP_Grid[#Data],$DD108,43),0)</f>
        <v/>
      </c>
      <c r="AT108">
        <f>IFERROR(INDEX(PP_Grid[#Data],$DD108,44),0)</f>
        <v/>
      </c>
      <c r="AU108">
        <f>IFERROR(INDEX(PP_Grid[#Data],$DD108,45),0)</f>
        <v/>
      </c>
      <c r="AV108">
        <f>IFERROR(INDEX(PP_Grid[#Data],$DD108,46),0)</f>
        <v/>
      </c>
      <c r="AW108">
        <f>IFERROR(INDEX(PP_Grid[#Data],$DD108,47),0)</f>
        <v/>
      </c>
      <c r="AX108">
        <f>IFERROR(INDEX(PP_Grid[#Data],$DD108,48),0)</f>
        <v/>
      </c>
      <c r="AY108">
        <f>IFERROR(INDEX(PP_Grid[#Data],$DD108,49),0)</f>
        <v/>
      </c>
      <c r="AZ108">
        <f>IFERROR(INDEX(PP_Grid[#Data],$DD108,50),0)</f>
        <v/>
      </c>
      <c r="BA108">
        <f>IFERROR(INDEX(PP_Grid[#Data],$DD108,51),0)</f>
        <v/>
      </c>
      <c r="BB108">
        <f>IFERROR(INDEX(PP_Grid[#Data],$DD108,52),0)</f>
        <v/>
      </c>
      <c r="BC108">
        <f>IFERROR(INDEX(PP_Grid[#Data],$DD108,53),0)</f>
        <v/>
      </c>
      <c r="BD108">
        <f>IFERROR(INDEX(PP_Grid[#Data],$DD108,54),0)</f>
        <v/>
      </c>
      <c r="BE108">
        <f>IFERROR(INDEX(PP_Grid[#Data],$DD108,55),0)</f>
        <v/>
      </c>
      <c r="BF108">
        <f>IFERROR(INDEX(PP_Grid[#Data],$DD108,56),0)</f>
        <v/>
      </c>
      <c r="BG108">
        <f>IFERROR(INDEX(PP_Grid[#Data],$DD108,57),0)</f>
        <v/>
      </c>
      <c r="BH108">
        <f>IFERROR(INDEX(PP_Grid[#Data],$DD108,58),0)</f>
        <v/>
      </c>
      <c r="BI108">
        <f>IFERROR(INDEX(PP_Grid[#Data],$DD108,59),0)</f>
        <v/>
      </c>
      <c r="BJ108">
        <f>IFERROR(INDEX(PP_Grid[#Data],$DD108,60),0)</f>
        <v/>
      </c>
      <c r="BK108">
        <f>IFERROR(INDEX(PP_Grid[#Data],$DD108,61),0)</f>
        <v/>
      </c>
      <c r="BL108">
        <f>IFERROR(INDEX(PP_Grid[#Data],$DD108,62),0)</f>
        <v/>
      </c>
      <c r="BM108">
        <f>IFERROR(INDEX(PP_Grid[#Data],$DD108,63),0)</f>
        <v/>
      </c>
      <c r="BN108">
        <f>IFERROR(INDEX(PP_Grid[#Data],$DD108,64),0)</f>
        <v/>
      </c>
      <c r="BO108">
        <f>IFERROR(INDEX(PP_Grid[#Data],$DD108,65),0)</f>
        <v/>
      </c>
      <c r="BP108">
        <f>IFERROR(INDEX(PP_Grid[#Data],$DD108,66),0)</f>
        <v/>
      </c>
      <c r="BQ108">
        <f>IFERROR(INDEX(PP_Grid[#Data],$DD108,67),0)</f>
        <v/>
      </c>
      <c r="BR108">
        <f>IFERROR(INDEX(PP_Grid[#Data],$DD108,68),0)</f>
        <v/>
      </c>
      <c r="BS108">
        <f>IFERROR(INDEX(PP_Grid[#Data],$DD108,69),0)</f>
        <v/>
      </c>
      <c r="BT108">
        <f>IFERROR(INDEX(PP_Grid[#Data],$DD108,70),0)</f>
        <v/>
      </c>
      <c r="BU108">
        <f>IFERROR(INDEX(PP_Grid[#Data],$DD108,71),0)</f>
        <v/>
      </c>
      <c r="BV108">
        <f>IFERROR(INDEX(PP_Grid[#Data],$DD108,72),0)</f>
        <v/>
      </c>
      <c r="BW108">
        <f>IFERROR(INDEX(PP_Grid[#Data],$DD108,73),0)</f>
        <v/>
      </c>
      <c r="BX108">
        <f>IFERROR(INDEX(PP_Grid[#Data],$DD108,74),0)</f>
        <v/>
      </c>
      <c r="BY108">
        <f>IFERROR(INDEX(PP_Grid[#Data],$DD108,75),0)</f>
        <v/>
      </c>
      <c r="BZ108">
        <f>IFERROR(INDEX(PP_Grid[#Data],$DD108,76),0)</f>
        <v/>
      </c>
      <c r="CA108">
        <f>IFERROR(INDEX(PP_Grid[#Data],$DD108,77),0)</f>
        <v/>
      </c>
      <c r="CB108">
        <f>IFERROR(INDEX(PP_Grid[#Data],$DD108,78),0)</f>
        <v/>
      </c>
      <c r="CC108">
        <f>IFERROR(INDEX(PP_Grid[#Data],$DD108,79),0)</f>
        <v/>
      </c>
      <c r="CD108">
        <f>IFERROR(INDEX(PP_Grid[#Data],$DD108,80),0)</f>
        <v/>
      </c>
      <c r="CE108">
        <f>IFERROR(INDEX(PP_Grid[#Data],$DD108,81),0)</f>
        <v/>
      </c>
      <c r="CF108">
        <f>IFERROR(INDEX(PP_Grid[#Data],$DD108,82),0)</f>
        <v/>
      </c>
      <c r="CG108">
        <f>IFERROR(INDEX(PP_Grid[#Data],$DD108,83),0)</f>
        <v/>
      </c>
      <c r="CH108">
        <f>IFERROR(INDEX(PP_Grid[#Data],$DD108,84),0)</f>
        <v/>
      </c>
      <c r="CI108">
        <f>IFERROR(INDEX(PP_Grid[#Data],$DD108,85),0)</f>
        <v/>
      </c>
      <c r="CJ108">
        <f>IFERROR(INDEX(PP_Grid[#Data],$DD108,86),0)</f>
        <v/>
      </c>
      <c r="CK108">
        <f>IFERROR(INDEX(PP_Grid[#Data],$DD108,87),0)</f>
        <v/>
      </c>
      <c r="CL108">
        <f>IFERROR(INDEX(PP_Grid[#Data],$DD108,88),0)</f>
        <v/>
      </c>
      <c r="CM108">
        <f>IFERROR(INDEX(PP_Grid[#Data],$DD108,89),0)</f>
        <v/>
      </c>
      <c r="CN108">
        <f>IFERROR(INDEX(PP_Grid[#Data],$DD108,90),0)</f>
        <v/>
      </c>
      <c r="CO108">
        <f>IFERROR(INDEX(PP_Grid[#Data],$DD108,91),0)</f>
        <v/>
      </c>
      <c r="CP108">
        <f>IFERROR(INDEX(PP_Grid[#Data],$DD108,92),0)</f>
        <v/>
      </c>
      <c r="CQ108">
        <f>IFERROR(INDEX(PP_Grid[#Data],$DD108,93),0)</f>
        <v/>
      </c>
      <c r="CR108">
        <f>IFERROR(INDEX(PP_Grid[#Data],$DD108,94),0)</f>
        <v/>
      </c>
      <c r="CS108">
        <f>IFERROR(INDEX(PP_Grid[#Data],$DD108,95),0)</f>
        <v/>
      </c>
      <c r="CT108">
        <f>IFERROR(INDEX(PP_Grid[#Data],$DD108,96),0)</f>
        <v/>
      </c>
      <c r="CU108">
        <f>IFERROR(INDEX(PP_Grid[#Data],$DD108,97),0)</f>
        <v/>
      </c>
      <c r="CV108">
        <f>IFERROR(INDEX(PP_Grid[#Data],$DD108,98),0)</f>
        <v/>
      </c>
      <c r="CW108">
        <f>IFERROR(INDEX(PP_Grid[#Data],$DD108,99),0)</f>
        <v/>
      </c>
      <c r="CX108">
        <f>IFERROR(INDEX(PP_Grid[#Data],$DD108,100),0)</f>
        <v/>
      </c>
      <c r="CY108">
        <f>IFERROR(INDEX(PP_Grid[#Data],$DD108,101),0)</f>
        <v/>
      </c>
      <c r="CZ108">
        <f>IFERROR(INDEX(PP_Grid[#Data],$DD108,102),0)</f>
        <v/>
      </c>
      <c r="DA108">
        <f>IFERROR(INDEX(PP_Grid[#Data],$DD108,103),0)</f>
        <v/>
      </c>
      <c r="DB108">
        <f>IFERROR(INDEX(PP_Grid[#Data],$DD108,104),0)</f>
        <v/>
      </c>
      <c r="DC108">
        <f>IFERROR(INDEX(PP_Grid[#Data],$DD108,105),0)</f>
        <v/>
      </c>
      <c r="DD108" s="7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SUMIFS(M_BOM[RM_Qty_Per_Batch],M_BOM[Intermediate],$B108,M_BOM[Part Name],$A45)</f>
        <v/>
      </c>
      <c r="D109">
        <f>$C109*D108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</row>
    <row r="110">
      <c r="B110" t="inlineStr">
        <is>
          <t>TSP-656</t>
        </is>
      </c>
      <c r="C110" t="inlineStr">
        <is>
          <t>No. of batches</t>
        </is>
      </c>
      <c r="D110">
        <f>IFERROR(INDEX(PP_Grid[#Data],$DD110,2),0)</f>
        <v/>
      </c>
      <c r="E110">
        <f>IFERROR(INDEX(PP_Grid[#Data],$DD110,3),0)</f>
        <v/>
      </c>
      <c r="F110">
        <f>IFERROR(INDEX(PP_Grid[#Data],$DD110,4),0)</f>
        <v/>
      </c>
      <c r="G110">
        <f>IFERROR(INDEX(PP_Grid[#Data],$DD110,5),0)</f>
        <v/>
      </c>
      <c r="H110">
        <f>IFERROR(INDEX(PP_Grid[#Data],$DD110,6),0)</f>
        <v/>
      </c>
      <c r="I110">
        <f>IFERROR(INDEX(PP_Grid[#Data],$DD110,7),0)</f>
        <v/>
      </c>
      <c r="J110">
        <f>IFERROR(INDEX(PP_Grid[#Data],$DD110,8),0)</f>
        <v/>
      </c>
      <c r="K110">
        <f>IFERROR(INDEX(PP_Grid[#Data],$DD110,9),0)</f>
        <v/>
      </c>
      <c r="L110">
        <f>IFERROR(INDEX(PP_Grid[#Data],$DD110,10),0)</f>
        <v/>
      </c>
      <c r="M110">
        <f>IFERROR(INDEX(PP_Grid[#Data],$DD110,11),0)</f>
        <v/>
      </c>
      <c r="N110">
        <f>IFERROR(INDEX(PP_Grid[#Data],$DD110,12),0)</f>
        <v/>
      </c>
      <c r="O110">
        <f>IFERROR(INDEX(PP_Grid[#Data],$DD110,13),0)</f>
        <v/>
      </c>
      <c r="P110">
        <f>IFERROR(INDEX(PP_Grid[#Data],$DD110,14),0)</f>
        <v/>
      </c>
      <c r="Q110">
        <f>IFERROR(INDEX(PP_Grid[#Data],$DD110,15),0)</f>
        <v/>
      </c>
      <c r="R110">
        <f>IFERROR(INDEX(PP_Grid[#Data],$DD110,16),0)</f>
        <v/>
      </c>
      <c r="S110">
        <f>IFERROR(INDEX(PP_Grid[#Data],$DD110,17),0)</f>
        <v/>
      </c>
      <c r="T110">
        <f>IFERROR(INDEX(PP_Grid[#Data],$DD110,18),0)</f>
        <v/>
      </c>
      <c r="U110">
        <f>IFERROR(INDEX(PP_Grid[#Data],$DD110,19),0)</f>
        <v/>
      </c>
      <c r="V110">
        <f>IFERROR(INDEX(PP_Grid[#Data],$DD110,20),0)</f>
        <v/>
      </c>
      <c r="W110">
        <f>IFERROR(INDEX(PP_Grid[#Data],$DD110,21),0)</f>
        <v/>
      </c>
      <c r="X110">
        <f>IFERROR(INDEX(PP_Grid[#Data],$DD110,22),0)</f>
        <v/>
      </c>
      <c r="Y110">
        <f>IFERROR(INDEX(PP_Grid[#Data],$DD110,23),0)</f>
        <v/>
      </c>
      <c r="Z110">
        <f>IFERROR(INDEX(PP_Grid[#Data],$DD110,24),0)</f>
        <v/>
      </c>
      <c r="AA110">
        <f>IFERROR(INDEX(PP_Grid[#Data],$DD110,25),0)</f>
        <v/>
      </c>
      <c r="AB110">
        <f>IFERROR(INDEX(PP_Grid[#Data],$DD110,26),0)</f>
        <v/>
      </c>
      <c r="AC110">
        <f>IFERROR(INDEX(PP_Grid[#Data],$DD110,27),0)</f>
        <v/>
      </c>
      <c r="AD110">
        <f>IFERROR(INDEX(PP_Grid[#Data],$DD110,28),0)</f>
        <v/>
      </c>
      <c r="AE110">
        <f>IFERROR(INDEX(PP_Grid[#Data],$DD110,29),0)</f>
        <v/>
      </c>
      <c r="AF110">
        <f>IFERROR(INDEX(PP_Grid[#Data],$DD110,30),0)</f>
        <v/>
      </c>
      <c r="AG110">
        <f>IFERROR(INDEX(PP_Grid[#Data],$DD110,31),0)</f>
        <v/>
      </c>
      <c r="AH110">
        <f>IFERROR(INDEX(PP_Grid[#Data],$DD110,32),0)</f>
        <v/>
      </c>
      <c r="AI110">
        <f>IFERROR(INDEX(PP_Grid[#Data],$DD110,33),0)</f>
        <v/>
      </c>
      <c r="AJ110">
        <f>IFERROR(INDEX(PP_Grid[#Data],$DD110,34),0)</f>
        <v/>
      </c>
      <c r="AK110">
        <f>IFERROR(INDEX(PP_Grid[#Data],$DD110,35),0)</f>
        <v/>
      </c>
      <c r="AL110">
        <f>IFERROR(INDEX(PP_Grid[#Data],$DD110,36),0)</f>
        <v/>
      </c>
      <c r="AM110">
        <f>IFERROR(INDEX(PP_Grid[#Data],$DD110,37),0)</f>
        <v/>
      </c>
      <c r="AN110">
        <f>IFERROR(INDEX(PP_Grid[#Data],$DD110,38),0)</f>
        <v/>
      </c>
      <c r="AO110">
        <f>IFERROR(INDEX(PP_Grid[#Data],$DD110,39),0)</f>
        <v/>
      </c>
      <c r="AP110">
        <f>IFERROR(INDEX(PP_Grid[#Data],$DD110,40),0)</f>
        <v/>
      </c>
      <c r="AQ110">
        <f>IFERROR(INDEX(PP_Grid[#Data],$DD110,41),0)</f>
        <v/>
      </c>
      <c r="AR110">
        <f>IFERROR(INDEX(PP_Grid[#Data],$DD110,42),0)</f>
        <v/>
      </c>
      <c r="AS110">
        <f>IFERROR(INDEX(PP_Grid[#Data],$DD110,43),0)</f>
        <v/>
      </c>
      <c r="AT110">
        <f>IFERROR(INDEX(PP_Grid[#Data],$DD110,44),0)</f>
        <v/>
      </c>
      <c r="AU110">
        <f>IFERROR(INDEX(PP_Grid[#Data],$DD110,45),0)</f>
        <v/>
      </c>
      <c r="AV110">
        <f>IFERROR(INDEX(PP_Grid[#Data],$DD110,46),0)</f>
        <v/>
      </c>
      <c r="AW110">
        <f>IFERROR(INDEX(PP_Grid[#Data],$DD110,47),0)</f>
        <v/>
      </c>
      <c r="AX110">
        <f>IFERROR(INDEX(PP_Grid[#Data],$DD110,48),0)</f>
        <v/>
      </c>
      <c r="AY110">
        <f>IFERROR(INDEX(PP_Grid[#Data],$DD110,49),0)</f>
        <v/>
      </c>
      <c r="AZ110">
        <f>IFERROR(INDEX(PP_Grid[#Data],$DD110,50),0)</f>
        <v/>
      </c>
      <c r="BA110">
        <f>IFERROR(INDEX(PP_Grid[#Data],$DD110,51),0)</f>
        <v/>
      </c>
      <c r="BB110">
        <f>IFERROR(INDEX(PP_Grid[#Data],$DD110,52),0)</f>
        <v/>
      </c>
      <c r="BC110">
        <f>IFERROR(INDEX(PP_Grid[#Data],$DD110,53),0)</f>
        <v/>
      </c>
      <c r="BD110">
        <f>IFERROR(INDEX(PP_Grid[#Data],$DD110,54),0)</f>
        <v/>
      </c>
      <c r="BE110">
        <f>IFERROR(INDEX(PP_Grid[#Data],$DD110,55),0)</f>
        <v/>
      </c>
      <c r="BF110">
        <f>IFERROR(INDEX(PP_Grid[#Data],$DD110,56),0)</f>
        <v/>
      </c>
      <c r="BG110">
        <f>IFERROR(INDEX(PP_Grid[#Data],$DD110,57),0)</f>
        <v/>
      </c>
      <c r="BH110">
        <f>IFERROR(INDEX(PP_Grid[#Data],$DD110,58),0)</f>
        <v/>
      </c>
      <c r="BI110">
        <f>IFERROR(INDEX(PP_Grid[#Data],$DD110,59),0)</f>
        <v/>
      </c>
      <c r="BJ110">
        <f>IFERROR(INDEX(PP_Grid[#Data],$DD110,60),0)</f>
        <v/>
      </c>
      <c r="BK110">
        <f>IFERROR(INDEX(PP_Grid[#Data],$DD110,61),0)</f>
        <v/>
      </c>
      <c r="BL110">
        <f>IFERROR(INDEX(PP_Grid[#Data],$DD110,62),0)</f>
        <v/>
      </c>
      <c r="BM110">
        <f>IFERROR(INDEX(PP_Grid[#Data],$DD110,63),0)</f>
        <v/>
      </c>
      <c r="BN110">
        <f>IFERROR(INDEX(PP_Grid[#Data],$DD110,64),0)</f>
        <v/>
      </c>
      <c r="BO110">
        <f>IFERROR(INDEX(PP_Grid[#Data],$DD110,65),0)</f>
        <v/>
      </c>
      <c r="BP110">
        <f>IFERROR(INDEX(PP_Grid[#Data],$DD110,66),0)</f>
        <v/>
      </c>
      <c r="BQ110">
        <f>IFERROR(INDEX(PP_Grid[#Data],$DD110,67),0)</f>
        <v/>
      </c>
      <c r="BR110">
        <f>IFERROR(INDEX(PP_Grid[#Data],$DD110,68),0)</f>
        <v/>
      </c>
      <c r="BS110">
        <f>IFERROR(INDEX(PP_Grid[#Data],$DD110,69),0)</f>
        <v/>
      </c>
      <c r="BT110">
        <f>IFERROR(INDEX(PP_Grid[#Data],$DD110,70),0)</f>
        <v/>
      </c>
      <c r="BU110">
        <f>IFERROR(INDEX(PP_Grid[#Data],$DD110,71),0)</f>
        <v/>
      </c>
      <c r="BV110">
        <f>IFERROR(INDEX(PP_Grid[#Data],$DD110,72),0)</f>
        <v/>
      </c>
      <c r="BW110">
        <f>IFERROR(INDEX(PP_Grid[#Data],$DD110,73),0)</f>
        <v/>
      </c>
      <c r="BX110">
        <f>IFERROR(INDEX(PP_Grid[#Data],$DD110,74),0)</f>
        <v/>
      </c>
      <c r="BY110">
        <f>IFERROR(INDEX(PP_Grid[#Data],$DD110,75),0)</f>
        <v/>
      </c>
      <c r="BZ110">
        <f>IFERROR(INDEX(PP_Grid[#Data],$DD110,76),0)</f>
        <v/>
      </c>
      <c r="CA110">
        <f>IFERROR(INDEX(PP_Grid[#Data],$DD110,77),0)</f>
        <v/>
      </c>
      <c r="CB110">
        <f>IFERROR(INDEX(PP_Grid[#Data],$DD110,78),0)</f>
        <v/>
      </c>
      <c r="CC110">
        <f>IFERROR(INDEX(PP_Grid[#Data],$DD110,79),0)</f>
        <v/>
      </c>
      <c r="CD110">
        <f>IFERROR(INDEX(PP_Grid[#Data],$DD110,80),0)</f>
        <v/>
      </c>
      <c r="CE110">
        <f>IFERROR(INDEX(PP_Grid[#Data],$DD110,81),0)</f>
        <v/>
      </c>
      <c r="CF110">
        <f>IFERROR(INDEX(PP_Grid[#Data],$DD110,82),0)</f>
        <v/>
      </c>
      <c r="CG110">
        <f>IFERROR(INDEX(PP_Grid[#Data],$DD110,83),0)</f>
        <v/>
      </c>
      <c r="CH110">
        <f>IFERROR(INDEX(PP_Grid[#Data],$DD110,84),0)</f>
        <v/>
      </c>
      <c r="CI110">
        <f>IFERROR(INDEX(PP_Grid[#Data],$DD110,85),0)</f>
        <v/>
      </c>
      <c r="CJ110">
        <f>IFERROR(INDEX(PP_Grid[#Data],$DD110,86),0)</f>
        <v/>
      </c>
      <c r="CK110">
        <f>IFERROR(INDEX(PP_Grid[#Data],$DD110,87),0)</f>
        <v/>
      </c>
      <c r="CL110">
        <f>IFERROR(INDEX(PP_Grid[#Data],$DD110,88),0)</f>
        <v/>
      </c>
      <c r="CM110">
        <f>IFERROR(INDEX(PP_Grid[#Data],$DD110,89),0)</f>
        <v/>
      </c>
      <c r="CN110">
        <f>IFERROR(INDEX(PP_Grid[#Data],$DD110,90),0)</f>
        <v/>
      </c>
      <c r="CO110">
        <f>IFERROR(INDEX(PP_Grid[#Data],$DD110,91),0)</f>
        <v/>
      </c>
      <c r="CP110">
        <f>IFERROR(INDEX(PP_Grid[#Data],$DD110,92),0)</f>
        <v/>
      </c>
      <c r="CQ110">
        <f>IFERROR(INDEX(PP_Grid[#Data],$DD110,93),0)</f>
        <v/>
      </c>
      <c r="CR110">
        <f>IFERROR(INDEX(PP_Grid[#Data],$DD110,94),0)</f>
        <v/>
      </c>
      <c r="CS110">
        <f>IFERROR(INDEX(PP_Grid[#Data],$DD110,95),0)</f>
        <v/>
      </c>
      <c r="CT110">
        <f>IFERROR(INDEX(PP_Grid[#Data],$DD110,96),0)</f>
        <v/>
      </c>
      <c r="CU110">
        <f>IFERROR(INDEX(PP_Grid[#Data],$DD110,97),0)</f>
        <v/>
      </c>
      <c r="CV110">
        <f>IFERROR(INDEX(PP_Grid[#Data],$DD110,98),0)</f>
        <v/>
      </c>
      <c r="CW110">
        <f>IFERROR(INDEX(PP_Grid[#Data],$DD110,99),0)</f>
        <v/>
      </c>
      <c r="CX110">
        <f>IFERROR(INDEX(PP_Grid[#Data],$DD110,100),0)</f>
        <v/>
      </c>
      <c r="CY110">
        <f>IFERROR(INDEX(PP_Grid[#Data],$DD110,101),0)</f>
        <v/>
      </c>
      <c r="CZ110">
        <f>IFERROR(INDEX(PP_Grid[#Data],$DD110,102),0)</f>
        <v/>
      </c>
      <c r="DA110">
        <f>IFERROR(INDEX(PP_Grid[#Data],$DD110,103),0)</f>
        <v/>
      </c>
      <c r="DB110">
        <f>IFERROR(INDEX(PP_Grid[#Data],$DD110,104),0)</f>
        <v/>
      </c>
      <c r="DC110">
        <f>IFERROR(INDEX(PP_Grid[#Data],$DD110,105),0)</f>
        <v/>
      </c>
      <c r="DD110" s="7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SUMIFS(M_BOM[RM_Qty_Per_Batch],M_BOM[Intermediate],$B110,M_BOM[Part Name],$A45)</f>
        <v/>
      </c>
      <c r="D111">
        <f>$C111*D110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</row>
    <row r="112">
      <c r="B112" t="inlineStr">
        <is>
          <t>TSP-668</t>
        </is>
      </c>
      <c r="C112" t="inlineStr">
        <is>
          <t>No. of batches</t>
        </is>
      </c>
      <c r="D112">
        <f>IFERROR(INDEX(PP_Grid[#Data],$DD112,2),0)</f>
        <v/>
      </c>
      <c r="E112">
        <f>IFERROR(INDEX(PP_Grid[#Data],$DD112,3),0)</f>
        <v/>
      </c>
      <c r="F112">
        <f>IFERROR(INDEX(PP_Grid[#Data],$DD112,4),0)</f>
        <v/>
      </c>
      <c r="G112">
        <f>IFERROR(INDEX(PP_Grid[#Data],$DD112,5),0)</f>
        <v/>
      </c>
      <c r="H112">
        <f>IFERROR(INDEX(PP_Grid[#Data],$DD112,6),0)</f>
        <v/>
      </c>
      <c r="I112">
        <f>IFERROR(INDEX(PP_Grid[#Data],$DD112,7),0)</f>
        <v/>
      </c>
      <c r="J112">
        <f>IFERROR(INDEX(PP_Grid[#Data],$DD112,8),0)</f>
        <v/>
      </c>
      <c r="K112">
        <f>IFERROR(INDEX(PP_Grid[#Data],$DD112,9),0)</f>
        <v/>
      </c>
      <c r="L112">
        <f>IFERROR(INDEX(PP_Grid[#Data],$DD112,10),0)</f>
        <v/>
      </c>
      <c r="M112">
        <f>IFERROR(INDEX(PP_Grid[#Data],$DD112,11),0)</f>
        <v/>
      </c>
      <c r="N112">
        <f>IFERROR(INDEX(PP_Grid[#Data],$DD112,12),0)</f>
        <v/>
      </c>
      <c r="O112">
        <f>IFERROR(INDEX(PP_Grid[#Data],$DD112,13),0)</f>
        <v/>
      </c>
      <c r="P112">
        <f>IFERROR(INDEX(PP_Grid[#Data],$DD112,14),0)</f>
        <v/>
      </c>
      <c r="Q112">
        <f>IFERROR(INDEX(PP_Grid[#Data],$DD112,15),0)</f>
        <v/>
      </c>
      <c r="R112">
        <f>IFERROR(INDEX(PP_Grid[#Data],$DD112,16),0)</f>
        <v/>
      </c>
      <c r="S112">
        <f>IFERROR(INDEX(PP_Grid[#Data],$DD112,17),0)</f>
        <v/>
      </c>
      <c r="T112">
        <f>IFERROR(INDEX(PP_Grid[#Data],$DD112,18),0)</f>
        <v/>
      </c>
      <c r="U112">
        <f>IFERROR(INDEX(PP_Grid[#Data],$DD112,19),0)</f>
        <v/>
      </c>
      <c r="V112">
        <f>IFERROR(INDEX(PP_Grid[#Data],$DD112,20),0)</f>
        <v/>
      </c>
      <c r="W112">
        <f>IFERROR(INDEX(PP_Grid[#Data],$DD112,21),0)</f>
        <v/>
      </c>
      <c r="X112">
        <f>IFERROR(INDEX(PP_Grid[#Data],$DD112,22),0)</f>
        <v/>
      </c>
      <c r="Y112">
        <f>IFERROR(INDEX(PP_Grid[#Data],$DD112,23),0)</f>
        <v/>
      </c>
      <c r="Z112">
        <f>IFERROR(INDEX(PP_Grid[#Data],$DD112,24),0)</f>
        <v/>
      </c>
      <c r="AA112">
        <f>IFERROR(INDEX(PP_Grid[#Data],$DD112,25),0)</f>
        <v/>
      </c>
      <c r="AB112">
        <f>IFERROR(INDEX(PP_Grid[#Data],$DD112,26),0)</f>
        <v/>
      </c>
      <c r="AC112">
        <f>IFERROR(INDEX(PP_Grid[#Data],$DD112,27),0)</f>
        <v/>
      </c>
      <c r="AD112">
        <f>IFERROR(INDEX(PP_Grid[#Data],$DD112,28),0)</f>
        <v/>
      </c>
      <c r="AE112">
        <f>IFERROR(INDEX(PP_Grid[#Data],$DD112,29),0)</f>
        <v/>
      </c>
      <c r="AF112">
        <f>IFERROR(INDEX(PP_Grid[#Data],$DD112,30),0)</f>
        <v/>
      </c>
      <c r="AG112">
        <f>IFERROR(INDEX(PP_Grid[#Data],$DD112,31),0)</f>
        <v/>
      </c>
      <c r="AH112">
        <f>IFERROR(INDEX(PP_Grid[#Data],$DD112,32),0)</f>
        <v/>
      </c>
      <c r="AI112">
        <f>IFERROR(INDEX(PP_Grid[#Data],$DD112,33),0)</f>
        <v/>
      </c>
      <c r="AJ112">
        <f>IFERROR(INDEX(PP_Grid[#Data],$DD112,34),0)</f>
        <v/>
      </c>
      <c r="AK112">
        <f>IFERROR(INDEX(PP_Grid[#Data],$DD112,35),0)</f>
        <v/>
      </c>
      <c r="AL112">
        <f>IFERROR(INDEX(PP_Grid[#Data],$DD112,36),0)</f>
        <v/>
      </c>
      <c r="AM112">
        <f>IFERROR(INDEX(PP_Grid[#Data],$DD112,37),0)</f>
        <v/>
      </c>
      <c r="AN112">
        <f>IFERROR(INDEX(PP_Grid[#Data],$DD112,38),0)</f>
        <v/>
      </c>
      <c r="AO112">
        <f>IFERROR(INDEX(PP_Grid[#Data],$DD112,39),0)</f>
        <v/>
      </c>
      <c r="AP112">
        <f>IFERROR(INDEX(PP_Grid[#Data],$DD112,40),0)</f>
        <v/>
      </c>
      <c r="AQ112">
        <f>IFERROR(INDEX(PP_Grid[#Data],$DD112,41),0)</f>
        <v/>
      </c>
      <c r="AR112">
        <f>IFERROR(INDEX(PP_Grid[#Data],$DD112,42),0)</f>
        <v/>
      </c>
      <c r="AS112">
        <f>IFERROR(INDEX(PP_Grid[#Data],$DD112,43),0)</f>
        <v/>
      </c>
      <c r="AT112">
        <f>IFERROR(INDEX(PP_Grid[#Data],$DD112,44),0)</f>
        <v/>
      </c>
      <c r="AU112">
        <f>IFERROR(INDEX(PP_Grid[#Data],$DD112,45),0)</f>
        <v/>
      </c>
      <c r="AV112">
        <f>IFERROR(INDEX(PP_Grid[#Data],$DD112,46),0)</f>
        <v/>
      </c>
      <c r="AW112">
        <f>IFERROR(INDEX(PP_Grid[#Data],$DD112,47),0)</f>
        <v/>
      </c>
      <c r="AX112">
        <f>IFERROR(INDEX(PP_Grid[#Data],$DD112,48),0)</f>
        <v/>
      </c>
      <c r="AY112">
        <f>IFERROR(INDEX(PP_Grid[#Data],$DD112,49),0)</f>
        <v/>
      </c>
      <c r="AZ112">
        <f>IFERROR(INDEX(PP_Grid[#Data],$DD112,50),0)</f>
        <v/>
      </c>
      <c r="BA112">
        <f>IFERROR(INDEX(PP_Grid[#Data],$DD112,51),0)</f>
        <v/>
      </c>
      <c r="BB112">
        <f>IFERROR(INDEX(PP_Grid[#Data],$DD112,52),0)</f>
        <v/>
      </c>
      <c r="BC112">
        <f>IFERROR(INDEX(PP_Grid[#Data],$DD112,53),0)</f>
        <v/>
      </c>
      <c r="BD112">
        <f>IFERROR(INDEX(PP_Grid[#Data],$DD112,54),0)</f>
        <v/>
      </c>
      <c r="BE112">
        <f>IFERROR(INDEX(PP_Grid[#Data],$DD112,55),0)</f>
        <v/>
      </c>
      <c r="BF112">
        <f>IFERROR(INDEX(PP_Grid[#Data],$DD112,56),0)</f>
        <v/>
      </c>
      <c r="BG112">
        <f>IFERROR(INDEX(PP_Grid[#Data],$DD112,57),0)</f>
        <v/>
      </c>
      <c r="BH112">
        <f>IFERROR(INDEX(PP_Grid[#Data],$DD112,58),0)</f>
        <v/>
      </c>
      <c r="BI112">
        <f>IFERROR(INDEX(PP_Grid[#Data],$DD112,59),0)</f>
        <v/>
      </c>
      <c r="BJ112">
        <f>IFERROR(INDEX(PP_Grid[#Data],$DD112,60),0)</f>
        <v/>
      </c>
      <c r="BK112">
        <f>IFERROR(INDEX(PP_Grid[#Data],$DD112,61),0)</f>
        <v/>
      </c>
      <c r="BL112">
        <f>IFERROR(INDEX(PP_Grid[#Data],$DD112,62),0)</f>
        <v/>
      </c>
      <c r="BM112">
        <f>IFERROR(INDEX(PP_Grid[#Data],$DD112,63),0)</f>
        <v/>
      </c>
      <c r="BN112">
        <f>IFERROR(INDEX(PP_Grid[#Data],$DD112,64),0)</f>
        <v/>
      </c>
      <c r="BO112">
        <f>IFERROR(INDEX(PP_Grid[#Data],$DD112,65),0)</f>
        <v/>
      </c>
      <c r="BP112">
        <f>IFERROR(INDEX(PP_Grid[#Data],$DD112,66),0)</f>
        <v/>
      </c>
      <c r="BQ112">
        <f>IFERROR(INDEX(PP_Grid[#Data],$DD112,67),0)</f>
        <v/>
      </c>
      <c r="BR112">
        <f>IFERROR(INDEX(PP_Grid[#Data],$DD112,68),0)</f>
        <v/>
      </c>
      <c r="BS112">
        <f>IFERROR(INDEX(PP_Grid[#Data],$DD112,69),0)</f>
        <v/>
      </c>
      <c r="BT112">
        <f>IFERROR(INDEX(PP_Grid[#Data],$DD112,70),0)</f>
        <v/>
      </c>
      <c r="BU112">
        <f>IFERROR(INDEX(PP_Grid[#Data],$DD112,71),0)</f>
        <v/>
      </c>
      <c r="BV112">
        <f>IFERROR(INDEX(PP_Grid[#Data],$DD112,72),0)</f>
        <v/>
      </c>
      <c r="BW112">
        <f>IFERROR(INDEX(PP_Grid[#Data],$DD112,73),0)</f>
        <v/>
      </c>
      <c r="BX112">
        <f>IFERROR(INDEX(PP_Grid[#Data],$DD112,74),0)</f>
        <v/>
      </c>
      <c r="BY112">
        <f>IFERROR(INDEX(PP_Grid[#Data],$DD112,75),0)</f>
        <v/>
      </c>
      <c r="BZ112">
        <f>IFERROR(INDEX(PP_Grid[#Data],$DD112,76),0)</f>
        <v/>
      </c>
      <c r="CA112">
        <f>IFERROR(INDEX(PP_Grid[#Data],$DD112,77),0)</f>
        <v/>
      </c>
      <c r="CB112">
        <f>IFERROR(INDEX(PP_Grid[#Data],$DD112,78),0)</f>
        <v/>
      </c>
      <c r="CC112">
        <f>IFERROR(INDEX(PP_Grid[#Data],$DD112,79),0)</f>
        <v/>
      </c>
      <c r="CD112">
        <f>IFERROR(INDEX(PP_Grid[#Data],$DD112,80),0)</f>
        <v/>
      </c>
      <c r="CE112">
        <f>IFERROR(INDEX(PP_Grid[#Data],$DD112,81),0)</f>
        <v/>
      </c>
      <c r="CF112">
        <f>IFERROR(INDEX(PP_Grid[#Data],$DD112,82),0)</f>
        <v/>
      </c>
      <c r="CG112">
        <f>IFERROR(INDEX(PP_Grid[#Data],$DD112,83),0)</f>
        <v/>
      </c>
      <c r="CH112">
        <f>IFERROR(INDEX(PP_Grid[#Data],$DD112,84),0)</f>
        <v/>
      </c>
      <c r="CI112">
        <f>IFERROR(INDEX(PP_Grid[#Data],$DD112,85),0)</f>
        <v/>
      </c>
      <c r="CJ112">
        <f>IFERROR(INDEX(PP_Grid[#Data],$DD112,86),0)</f>
        <v/>
      </c>
      <c r="CK112">
        <f>IFERROR(INDEX(PP_Grid[#Data],$DD112,87),0)</f>
        <v/>
      </c>
      <c r="CL112">
        <f>IFERROR(INDEX(PP_Grid[#Data],$DD112,88),0)</f>
        <v/>
      </c>
      <c r="CM112">
        <f>IFERROR(INDEX(PP_Grid[#Data],$DD112,89),0)</f>
        <v/>
      </c>
      <c r="CN112">
        <f>IFERROR(INDEX(PP_Grid[#Data],$DD112,90),0)</f>
        <v/>
      </c>
      <c r="CO112">
        <f>IFERROR(INDEX(PP_Grid[#Data],$DD112,91),0)</f>
        <v/>
      </c>
      <c r="CP112">
        <f>IFERROR(INDEX(PP_Grid[#Data],$DD112,92),0)</f>
        <v/>
      </c>
      <c r="CQ112">
        <f>IFERROR(INDEX(PP_Grid[#Data],$DD112,93),0)</f>
        <v/>
      </c>
      <c r="CR112">
        <f>IFERROR(INDEX(PP_Grid[#Data],$DD112,94),0)</f>
        <v/>
      </c>
      <c r="CS112">
        <f>IFERROR(INDEX(PP_Grid[#Data],$DD112,95),0)</f>
        <v/>
      </c>
      <c r="CT112">
        <f>IFERROR(INDEX(PP_Grid[#Data],$DD112,96),0)</f>
        <v/>
      </c>
      <c r="CU112">
        <f>IFERROR(INDEX(PP_Grid[#Data],$DD112,97),0)</f>
        <v/>
      </c>
      <c r="CV112">
        <f>IFERROR(INDEX(PP_Grid[#Data],$DD112,98),0)</f>
        <v/>
      </c>
      <c r="CW112">
        <f>IFERROR(INDEX(PP_Grid[#Data],$DD112,99),0)</f>
        <v/>
      </c>
      <c r="CX112">
        <f>IFERROR(INDEX(PP_Grid[#Data],$DD112,100),0)</f>
        <v/>
      </c>
      <c r="CY112">
        <f>IFERROR(INDEX(PP_Grid[#Data],$DD112,101),0)</f>
        <v/>
      </c>
      <c r="CZ112">
        <f>IFERROR(INDEX(PP_Grid[#Data],$DD112,102),0)</f>
        <v/>
      </c>
      <c r="DA112">
        <f>IFERROR(INDEX(PP_Grid[#Data],$DD112,103),0)</f>
        <v/>
      </c>
      <c r="DB112">
        <f>IFERROR(INDEX(PP_Grid[#Data],$DD112,104),0)</f>
        <v/>
      </c>
      <c r="DC112">
        <f>IFERROR(INDEX(PP_Grid[#Data],$DD112,105),0)</f>
        <v/>
      </c>
      <c r="DD112" s="7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SUMIFS(M_BOM[RM_Qty_Per_Batch],M_BOM[Intermediate],$B112,M_BOM[Part Name],$A45)</f>
        <v/>
      </c>
      <c r="D113">
        <f>$C113*D112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</row>
    <row r="114">
      <c r="B114" t="inlineStr">
        <is>
          <t>TSP-669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7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Name],$A45)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TSP-670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7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Name],$A45)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TSP-699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7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Name],$A45)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TSP-710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7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Name],$A45)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TSP-828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7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Name],$A45)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TSP-903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7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Name],$A45)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TSP-924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7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Name],$A45)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TSP-925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7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Name],$A45)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TSP-927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7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Name],$A45)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TSP-928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7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Name],$A45)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TSP-929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7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Name],$A45)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t="inlineStr">
        <is>
          <t>TSP-930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7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Name],$A45)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t="inlineStr">
        <is>
          <t>TSP-934</t>
        </is>
      </c>
      <c r="C138" t="inlineStr">
        <is>
          <t>No. of batches</t>
        </is>
      </c>
      <c r="D138">
        <f>IFERROR(INDEX(PP_Grid[#Data],$DD138,2),0)</f>
        <v/>
      </c>
      <c r="E138">
        <f>IFERROR(INDEX(PP_Grid[#Data],$DD138,3),0)</f>
        <v/>
      </c>
      <c r="F138">
        <f>IFERROR(INDEX(PP_Grid[#Data],$DD138,4),0)</f>
        <v/>
      </c>
      <c r="G138">
        <f>IFERROR(INDEX(PP_Grid[#Data],$DD138,5),0)</f>
        <v/>
      </c>
      <c r="H138">
        <f>IFERROR(INDEX(PP_Grid[#Data],$DD138,6),0)</f>
        <v/>
      </c>
      <c r="I138">
        <f>IFERROR(INDEX(PP_Grid[#Data],$DD138,7),0)</f>
        <v/>
      </c>
      <c r="J138">
        <f>IFERROR(INDEX(PP_Grid[#Data],$DD138,8),0)</f>
        <v/>
      </c>
      <c r="K138">
        <f>IFERROR(INDEX(PP_Grid[#Data],$DD138,9),0)</f>
        <v/>
      </c>
      <c r="L138">
        <f>IFERROR(INDEX(PP_Grid[#Data],$DD138,10),0)</f>
        <v/>
      </c>
      <c r="M138">
        <f>IFERROR(INDEX(PP_Grid[#Data],$DD138,11),0)</f>
        <v/>
      </c>
      <c r="N138">
        <f>IFERROR(INDEX(PP_Grid[#Data],$DD138,12),0)</f>
        <v/>
      </c>
      <c r="O138">
        <f>IFERROR(INDEX(PP_Grid[#Data],$DD138,13),0)</f>
        <v/>
      </c>
      <c r="P138">
        <f>IFERROR(INDEX(PP_Grid[#Data],$DD138,14),0)</f>
        <v/>
      </c>
      <c r="Q138">
        <f>IFERROR(INDEX(PP_Grid[#Data],$DD138,15),0)</f>
        <v/>
      </c>
      <c r="R138">
        <f>IFERROR(INDEX(PP_Grid[#Data],$DD138,16),0)</f>
        <v/>
      </c>
      <c r="S138">
        <f>IFERROR(INDEX(PP_Grid[#Data],$DD138,17),0)</f>
        <v/>
      </c>
      <c r="T138">
        <f>IFERROR(INDEX(PP_Grid[#Data],$DD138,18),0)</f>
        <v/>
      </c>
      <c r="U138">
        <f>IFERROR(INDEX(PP_Grid[#Data],$DD138,19),0)</f>
        <v/>
      </c>
      <c r="V138">
        <f>IFERROR(INDEX(PP_Grid[#Data],$DD138,20),0)</f>
        <v/>
      </c>
      <c r="W138">
        <f>IFERROR(INDEX(PP_Grid[#Data],$DD138,21),0)</f>
        <v/>
      </c>
      <c r="X138">
        <f>IFERROR(INDEX(PP_Grid[#Data],$DD138,22),0)</f>
        <v/>
      </c>
      <c r="Y138">
        <f>IFERROR(INDEX(PP_Grid[#Data],$DD138,23),0)</f>
        <v/>
      </c>
      <c r="Z138">
        <f>IFERROR(INDEX(PP_Grid[#Data],$DD138,24),0)</f>
        <v/>
      </c>
      <c r="AA138">
        <f>IFERROR(INDEX(PP_Grid[#Data],$DD138,25),0)</f>
        <v/>
      </c>
      <c r="AB138">
        <f>IFERROR(INDEX(PP_Grid[#Data],$DD138,26),0)</f>
        <v/>
      </c>
      <c r="AC138">
        <f>IFERROR(INDEX(PP_Grid[#Data],$DD138,27),0)</f>
        <v/>
      </c>
      <c r="AD138">
        <f>IFERROR(INDEX(PP_Grid[#Data],$DD138,28),0)</f>
        <v/>
      </c>
      <c r="AE138">
        <f>IFERROR(INDEX(PP_Grid[#Data],$DD138,29),0)</f>
        <v/>
      </c>
      <c r="AF138">
        <f>IFERROR(INDEX(PP_Grid[#Data],$DD138,30),0)</f>
        <v/>
      </c>
      <c r="AG138">
        <f>IFERROR(INDEX(PP_Grid[#Data],$DD138,31),0)</f>
        <v/>
      </c>
      <c r="AH138">
        <f>IFERROR(INDEX(PP_Grid[#Data],$DD138,32),0)</f>
        <v/>
      </c>
      <c r="AI138">
        <f>IFERROR(INDEX(PP_Grid[#Data],$DD138,33),0)</f>
        <v/>
      </c>
      <c r="AJ138">
        <f>IFERROR(INDEX(PP_Grid[#Data],$DD138,34),0)</f>
        <v/>
      </c>
      <c r="AK138">
        <f>IFERROR(INDEX(PP_Grid[#Data],$DD138,35),0)</f>
        <v/>
      </c>
      <c r="AL138">
        <f>IFERROR(INDEX(PP_Grid[#Data],$DD138,36),0)</f>
        <v/>
      </c>
      <c r="AM138">
        <f>IFERROR(INDEX(PP_Grid[#Data],$DD138,37),0)</f>
        <v/>
      </c>
      <c r="AN138">
        <f>IFERROR(INDEX(PP_Grid[#Data],$DD138,38),0)</f>
        <v/>
      </c>
      <c r="AO138">
        <f>IFERROR(INDEX(PP_Grid[#Data],$DD138,39),0)</f>
        <v/>
      </c>
      <c r="AP138">
        <f>IFERROR(INDEX(PP_Grid[#Data],$DD138,40),0)</f>
        <v/>
      </c>
      <c r="AQ138">
        <f>IFERROR(INDEX(PP_Grid[#Data],$DD138,41),0)</f>
        <v/>
      </c>
      <c r="AR138">
        <f>IFERROR(INDEX(PP_Grid[#Data],$DD138,42),0)</f>
        <v/>
      </c>
      <c r="AS138">
        <f>IFERROR(INDEX(PP_Grid[#Data],$DD138,43),0)</f>
        <v/>
      </c>
      <c r="AT138">
        <f>IFERROR(INDEX(PP_Grid[#Data],$DD138,44),0)</f>
        <v/>
      </c>
      <c r="AU138">
        <f>IFERROR(INDEX(PP_Grid[#Data],$DD138,45),0)</f>
        <v/>
      </c>
      <c r="AV138">
        <f>IFERROR(INDEX(PP_Grid[#Data],$DD138,46),0)</f>
        <v/>
      </c>
      <c r="AW138">
        <f>IFERROR(INDEX(PP_Grid[#Data],$DD138,47),0)</f>
        <v/>
      </c>
      <c r="AX138">
        <f>IFERROR(INDEX(PP_Grid[#Data],$DD138,48),0)</f>
        <v/>
      </c>
      <c r="AY138">
        <f>IFERROR(INDEX(PP_Grid[#Data],$DD138,49),0)</f>
        <v/>
      </c>
      <c r="AZ138">
        <f>IFERROR(INDEX(PP_Grid[#Data],$DD138,50),0)</f>
        <v/>
      </c>
      <c r="BA138">
        <f>IFERROR(INDEX(PP_Grid[#Data],$DD138,51),0)</f>
        <v/>
      </c>
      <c r="BB138">
        <f>IFERROR(INDEX(PP_Grid[#Data],$DD138,52),0)</f>
        <v/>
      </c>
      <c r="BC138">
        <f>IFERROR(INDEX(PP_Grid[#Data],$DD138,53),0)</f>
        <v/>
      </c>
      <c r="BD138">
        <f>IFERROR(INDEX(PP_Grid[#Data],$DD138,54),0)</f>
        <v/>
      </c>
      <c r="BE138">
        <f>IFERROR(INDEX(PP_Grid[#Data],$DD138,55),0)</f>
        <v/>
      </c>
      <c r="BF138">
        <f>IFERROR(INDEX(PP_Grid[#Data],$DD138,56),0)</f>
        <v/>
      </c>
      <c r="BG138">
        <f>IFERROR(INDEX(PP_Grid[#Data],$DD138,57),0)</f>
        <v/>
      </c>
      <c r="BH138">
        <f>IFERROR(INDEX(PP_Grid[#Data],$DD138,58),0)</f>
        <v/>
      </c>
      <c r="BI138">
        <f>IFERROR(INDEX(PP_Grid[#Data],$DD138,59),0)</f>
        <v/>
      </c>
      <c r="BJ138">
        <f>IFERROR(INDEX(PP_Grid[#Data],$DD138,60),0)</f>
        <v/>
      </c>
      <c r="BK138">
        <f>IFERROR(INDEX(PP_Grid[#Data],$DD138,61),0)</f>
        <v/>
      </c>
      <c r="BL138">
        <f>IFERROR(INDEX(PP_Grid[#Data],$DD138,62),0)</f>
        <v/>
      </c>
      <c r="BM138">
        <f>IFERROR(INDEX(PP_Grid[#Data],$DD138,63),0)</f>
        <v/>
      </c>
      <c r="BN138">
        <f>IFERROR(INDEX(PP_Grid[#Data],$DD138,64),0)</f>
        <v/>
      </c>
      <c r="BO138">
        <f>IFERROR(INDEX(PP_Grid[#Data],$DD138,65),0)</f>
        <v/>
      </c>
      <c r="BP138">
        <f>IFERROR(INDEX(PP_Grid[#Data],$DD138,66),0)</f>
        <v/>
      </c>
      <c r="BQ138">
        <f>IFERROR(INDEX(PP_Grid[#Data],$DD138,67),0)</f>
        <v/>
      </c>
      <c r="BR138">
        <f>IFERROR(INDEX(PP_Grid[#Data],$DD138,68),0)</f>
        <v/>
      </c>
      <c r="BS138">
        <f>IFERROR(INDEX(PP_Grid[#Data],$DD138,69),0)</f>
        <v/>
      </c>
      <c r="BT138">
        <f>IFERROR(INDEX(PP_Grid[#Data],$DD138,70),0)</f>
        <v/>
      </c>
      <c r="BU138">
        <f>IFERROR(INDEX(PP_Grid[#Data],$DD138,71),0)</f>
        <v/>
      </c>
      <c r="BV138">
        <f>IFERROR(INDEX(PP_Grid[#Data],$DD138,72),0)</f>
        <v/>
      </c>
      <c r="BW138">
        <f>IFERROR(INDEX(PP_Grid[#Data],$DD138,73),0)</f>
        <v/>
      </c>
      <c r="BX138">
        <f>IFERROR(INDEX(PP_Grid[#Data],$DD138,74),0)</f>
        <v/>
      </c>
      <c r="BY138">
        <f>IFERROR(INDEX(PP_Grid[#Data],$DD138,75),0)</f>
        <v/>
      </c>
      <c r="BZ138">
        <f>IFERROR(INDEX(PP_Grid[#Data],$DD138,76),0)</f>
        <v/>
      </c>
      <c r="CA138">
        <f>IFERROR(INDEX(PP_Grid[#Data],$DD138,77),0)</f>
        <v/>
      </c>
      <c r="CB138">
        <f>IFERROR(INDEX(PP_Grid[#Data],$DD138,78),0)</f>
        <v/>
      </c>
      <c r="CC138">
        <f>IFERROR(INDEX(PP_Grid[#Data],$DD138,79),0)</f>
        <v/>
      </c>
      <c r="CD138">
        <f>IFERROR(INDEX(PP_Grid[#Data],$DD138,80),0)</f>
        <v/>
      </c>
      <c r="CE138">
        <f>IFERROR(INDEX(PP_Grid[#Data],$DD138,81),0)</f>
        <v/>
      </c>
      <c r="CF138">
        <f>IFERROR(INDEX(PP_Grid[#Data],$DD138,82),0)</f>
        <v/>
      </c>
      <c r="CG138">
        <f>IFERROR(INDEX(PP_Grid[#Data],$DD138,83),0)</f>
        <v/>
      </c>
      <c r="CH138">
        <f>IFERROR(INDEX(PP_Grid[#Data],$DD138,84),0)</f>
        <v/>
      </c>
      <c r="CI138">
        <f>IFERROR(INDEX(PP_Grid[#Data],$DD138,85),0)</f>
        <v/>
      </c>
      <c r="CJ138">
        <f>IFERROR(INDEX(PP_Grid[#Data],$DD138,86),0)</f>
        <v/>
      </c>
      <c r="CK138">
        <f>IFERROR(INDEX(PP_Grid[#Data],$DD138,87),0)</f>
        <v/>
      </c>
      <c r="CL138">
        <f>IFERROR(INDEX(PP_Grid[#Data],$DD138,88),0)</f>
        <v/>
      </c>
      <c r="CM138">
        <f>IFERROR(INDEX(PP_Grid[#Data],$DD138,89),0)</f>
        <v/>
      </c>
      <c r="CN138">
        <f>IFERROR(INDEX(PP_Grid[#Data],$DD138,90),0)</f>
        <v/>
      </c>
      <c r="CO138">
        <f>IFERROR(INDEX(PP_Grid[#Data],$DD138,91),0)</f>
        <v/>
      </c>
      <c r="CP138">
        <f>IFERROR(INDEX(PP_Grid[#Data],$DD138,92),0)</f>
        <v/>
      </c>
      <c r="CQ138">
        <f>IFERROR(INDEX(PP_Grid[#Data],$DD138,93),0)</f>
        <v/>
      </c>
      <c r="CR138">
        <f>IFERROR(INDEX(PP_Grid[#Data],$DD138,94),0)</f>
        <v/>
      </c>
      <c r="CS138">
        <f>IFERROR(INDEX(PP_Grid[#Data],$DD138,95),0)</f>
        <v/>
      </c>
      <c r="CT138">
        <f>IFERROR(INDEX(PP_Grid[#Data],$DD138,96),0)</f>
        <v/>
      </c>
      <c r="CU138">
        <f>IFERROR(INDEX(PP_Grid[#Data],$DD138,97),0)</f>
        <v/>
      </c>
      <c r="CV138">
        <f>IFERROR(INDEX(PP_Grid[#Data],$DD138,98),0)</f>
        <v/>
      </c>
      <c r="CW138">
        <f>IFERROR(INDEX(PP_Grid[#Data],$DD138,99),0)</f>
        <v/>
      </c>
      <c r="CX138">
        <f>IFERROR(INDEX(PP_Grid[#Data],$DD138,100),0)</f>
        <v/>
      </c>
      <c r="CY138">
        <f>IFERROR(INDEX(PP_Grid[#Data],$DD138,101),0)</f>
        <v/>
      </c>
      <c r="CZ138">
        <f>IFERROR(INDEX(PP_Grid[#Data],$DD138,102),0)</f>
        <v/>
      </c>
      <c r="DA138">
        <f>IFERROR(INDEX(PP_Grid[#Data],$DD138,103),0)</f>
        <v/>
      </c>
      <c r="DB138">
        <f>IFERROR(INDEX(PP_Grid[#Data],$DD138,104),0)</f>
        <v/>
      </c>
      <c r="DC138">
        <f>IFERROR(INDEX(PP_Grid[#Data],$DD138,105),0)</f>
        <v/>
      </c>
      <c r="DD138" s="7">
        <f>IFERROR(MATCH($B138,PP_Grid[Intermediate],0),99999)</f>
        <v/>
      </c>
    </row>
    <row r="139">
      <c r="B139" t="inlineStr">
        <is>
          <t>使用量(kg)</t>
        </is>
      </c>
      <c r="C139">
        <f>SUMIFS(M_BOM[RM_Qty_Per_Batch],M_BOM[Intermediate],$B138,M_BOM[Part Name],$A45)</f>
        <v/>
      </c>
      <c r="D139">
        <f>$C139*D138</f>
        <v/>
      </c>
      <c r="E139">
        <f>$C139*E138</f>
        <v/>
      </c>
      <c r="F139">
        <f>$C139*F138</f>
        <v/>
      </c>
      <c r="G139">
        <f>$C139*G138</f>
        <v/>
      </c>
      <c r="H139">
        <f>$C139*H138</f>
        <v/>
      </c>
      <c r="I139">
        <f>$C139*I138</f>
        <v/>
      </c>
      <c r="J139">
        <f>$C139*J138</f>
        <v/>
      </c>
      <c r="K139">
        <f>$C139*K138</f>
        <v/>
      </c>
      <c r="L139">
        <f>$C139*L138</f>
        <v/>
      </c>
      <c r="M139">
        <f>$C139*M138</f>
        <v/>
      </c>
      <c r="N139">
        <f>$C139*N138</f>
        <v/>
      </c>
      <c r="O139">
        <f>$C139*O138</f>
        <v/>
      </c>
      <c r="P139">
        <f>$C139*P138</f>
        <v/>
      </c>
      <c r="Q139">
        <f>$C139*Q138</f>
        <v/>
      </c>
      <c r="R139">
        <f>$C139*R138</f>
        <v/>
      </c>
      <c r="S139">
        <f>$C139*S138</f>
        <v/>
      </c>
      <c r="T139">
        <f>$C139*T138</f>
        <v/>
      </c>
      <c r="U139">
        <f>$C139*U138</f>
        <v/>
      </c>
      <c r="V139">
        <f>$C139*V138</f>
        <v/>
      </c>
      <c r="W139">
        <f>$C139*W138</f>
        <v/>
      </c>
      <c r="X139">
        <f>$C139*X138</f>
        <v/>
      </c>
      <c r="Y139">
        <f>$C139*Y138</f>
        <v/>
      </c>
      <c r="Z139">
        <f>$C139*Z138</f>
        <v/>
      </c>
      <c r="AA139">
        <f>$C139*AA138</f>
        <v/>
      </c>
      <c r="AB139">
        <f>$C139*AB138</f>
        <v/>
      </c>
      <c r="AC139">
        <f>$C139*AC138</f>
        <v/>
      </c>
      <c r="AD139">
        <f>$C139*AD138</f>
        <v/>
      </c>
      <c r="AE139">
        <f>$C139*AE138</f>
        <v/>
      </c>
      <c r="AF139">
        <f>$C139*AF138</f>
        <v/>
      </c>
      <c r="AG139">
        <f>$C139*AG138</f>
        <v/>
      </c>
      <c r="AH139">
        <f>$C139*AH138</f>
        <v/>
      </c>
      <c r="AI139">
        <f>$C139*AI138</f>
        <v/>
      </c>
      <c r="AJ139">
        <f>$C139*AJ138</f>
        <v/>
      </c>
      <c r="AK139">
        <f>$C139*AK138</f>
        <v/>
      </c>
      <c r="AL139">
        <f>$C139*AL138</f>
        <v/>
      </c>
      <c r="AM139">
        <f>$C139*AM138</f>
        <v/>
      </c>
      <c r="AN139">
        <f>$C139*AN138</f>
        <v/>
      </c>
      <c r="AO139">
        <f>$C139*AO138</f>
        <v/>
      </c>
      <c r="AP139">
        <f>$C139*AP138</f>
        <v/>
      </c>
      <c r="AQ139">
        <f>$C139*AQ138</f>
        <v/>
      </c>
      <c r="AR139">
        <f>$C139*AR138</f>
        <v/>
      </c>
      <c r="AS139">
        <f>$C139*AS138</f>
        <v/>
      </c>
      <c r="AT139">
        <f>$C139*AT138</f>
        <v/>
      </c>
      <c r="AU139">
        <f>$C139*AU138</f>
        <v/>
      </c>
      <c r="AV139">
        <f>$C139*AV138</f>
        <v/>
      </c>
      <c r="AW139">
        <f>$C139*AW138</f>
        <v/>
      </c>
      <c r="AX139">
        <f>$C139*AX138</f>
        <v/>
      </c>
      <c r="AY139">
        <f>$C139*AY138</f>
        <v/>
      </c>
      <c r="AZ139">
        <f>$C139*AZ138</f>
        <v/>
      </c>
      <c r="BA139">
        <f>$C139*BA138</f>
        <v/>
      </c>
      <c r="BB139">
        <f>$C139*BB138</f>
        <v/>
      </c>
      <c r="BC139">
        <f>$C139*BC138</f>
        <v/>
      </c>
      <c r="BD139">
        <f>$C139*BD138</f>
        <v/>
      </c>
      <c r="BE139">
        <f>$C139*BE138</f>
        <v/>
      </c>
      <c r="BF139">
        <f>$C139*BF138</f>
        <v/>
      </c>
      <c r="BG139">
        <f>$C139*BG138</f>
        <v/>
      </c>
      <c r="BH139">
        <f>$C139*BH138</f>
        <v/>
      </c>
      <c r="BI139">
        <f>$C139*BI138</f>
        <v/>
      </c>
      <c r="BJ139">
        <f>$C139*BJ138</f>
        <v/>
      </c>
      <c r="BK139">
        <f>$C139*BK138</f>
        <v/>
      </c>
      <c r="BL139">
        <f>$C139*BL138</f>
        <v/>
      </c>
      <c r="BM139">
        <f>$C139*BM138</f>
        <v/>
      </c>
      <c r="BN139">
        <f>$C139*BN138</f>
        <v/>
      </c>
      <c r="BO139">
        <f>$C139*BO138</f>
        <v/>
      </c>
      <c r="BP139">
        <f>$C139*BP138</f>
        <v/>
      </c>
      <c r="BQ139">
        <f>$C139*BQ138</f>
        <v/>
      </c>
      <c r="BR139">
        <f>$C139*BR138</f>
        <v/>
      </c>
      <c r="BS139">
        <f>$C139*BS138</f>
        <v/>
      </c>
      <c r="BT139">
        <f>$C139*BT138</f>
        <v/>
      </c>
      <c r="BU139">
        <f>$C139*BU138</f>
        <v/>
      </c>
      <c r="BV139">
        <f>$C139*BV138</f>
        <v/>
      </c>
      <c r="BW139">
        <f>$C139*BW138</f>
        <v/>
      </c>
      <c r="BX139">
        <f>$C139*BX138</f>
        <v/>
      </c>
      <c r="BY139">
        <f>$C139*BY138</f>
        <v/>
      </c>
      <c r="BZ139">
        <f>$C139*BZ138</f>
        <v/>
      </c>
      <c r="CA139">
        <f>$C139*CA138</f>
        <v/>
      </c>
      <c r="CB139">
        <f>$C139*CB138</f>
        <v/>
      </c>
      <c r="CC139">
        <f>$C139*CC138</f>
        <v/>
      </c>
      <c r="CD139">
        <f>$C139*CD138</f>
        <v/>
      </c>
      <c r="CE139">
        <f>$C139*CE138</f>
        <v/>
      </c>
      <c r="CF139">
        <f>$C139*CF138</f>
        <v/>
      </c>
      <c r="CG139">
        <f>$C139*CG138</f>
        <v/>
      </c>
      <c r="CH139">
        <f>$C139*CH138</f>
        <v/>
      </c>
      <c r="CI139">
        <f>$C139*CI138</f>
        <v/>
      </c>
      <c r="CJ139">
        <f>$C139*CJ138</f>
        <v/>
      </c>
      <c r="CK139">
        <f>$C139*CK138</f>
        <v/>
      </c>
      <c r="CL139">
        <f>$C139*CL138</f>
        <v/>
      </c>
      <c r="CM139">
        <f>$C139*CM138</f>
        <v/>
      </c>
      <c r="CN139">
        <f>$C139*CN138</f>
        <v/>
      </c>
      <c r="CO139">
        <f>$C139*CO138</f>
        <v/>
      </c>
      <c r="CP139">
        <f>$C139*CP138</f>
        <v/>
      </c>
      <c r="CQ139">
        <f>$C139*CQ138</f>
        <v/>
      </c>
      <c r="CR139">
        <f>$C139*CR138</f>
        <v/>
      </c>
      <c r="CS139">
        <f>$C139*CS138</f>
        <v/>
      </c>
      <c r="CT139">
        <f>$C139*CT138</f>
        <v/>
      </c>
      <c r="CU139">
        <f>$C139*CU138</f>
        <v/>
      </c>
      <c r="CV139">
        <f>$C139*CV138</f>
        <v/>
      </c>
      <c r="CW139">
        <f>$C139*CW138</f>
        <v/>
      </c>
      <c r="CX139">
        <f>$C139*CX138</f>
        <v/>
      </c>
      <c r="CY139">
        <f>$C139*CY138</f>
        <v/>
      </c>
      <c r="CZ139">
        <f>$C139*CZ138</f>
        <v/>
      </c>
      <c r="DA139">
        <f>$C139*DA138</f>
        <v/>
      </c>
      <c r="DB139">
        <f>$C139*DB138</f>
        <v/>
      </c>
      <c r="DC139">
        <f>$C139*DC138</f>
        <v/>
      </c>
    </row>
    <row r="140">
      <c r="B140" t="inlineStr">
        <is>
          <t>TSP-935</t>
        </is>
      </c>
      <c r="C140" t="inlineStr">
        <is>
          <t>No. of batches</t>
        </is>
      </c>
      <c r="D140">
        <f>IFERROR(INDEX(PP_Grid[#Data],$DD140,2),0)</f>
        <v/>
      </c>
      <c r="E140">
        <f>IFERROR(INDEX(PP_Grid[#Data],$DD140,3),0)</f>
        <v/>
      </c>
      <c r="F140">
        <f>IFERROR(INDEX(PP_Grid[#Data],$DD140,4),0)</f>
        <v/>
      </c>
      <c r="G140">
        <f>IFERROR(INDEX(PP_Grid[#Data],$DD140,5),0)</f>
        <v/>
      </c>
      <c r="H140">
        <f>IFERROR(INDEX(PP_Grid[#Data],$DD140,6),0)</f>
        <v/>
      </c>
      <c r="I140">
        <f>IFERROR(INDEX(PP_Grid[#Data],$DD140,7),0)</f>
        <v/>
      </c>
      <c r="J140">
        <f>IFERROR(INDEX(PP_Grid[#Data],$DD140,8),0)</f>
        <v/>
      </c>
      <c r="K140">
        <f>IFERROR(INDEX(PP_Grid[#Data],$DD140,9),0)</f>
        <v/>
      </c>
      <c r="L140">
        <f>IFERROR(INDEX(PP_Grid[#Data],$DD140,10),0)</f>
        <v/>
      </c>
      <c r="M140">
        <f>IFERROR(INDEX(PP_Grid[#Data],$DD140,11),0)</f>
        <v/>
      </c>
      <c r="N140">
        <f>IFERROR(INDEX(PP_Grid[#Data],$DD140,12),0)</f>
        <v/>
      </c>
      <c r="O140">
        <f>IFERROR(INDEX(PP_Grid[#Data],$DD140,13),0)</f>
        <v/>
      </c>
      <c r="P140">
        <f>IFERROR(INDEX(PP_Grid[#Data],$DD140,14),0)</f>
        <v/>
      </c>
      <c r="Q140">
        <f>IFERROR(INDEX(PP_Grid[#Data],$DD140,15),0)</f>
        <v/>
      </c>
      <c r="R140">
        <f>IFERROR(INDEX(PP_Grid[#Data],$DD140,16),0)</f>
        <v/>
      </c>
      <c r="S140">
        <f>IFERROR(INDEX(PP_Grid[#Data],$DD140,17),0)</f>
        <v/>
      </c>
      <c r="T140">
        <f>IFERROR(INDEX(PP_Grid[#Data],$DD140,18),0)</f>
        <v/>
      </c>
      <c r="U140">
        <f>IFERROR(INDEX(PP_Grid[#Data],$DD140,19),0)</f>
        <v/>
      </c>
      <c r="V140">
        <f>IFERROR(INDEX(PP_Grid[#Data],$DD140,20),0)</f>
        <v/>
      </c>
      <c r="W140">
        <f>IFERROR(INDEX(PP_Grid[#Data],$DD140,21),0)</f>
        <v/>
      </c>
      <c r="X140">
        <f>IFERROR(INDEX(PP_Grid[#Data],$DD140,22),0)</f>
        <v/>
      </c>
      <c r="Y140">
        <f>IFERROR(INDEX(PP_Grid[#Data],$DD140,23),0)</f>
        <v/>
      </c>
      <c r="Z140">
        <f>IFERROR(INDEX(PP_Grid[#Data],$DD140,24),0)</f>
        <v/>
      </c>
      <c r="AA140">
        <f>IFERROR(INDEX(PP_Grid[#Data],$DD140,25),0)</f>
        <v/>
      </c>
      <c r="AB140">
        <f>IFERROR(INDEX(PP_Grid[#Data],$DD140,26),0)</f>
        <v/>
      </c>
      <c r="AC140">
        <f>IFERROR(INDEX(PP_Grid[#Data],$DD140,27),0)</f>
        <v/>
      </c>
      <c r="AD140">
        <f>IFERROR(INDEX(PP_Grid[#Data],$DD140,28),0)</f>
        <v/>
      </c>
      <c r="AE140">
        <f>IFERROR(INDEX(PP_Grid[#Data],$DD140,29),0)</f>
        <v/>
      </c>
      <c r="AF140">
        <f>IFERROR(INDEX(PP_Grid[#Data],$DD140,30),0)</f>
        <v/>
      </c>
      <c r="AG140">
        <f>IFERROR(INDEX(PP_Grid[#Data],$DD140,31),0)</f>
        <v/>
      </c>
      <c r="AH140">
        <f>IFERROR(INDEX(PP_Grid[#Data],$DD140,32),0)</f>
        <v/>
      </c>
      <c r="AI140">
        <f>IFERROR(INDEX(PP_Grid[#Data],$DD140,33),0)</f>
        <v/>
      </c>
      <c r="AJ140">
        <f>IFERROR(INDEX(PP_Grid[#Data],$DD140,34),0)</f>
        <v/>
      </c>
      <c r="AK140">
        <f>IFERROR(INDEX(PP_Grid[#Data],$DD140,35),0)</f>
        <v/>
      </c>
      <c r="AL140">
        <f>IFERROR(INDEX(PP_Grid[#Data],$DD140,36),0)</f>
        <v/>
      </c>
      <c r="AM140">
        <f>IFERROR(INDEX(PP_Grid[#Data],$DD140,37),0)</f>
        <v/>
      </c>
      <c r="AN140">
        <f>IFERROR(INDEX(PP_Grid[#Data],$DD140,38),0)</f>
        <v/>
      </c>
      <c r="AO140">
        <f>IFERROR(INDEX(PP_Grid[#Data],$DD140,39),0)</f>
        <v/>
      </c>
      <c r="AP140">
        <f>IFERROR(INDEX(PP_Grid[#Data],$DD140,40),0)</f>
        <v/>
      </c>
      <c r="AQ140">
        <f>IFERROR(INDEX(PP_Grid[#Data],$DD140,41),0)</f>
        <v/>
      </c>
      <c r="AR140">
        <f>IFERROR(INDEX(PP_Grid[#Data],$DD140,42),0)</f>
        <v/>
      </c>
      <c r="AS140">
        <f>IFERROR(INDEX(PP_Grid[#Data],$DD140,43),0)</f>
        <v/>
      </c>
      <c r="AT140">
        <f>IFERROR(INDEX(PP_Grid[#Data],$DD140,44),0)</f>
        <v/>
      </c>
      <c r="AU140">
        <f>IFERROR(INDEX(PP_Grid[#Data],$DD140,45),0)</f>
        <v/>
      </c>
      <c r="AV140">
        <f>IFERROR(INDEX(PP_Grid[#Data],$DD140,46),0)</f>
        <v/>
      </c>
      <c r="AW140">
        <f>IFERROR(INDEX(PP_Grid[#Data],$DD140,47),0)</f>
        <v/>
      </c>
      <c r="AX140">
        <f>IFERROR(INDEX(PP_Grid[#Data],$DD140,48),0)</f>
        <v/>
      </c>
      <c r="AY140">
        <f>IFERROR(INDEX(PP_Grid[#Data],$DD140,49),0)</f>
        <v/>
      </c>
      <c r="AZ140">
        <f>IFERROR(INDEX(PP_Grid[#Data],$DD140,50),0)</f>
        <v/>
      </c>
      <c r="BA140">
        <f>IFERROR(INDEX(PP_Grid[#Data],$DD140,51),0)</f>
        <v/>
      </c>
      <c r="BB140">
        <f>IFERROR(INDEX(PP_Grid[#Data],$DD140,52),0)</f>
        <v/>
      </c>
      <c r="BC140">
        <f>IFERROR(INDEX(PP_Grid[#Data],$DD140,53),0)</f>
        <v/>
      </c>
      <c r="BD140">
        <f>IFERROR(INDEX(PP_Grid[#Data],$DD140,54),0)</f>
        <v/>
      </c>
      <c r="BE140">
        <f>IFERROR(INDEX(PP_Grid[#Data],$DD140,55),0)</f>
        <v/>
      </c>
      <c r="BF140">
        <f>IFERROR(INDEX(PP_Grid[#Data],$DD140,56),0)</f>
        <v/>
      </c>
      <c r="BG140">
        <f>IFERROR(INDEX(PP_Grid[#Data],$DD140,57),0)</f>
        <v/>
      </c>
      <c r="BH140">
        <f>IFERROR(INDEX(PP_Grid[#Data],$DD140,58),0)</f>
        <v/>
      </c>
      <c r="BI140">
        <f>IFERROR(INDEX(PP_Grid[#Data],$DD140,59),0)</f>
        <v/>
      </c>
      <c r="BJ140">
        <f>IFERROR(INDEX(PP_Grid[#Data],$DD140,60),0)</f>
        <v/>
      </c>
      <c r="BK140">
        <f>IFERROR(INDEX(PP_Grid[#Data],$DD140,61),0)</f>
        <v/>
      </c>
      <c r="BL140">
        <f>IFERROR(INDEX(PP_Grid[#Data],$DD140,62),0)</f>
        <v/>
      </c>
      <c r="BM140">
        <f>IFERROR(INDEX(PP_Grid[#Data],$DD140,63),0)</f>
        <v/>
      </c>
      <c r="BN140">
        <f>IFERROR(INDEX(PP_Grid[#Data],$DD140,64),0)</f>
        <v/>
      </c>
      <c r="BO140">
        <f>IFERROR(INDEX(PP_Grid[#Data],$DD140,65),0)</f>
        <v/>
      </c>
      <c r="BP140">
        <f>IFERROR(INDEX(PP_Grid[#Data],$DD140,66),0)</f>
        <v/>
      </c>
      <c r="BQ140">
        <f>IFERROR(INDEX(PP_Grid[#Data],$DD140,67),0)</f>
        <v/>
      </c>
      <c r="BR140">
        <f>IFERROR(INDEX(PP_Grid[#Data],$DD140,68),0)</f>
        <v/>
      </c>
      <c r="BS140">
        <f>IFERROR(INDEX(PP_Grid[#Data],$DD140,69),0)</f>
        <v/>
      </c>
      <c r="BT140">
        <f>IFERROR(INDEX(PP_Grid[#Data],$DD140,70),0)</f>
        <v/>
      </c>
      <c r="BU140">
        <f>IFERROR(INDEX(PP_Grid[#Data],$DD140,71),0)</f>
        <v/>
      </c>
      <c r="BV140">
        <f>IFERROR(INDEX(PP_Grid[#Data],$DD140,72),0)</f>
        <v/>
      </c>
      <c r="BW140">
        <f>IFERROR(INDEX(PP_Grid[#Data],$DD140,73),0)</f>
        <v/>
      </c>
      <c r="BX140">
        <f>IFERROR(INDEX(PP_Grid[#Data],$DD140,74),0)</f>
        <v/>
      </c>
      <c r="BY140">
        <f>IFERROR(INDEX(PP_Grid[#Data],$DD140,75),0)</f>
        <v/>
      </c>
      <c r="BZ140">
        <f>IFERROR(INDEX(PP_Grid[#Data],$DD140,76),0)</f>
        <v/>
      </c>
      <c r="CA140">
        <f>IFERROR(INDEX(PP_Grid[#Data],$DD140,77),0)</f>
        <v/>
      </c>
      <c r="CB140">
        <f>IFERROR(INDEX(PP_Grid[#Data],$DD140,78),0)</f>
        <v/>
      </c>
      <c r="CC140">
        <f>IFERROR(INDEX(PP_Grid[#Data],$DD140,79),0)</f>
        <v/>
      </c>
      <c r="CD140">
        <f>IFERROR(INDEX(PP_Grid[#Data],$DD140,80),0)</f>
        <v/>
      </c>
      <c r="CE140">
        <f>IFERROR(INDEX(PP_Grid[#Data],$DD140,81),0)</f>
        <v/>
      </c>
      <c r="CF140">
        <f>IFERROR(INDEX(PP_Grid[#Data],$DD140,82),0)</f>
        <v/>
      </c>
      <c r="CG140">
        <f>IFERROR(INDEX(PP_Grid[#Data],$DD140,83),0)</f>
        <v/>
      </c>
      <c r="CH140">
        <f>IFERROR(INDEX(PP_Grid[#Data],$DD140,84),0)</f>
        <v/>
      </c>
      <c r="CI140">
        <f>IFERROR(INDEX(PP_Grid[#Data],$DD140,85),0)</f>
        <v/>
      </c>
      <c r="CJ140">
        <f>IFERROR(INDEX(PP_Grid[#Data],$DD140,86),0)</f>
        <v/>
      </c>
      <c r="CK140">
        <f>IFERROR(INDEX(PP_Grid[#Data],$DD140,87),0)</f>
        <v/>
      </c>
      <c r="CL140">
        <f>IFERROR(INDEX(PP_Grid[#Data],$DD140,88),0)</f>
        <v/>
      </c>
      <c r="CM140">
        <f>IFERROR(INDEX(PP_Grid[#Data],$DD140,89),0)</f>
        <v/>
      </c>
      <c r="CN140">
        <f>IFERROR(INDEX(PP_Grid[#Data],$DD140,90),0)</f>
        <v/>
      </c>
      <c r="CO140">
        <f>IFERROR(INDEX(PP_Grid[#Data],$DD140,91),0)</f>
        <v/>
      </c>
      <c r="CP140">
        <f>IFERROR(INDEX(PP_Grid[#Data],$DD140,92),0)</f>
        <v/>
      </c>
      <c r="CQ140">
        <f>IFERROR(INDEX(PP_Grid[#Data],$DD140,93),0)</f>
        <v/>
      </c>
      <c r="CR140">
        <f>IFERROR(INDEX(PP_Grid[#Data],$DD140,94),0)</f>
        <v/>
      </c>
      <c r="CS140">
        <f>IFERROR(INDEX(PP_Grid[#Data],$DD140,95),0)</f>
        <v/>
      </c>
      <c r="CT140">
        <f>IFERROR(INDEX(PP_Grid[#Data],$DD140,96),0)</f>
        <v/>
      </c>
      <c r="CU140">
        <f>IFERROR(INDEX(PP_Grid[#Data],$DD140,97),0)</f>
        <v/>
      </c>
      <c r="CV140">
        <f>IFERROR(INDEX(PP_Grid[#Data],$DD140,98),0)</f>
        <v/>
      </c>
      <c r="CW140">
        <f>IFERROR(INDEX(PP_Grid[#Data],$DD140,99),0)</f>
        <v/>
      </c>
      <c r="CX140">
        <f>IFERROR(INDEX(PP_Grid[#Data],$DD140,100),0)</f>
        <v/>
      </c>
      <c r="CY140">
        <f>IFERROR(INDEX(PP_Grid[#Data],$DD140,101),0)</f>
        <v/>
      </c>
      <c r="CZ140">
        <f>IFERROR(INDEX(PP_Grid[#Data],$DD140,102),0)</f>
        <v/>
      </c>
      <c r="DA140">
        <f>IFERROR(INDEX(PP_Grid[#Data],$DD140,103),0)</f>
        <v/>
      </c>
      <c r="DB140">
        <f>IFERROR(INDEX(PP_Grid[#Data],$DD140,104),0)</f>
        <v/>
      </c>
      <c r="DC140">
        <f>IFERROR(INDEX(PP_Grid[#Data],$DD140,105),0)</f>
        <v/>
      </c>
      <c r="DD140" s="7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SUMIFS(M_BOM[RM_Qty_Per_Batch],M_BOM[Intermediate],$B140,M_BOM[Part Name],$A45)</f>
        <v/>
      </c>
      <c r="D141">
        <f>$C141*D140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</row>
    <row r="142">
      <c r="B142" t="inlineStr">
        <is>
          <t>TSP-936</t>
        </is>
      </c>
      <c r="C142" t="inlineStr">
        <is>
          <t>No. of batches</t>
        </is>
      </c>
      <c r="D142">
        <f>IFERROR(INDEX(PP_Grid[#Data],$DD142,2),0)</f>
        <v/>
      </c>
      <c r="E142">
        <f>IFERROR(INDEX(PP_Grid[#Data],$DD142,3),0)</f>
        <v/>
      </c>
      <c r="F142">
        <f>IFERROR(INDEX(PP_Grid[#Data],$DD142,4),0)</f>
        <v/>
      </c>
      <c r="G142">
        <f>IFERROR(INDEX(PP_Grid[#Data],$DD142,5),0)</f>
        <v/>
      </c>
      <c r="H142">
        <f>IFERROR(INDEX(PP_Grid[#Data],$DD142,6),0)</f>
        <v/>
      </c>
      <c r="I142">
        <f>IFERROR(INDEX(PP_Grid[#Data],$DD142,7),0)</f>
        <v/>
      </c>
      <c r="J142">
        <f>IFERROR(INDEX(PP_Grid[#Data],$DD142,8),0)</f>
        <v/>
      </c>
      <c r="K142">
        <f>IFERROR(INDEX(PP_Grid[#Data],$DD142,9),0)</f>
        <v/>
      </c>
      <c r="L142">
        <f>IFERROR(INDEX(PP_Grid[#Data],$DD142,10),0)</f>
        <v/>
      </c>
      <c r="M142">
        <f>IFERROR(INDEX(PP_Grid[#Data],$DD142,11),0)</f>
        <v/>
      </c>
      <c r="N142">
        <f>IFERROR(INDEX(PP_Grid[#Data],$DD142,12),0)</f>
        <v/>
      </c>
      <c r="O142">
        <f>IFERROR(INDEX(PP_Grid[#Data],$DD142,13),0)</f>
        <v/>
      </c>
      <c r="P142">
        <f>IFERROR(INDEX(PP_Grid[#Data],$DD142,14),0)</f>
        <v/>
      </c>
      <c r="Q142">
        <f>IFERROR(INDEX(PP_Grid[#Data],$DD142,15),0)</f>
        <v/>
      </c>
      <c r="R142">
        <f>IFERROR(INDEX(PP_Grid[#Data],$DD142,16),0)</f>
        <v/>
      </c>
      <c r="S142">
        <f>IFERROR(INDEX(PP_Grid[#Data],$DD142,17),0)</f>
        <v/>
      </c>
      <c r="T142">
        <f>IFERROR(INDEX(PP_Grid[#Data],$DD142,18),0)</f>
        <v/>
      </c>
      <c r="U142">
        <f>IFERROR(INDEX(PP_Grid[#Data],$DD142,19),0)</f>
        <v/>
      </c>
      <c r="V142">
        <f>IFERROR(INDEX(PP_Grid[#Data],$DD142,20),0)</f>
        <v/>
      </c>
      <c r="W142">
        <f>IFERROR(INDEX(PP_Grid[#Data],$DD142,21),0)</f>
        <v/>
      </c>
      <c r="X142">
        <f>IFERROR(INDEX(PP_Grid[#Data],$DD142,22),0)</f>
        <v/>
      </c>
      <c r="Y142">
        <f>IFERROR(INDEX(PP_Grid[#Data],$DD142,23),0)</f>
        <v/>
      </c>
      <c r="Z142">
        <f>IFERROR(INDEX(PP_Grid[#Data],$DD142,24),0)</f>
        <v/>
      </c>
      <c r="AA142">
        <f>IFERROR(INDEX(PP_Grid[#Data],$DD142,25),0)</f>
        <v/>
      </c>
      <c r="AB142">
        <f>IFERROR(INDEX(PP_Grid[#Data],$DD142,26),0)</f>
        <v/>
      </c>
      <c r="AC142">
        <f>IFERROR(INDEX(PP_Grid[#Data],$DD142,27),0)</f>
        <v/>
      </c>
      <c r="AD142">
        <f>IFERROR(INDEX(PP_Grid[#Data],$DD142,28),0)</f>
        <v/>
      </c>
      <c r="AE142">
        <f>IFERROR(INDEX(PP_Grid[#Data],$DD142,29),0)</f>
        <v/>
      </c>
      <c r="AF142">
        <f>IFERROR(INDEX(PP_Grid[#Data],$DD142,30),0)</f>
        <v/>
      </c>
      <c r="AG142">
        <f>IFERROR(INDEX(PP_Grid[#Data],$DD142,31),0)</f>
        <v/>
      </c>
      <c r="AH142">
        <f>IFERROR(INDEX(PP_Grid[#Data],$DD142,32),0)</f>
        <v/>
      </c>
      <c r="AI142">
        <f>IFERROR(INDEX(PP_Grid[#Data],$DD142,33),0)</f>
        <v/>
      </c>
      <c r="AJ142">
        <f>IFERROR(INDEX(PP_Grid[#Data],$DD142,34),0)</f>
        <v/>
      </c>
      <c r="AK142">
        <f>IFERROR(INDEX(PP_Grid[#Data],$DD142,35),0)</f>
        <v/>
      </c>
      <c r="AL142">
        <f>IFERROR(INDEX(PP_Grid[#Data],$DD142,36),0)</f>
        <v/>
      </c>
      <c r="AM142">
        <f>IFERROR(INDEX(PP_Grid[#Data],$DD142,37),0)</f>
        <v/>
      </c>
      <c r="AN142">
        <f>IFERROR(INDEX(PP_Grid[#Data],$DD142,38),0)</f>
        <v/>
      </c>
      <c r="AO142">
        <f>IFERROR(INDEX(PP_Grid[#Data],$DD142,39),0)</f>
        <v/>
      </c>
      <c r="AP142">
        <f>IFERROR(INDEX(PP_Grid[#Data],$DD142,40),0)</f>
        <v/>
      </c>
      <c r="AQ142">
        <f>IFERROR(INDEX(PP_Grid[#Data],$DD142,41),0)</f>
        <v/>
      </c>
      <c r="AR142">
        <f>IFERROR(INDEX(PP_Grid[#Data],$DD142,42),0)</f>
        <v/>
      </c>
      <c r="AS142">
        <f>IFERROR(INDEX(PP_Grid[#Data],$DD142,43),0)</f>
        <v/>
      </c>
      <c r="AT142">
        <f>IFERROR(INDEX(PP_Grid[#Data],$DD142,44),0)</f>
        <v/>
      </c>
      <c r="AU142">
        <f>IFERROR(INDEX(PP_Grid[#Data],$DD142,45),0)</f>
        <v/>
      </c>
      <c r="AV142">
        <f>IFERROR(INDEX(PP_Grid[#Data],$DD142,46),0)</f>
        <v/>
      </c>
      <c r="AW142">
        <f>IFERROR(INDEX(PP_Grid[#Data],$DD142,47),0)</f>
        <v/>
      </c>
      <c r="AX142">
        <f>IFERROR(INDEX(PP_Grid[#Data],$DD142,48),0)</f>
        <v/>
      </c>
      <c r="AY142">
        <f>IFERROR(INDEX(PP_Grid[#Data],$DD142,49),0)</f>
        <v/>
      </c>
      <c r="AZ142">
        <f>IFERROR(INDEX(PP_Grid[#Data],$DD142,50),0)</f>
        <v/>
      </c>
      <c r="BA142">
        <f>IFERROR(INDEX(PP_Grid[#Data],$DD142,51),0)</f>
        <v/>
      </c>
      <c r="BB142">
        <f>IFERROR(INDEX(PP_Grid[#Data],$DD142,52),0)</f>
        <v/>
      </c>
      <c r="BC142">
        <f>IFERROR(INDEX(PP_Grid[#Data],$DD142,53),0)</f>
        <v/>
      </c>
      <c r="BD142">
        <f>IFERROR(INDEX(PP_Grid[#Data],$DD142,54),0)</f>
        <v/>
      </c>
      <c r="BE142">
        <f>IFERROR(INDEX(PP_Grid[#Data],$DD142,55),0)</f>
        <v/>
      </c>
      <c r="BF142">
        <f>IFERROR(INDEX(PP_Grid[#Data],$DD142,56),0)</f>
        <v/>
      </c>
      <c r="BG142">
        <f>IFERROR(INDEX(PP_Grid[#Data],$DD142,57),0)</f>
        <v/>
      </c>
      <c r="BH142">
        <f>IFERROR(INDEX(PP_Grid[#Data],$DD142,58),0)</f>
        <v/>
      </c>
      <c r="BI142">
        <f>IFERROR(INDEX(PP_Grid[#Data],$DD142,59),0)</f>
        <v/>
      </c>
      <c r="BJ142">
        <f>IFERROR(INDEX(PP_Grid[#Data],$DD142,60),0)</f>
        <v/>
      </c>
      <c r="BK142">
        <f>IFERROR(INDEX(PP_Grid[#Data],$DD142,61),0)</f>
        <v/>
      </c>
      <c r="BL142">
        <f>IFERROR(INDEX(PP_Grid[#Data],$DD142,62),0)</f>
        <v/>
      </c>
      <c r="BM142">
        <f>IFERROR(INDEX(PP_Grid[#Data],$DD142,63),0)</f>
        <v/>
      </c>
      <c r="BN142">
        <f>IFERROR(INDEX(PP_Grid[#Data],$DD142,64),0)</f>
        <v/>
      </c>
      <c r="BO142">
        <f>IFERROR(INDEX(PP_Grid[#Data],$DD142,65),0)</f>
        <v/>
      </c>
      <c r="BP142">
        <f>IFERROR(INDEX(PP_Grid[#Data],$DD142,66),0)</f>
        <v/>
      </c>
      <c r="BQ142">
        <f>IFERROR(INDEX(PP_Grid[#Data],$DD142,67),0)</f>
        <v/>
      </c>
      <c r="BR142">
        <f>IFERROR(INDEX(PP_Grid[#Data],$DD142,68),0)</f>
        <v/>
      </c>
      <c r="BS142">
        <f>IFERROR(INDEX(PP_Grid[#Data],$DD142,69),0)</f>
        <v/>
      </c>
      <c r="BT142">
        <f>IFERROR(INDEX(PP_Grid[#Data],$DD142,70),0)</f>
        <v/>
      </c>
      <c r="BU142">
        <f>IFERROR(INDEX(PP_Grid[#Data],$DD142,71),0)</f>
        <v/>
      </c>
      <c r="BV142">
        <f>IFERROR(INDEX(PP_Grid[#Data],$DD142,72),0)</f>
        <v/>
      </c>
      <c r="BW142">
        <f>IFERROR(INDEX(PP_Grid[#Data],$DD142,73),0)</f>
        <v/>
      </c>
      <c r="BX142">
        <f>IFERROR(INDEX(PP_Grid[#Data],$DD142,74),0)</f>
        <v/>
      </c>
      <c r="BY142">
        <f>IFERROR(INDEX(PP_Grid[#Data],$DD142,75),0)</f>
        <v/>
      </c>
      <c r="BZ142">
        <f>IFERROR(INDEX(PP_Grid[#Data],$DD142,76),0)</f>
        <v/>
      </c>
      <c r="CA142">
        <f>IFERROR(INDEX(PP_Grid[#Data],$DD142,77),0)</f>
        <v/>
      </c>
      <c r="CB142">
        <f>IFERROR(INDEX(PP_Grid[#Data],$DD142,78),0)</f>
        <v/>
      </c>
      <c r="CC142">
        <f>IFERROR(INDEX(PP_Grid[#Data],$DD142,79),0)</f>
        <v/>
      </c>
      <c r="CD142">
        <f>IFERROR(INDEX(PP_Grid[#Data],$DD142,80),0)</f>
        <v/>
      </c>
      <c r="CE142">
        <f>IFERROR(INDEX(PP_Grid[#Data],$DD142,81),0)</f>
        <v/>
      </c>
      <c r="CF142">
        <f>IFERROR(INDEX(PP_Grid[#Data],$DD142,82),0)</f>
        <v/>
      </c>
      <c r="CG142">
        <f>IFERROR(INDEX(PP_Grid[#Data],$DD142,83),0)</f>
        <v/>
      </c>
      <c r="CH142">
        <f>IFERROR(INDEX(PP_Grid[#Data],$DD142,84),0)</f>
        <v/>
      </c>
      <c r="CI142">
        <f>IFERROR(INDEX(PP_Grid[#Data],$DD142,85),0)</f>
        <v/>
      </c>
      <c r="CJ142">
        <f>IFERROR(INDEX(PP_Grid[#Data],$DD142,86),0)</f>
        <v/>
      </c>
      <c r="CK142">
        <f>IFERROR(INDEX(PP_Grid[#Data],$DD142,87),0)</f>
        <v/>
      </c>
      <c r="CL142">
        <f>IFERROR(INDEX(PP_Grid[#Data],$DD142,88),0)</f>
        <v/>
      </c>
      <c r="CM142">
        <f>IFERROR(INDEX(PP_Grid[#Data],$DD142,89),0)</f>
        <v/>
      </c>
      <c r="CN142">
        <f>IFERROR(INDEX(PP_Grid[#Data],$DD142,90),0)</f>
        <v/>
      </c>
      <c r="CO142">
        <f>IFERROR(INDEX(PP_Grid[#Data],$DD142,91),0)</f>
        <v/>
      </c>
      <c r="CP142">
        <f>IFERROR(INDEX(PP_Grid[#Data],$DD142,92),0)</f>
        <v/>
      </c>
      <c r="CQ142">
        <f>IFERROR(INDEX(PP_Grid[#Data],$DD142,93),0)</f>
        <v/>
      </c>
      <c r="CR142">
        <f>IFERROR(INDEX(PP_Grid[#Data],$DD142,94),0)</f>
        <v/>
      </c>
      <c r="CS142">
        <f>IFERROR(INDEX(PP_Grid[#Data],$DD142,95),0)</f>
        <v/>
      </c>
      <c r="CT142">
        <f>IFERROR(INDEX(PP_Grid[#Data],$DD142,96),0)</f>
        <v/>
      </c>
      <c r="CU142">
        <f>IFERROR(INDEX(PP_Grid[#Data],$DD142,97),0)</f>
        <v/>
      </c>
      <c r="CV142">
        <f>IFERROR(INDEX(PP_Grid[#Data],$DD142,98),0)</f>
        <v/>
      </c>
      <c r="CW142">
        <f>IFERROR(INDEX(PP_Grid[#Data],$DD142,99),0)</f>
        <v/>
      </c>
      <c r="CX142">
        <f>IFERROR(INDEX(PP_Grid[#Data],$DD142,100),0)</f>
        <v/>
      </c>
      <c r="CY142">
        <f>IFERROR(INDEX(PP_Grid[#Data],$DD142,101),0)</f>
        <v/>
      </c>
      <c r="CZ142">
        <f>IFERROR(INDEX(PP_Grid[#Data],$DD142,102),0)</f>
        <v/>
      </c>
      <c r="DA142">
        <f>IFERROR(INDEX(PP_Grid[#Data],$DD142,103),0)</f>
        <v/>
      </c>
      <c r="DB142">
        <f>IFERROR(INDEX(PP_Grid[#Data],$DD142,104),0)</f>
        <v/>
      </c>
      <c r="DC142">
        <f>IFERROR(INDEX(PP_Grid[#Data],$DD142,105),0)</f>
        <v/>
      </c>
      <c r="DD142" s="7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SUMIFS(M_BOM[RM_Qty_Per_Batch],M_BOM[Intermediate],$B142,M_BOM[Part Name],$A45)</f>
        <v/>
      </c>
      <c r="D143">
        <f>$C143*D142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</row>
    <row r="144">
      <c r="B144" t="inlineStr">
        <is>
          <t>TSP-937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7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Name],$A45)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t="inlineStr">
        <is>
          <t>TSP-959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TSP-966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TVS-833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t="inlineStr">
        <is>
          <t>TSP-1388</t>
        </is>
      </c>
      <c r="C152" t="inlineStr">
        <is>
          <t>No. of batches</t>
        </is>
      </c>
      <c r="D152">
        <f>IFERROR(INDEX(PP_Grid[#Data],$DD152,2),0)</f>
        <v/>
      </c>
      <c r="E152">
        <f>IFERROR(INDEX(PP_Grid[#Data],$DD152,3),0)</f>
        <v/>
      </c>
      <c r="F152">
        <f>IFERROR(INDEX(PP_Grid[#Data],$DD152,4),0)</f>
        <v/>
      </c>
      <c r="G152">
        <f>IFERROR(INDEX(PP_Grid[#Data],$DD152,5),0)</f>
        <v/>
      </c>
      <c r="H152">
        <f>IFERROR(INDEX(PP_Grid[#Data],$DD152,6),0)</f>
        <v/>
      </c>
      <c r="I152">
        <f>IFERROR(INDEX(PP_Grid[#Data],$DD152,7),0)</f>
        <v/>
      </c>
      <c r="J152">
        <f>IFERROR(INDEX(PP_Grid[#Data],$DD152,8),0)</f>
        <v/>
      </c>
      <c r="K152">
        <f>IFERROR(INDEX(PP_Grid[#Data],$DD152,9),0)</f>
        <v/>
      </c>
      <c r="L152">
        <f>IFERROR(INDEX(PP_Grid[#Data],$DD152,10),0)</f>
        <v/>
      </c>
      <c r="M152">
        <f>IFERROR(INDEX(PP_Grid[#Data],$DD152,11),0)</f>
        <v/>
      </c>
      <c r="N152">
        <f>IFERROR(INDEX(PP_Grid[#Data],$DD152,12),0)</f>
        <v/>
      </c>
      <c r="O152">
        <f>IFERROR(INDEX(PP_Grid[#Data],$DD152,13),0)</f>
        <v/>
      </c>
      <c r="P152">
        <f>IFERROR(INDEX(PP_Grid[#Data],$DD152,14),0)</f>
        <v/>
      </c>
      <c r="Q152">
        <f>IFERROR(INDEX(PP_Grid[#Data],$DD152,15),0)</f>
        <v/>
      </c>
      <c r="R152">
        <f>IFERROR(INDEX(PP_Grid[#Data],$DD152,16),0)</f>
        <v/>
      </c>
      <c r="S152">
        <f>IFERROR(INDEX(PP_Grid[#Data],$DD152,17),0)</f>
        <v/>
      </c>
      <c r="T152">
        <f>IFERROR(INDEX(PP_Grid[#Data],$DD152,18),0)</f>
        <v/>
      </c>
      <c r="U152">
        <f>IFERROR(INDEX(PP_Grid[#Data],$DD152,19),0)</f>
        <v/>
      </c>
      <c r="V152">
        <f>IFERROR(INDEX(PP_Grid[#Data],$DD152,20),0)</f>
        <v/>
      </c>
      <c r="W152">
        <f>IFERROR(INDEX(PP_Grid[#Data],$DD152,21),0)</f>
        <v/>
      </c>
      <c r="X152">
        <f>IFERROR(INDEX(PP_Grid[#Data],$DD152,22),0)</f>
        <v/>
      </c>
      <c r="Y152">
        <f>IFERROR(INDEX(PP_Grid[#Data],$DD152,23),0)</f>
        <v/>
      </c>
      <c r="Z152">
        <f>IFERROR(INDEX(PP_Grid[#Data],$DD152,24),0)</f>
        <v/>
      </c>
      <c r="AA152">
        <f>IFERROR(INDEX(PP_Grid[#Data],$DD152,25),0)</f>
        <v/>
      </c>
      <c r="AB152">
        <f>IFERROR(INDEX(PP_Grid[#Data],$DD152,26),0)</f>
        <v/>
      </c>
      <c r="AC152">
        <f>IFERROR(INDEX(PP_Grid[#Data],$DD152,27),0)</f>
        <v/>
      </c>
      <c r="AD152">
        <f>IFERROR(INDEX(PP_Grid[#Data],$DD152,28),0)</f>
        <v/>
      </c>
      <c r="AE152">
        <f>IFERROR(INDEX(PP_Grid[#Data],$DD152,29),0)</f>
        <v/>
      </c>
      <c r="AF152">
        <f>IFERROR(INDEX(PP_Grid[#Data],$DD152,30),0)</f>
        <v/>
      </c>
      <c r="AG152">
        <f>IFERROR(INDEX(PP_Grid[#Data],$DD152,31),0)</f>
        <v/>
      </c>
      <c r="AH152">
        <f>IFERROR(INDEX(PP_Grid[#Data],$DD152,32),0)</f>
        <v/>
      </c>
      <c r="AI152">
        <f>IFERROR(INDEX(PP_Grid[#Data],$DD152,33),0)</f>
        <v/>
      </c>
      <c r="AJ152">
        <f>IFERROR(INDEX(PP_Grid[#Data],$DD152,34),0)</f>
        <v/>
      </c>
      <c r="AK152">
        <f>IFERROR(INDEX(PP_Grid[#Data],$DD152,35),0)</f>
        <v/>
      </c>
      <c r="AL152">
        <f>IFERROR(INDEX(PP_Grid[#Data],$DD152,36),0)</f>
        <v/>
      </c>
      <c r="AM152">
        <f>IFERROR(INDEX(PP_Grid[#Data],$DD152,37),0)</f>
        <v/>
      </c>
      <c r="AN152">
        <f>IFERROR(INDEX(PP_Grid[#Data],$DD152,38),0)</f>
        <v/>
      </c>
      <c r="AO152">
        <f>IFERROR(INDEX(PP_Grid[#Data],$DD152,39),0)</f>
        <v/>
      </c>
      <c r="AP152">
        <f>IFERROR(INDEX(PP_Grid[#Data],$DD152,40),0)</f>
        <v/>
      </c>
      <c r="AQ152">
        <f>IFERROR(INDEX(PP_Grid[#Data],$DD152,41),0)</f>
        <v/>
      </c>
      <c r="AR152">
        <f>IFERROR(INDEX(PP_Grid[#Data],$DD152,42),0)</f>
        <v/>
      </c>
      <c r="AS152">
        <f>IFERROR(INDEX(PP_Grid[#Data],$DD152,43),0)</f>
        <v/>
      </c>
      <c r="AT152">
        <f>IFERROR(INDEX(PP_Grid[#Data],$DD152,44),0)</f>
        <v/>
      </c>
      <c r="AU152">
        <f>IFERROR(INDEX(PP_Grid[#Data],$DD152,45),0)</f>
        <v/>
      </c>
      <c r="AV152">
        <f>IFERROR(INDEX(PP_Grid[#Data],$DD152,46),0)</f>
        <v/>
      </c>
      <c r="AW152">
        <f>IFERROR(INDEX(PP_Grid[#Data],$DD152,47),0)</f>
        <v/>
      </c>
      <c r="AX152">
        <f>IFERROR(INDEX(PP_Grid[#Data],$DD152,48),0)</f>
        <v/>
      </c>
      <c r="AY152">
        <f>IFERROR(INDEX(PP_Grid[#Data],$DD152,49),0)</f>
        <v/>
      </c>
      <c r="AZ152">
        <f>IFERROR(INDEX(PP_Grid[#Data],$DD152,50),0)</f>
        <v/>
      </c>
      <c r="BA152">
        <f>IFERROR(INDEX(PP_Grid[#Data],$DD152,51),0)</f>
        <v/>
      </c>
      <c r="BB152">
        <f>IFERROR(INDEX(PP_Grid[#Data],$DD152,52),0)</f>
        <v/>
      </c>
      <c r="BC152">
        <f>IFERROR(INDEX(PP_Grid[#Data],$DD152,53),0)</f>
        <v/>
      </c>
      <c r="BD152">
        <f>IFERROR(INDEX(PP_Grid[#Data],$DD152,54),0)</f>
        <v/>
      </c>
      <c r="BE152">
        <f>IFERROR(INDEX(PP_Grid[#Data],$DD152,55),0)</f>
        <v/>
      </c>
      <c r="BF152">
        <f>IFERROR(INDEX(PP_Grid[#Data],$DD152,56),0)</f>
        <v/>
      </c>
      <c r="BG152">
        <f>IFERROR(INDEX(PP_Grid[#Data],$DD152,57),0)</f>
        <v/>
      </c>
      <c r="BH152">
        <f>IFERROR(INDEX(PP_Grid[#Data],$DD152,58),0)</f>
        <v/>
      </c>
      <c r="BI152">
        <f>IFERROR(INDEX(PP_Grid[#Data],$DD152,59),0)</f>
        <v/>
      </c>
      <c r="BJ152">
        <f>IFERROR(INDEX(PP_Grid[#Data],$DD152,60),0)</f>
        <v/>
      </c>
      <c r="BK152">
        <f>IFERROR(INDEX(PP_Grid[#Data],$DD152,61),0)</f>
        <v/>
      </c>
      <c r="BL152">
        <f>IFERROR(INDEX(PP_Grid[#Data],$DD152,62),0)</f>
        <v/>
      </c>
      <c r="BM152">
        <f>IFERROR(INDEX(PP_Grid[#Data],$DD152,63),0)</f>
        <v/>
      </c>
      <c r="BN152">
        <f>IFERROR(INDEX(PP_Grid[#Data],$DD152,64),0)</f>
        <v/>
      </c>
      <c r="BO152">
        <f>IFERROR(INDEX(PP_Grid[#Data],$DD152,65),0)</f>
        <v/>
      </c>
      <c r="BP152">
        <f>IFERROR(INDEX(PP_Grid[#Data],$DD152,66),0)</f>
        <v/>
      </c>
      <c r="BQ152">
        <f>IFERROR(INDEX(PP_Grid[#Data],$DD152,67),0)</f>
        <v/>
      </c>
      <c r="BR152">
        <f>IFERROR(INDEX(PP_Grid[#Data],$DD152,68),0)</f>
        <v/>
      </c>
      <c r="BS152">
        <f>IFERROR(INDEX(PP_Grid[#Data],$DD152,69),0)</f>
        <v/>
      </c>
      <c r="BT152">
        <f>IFERROR(INDEX(PP_Grid[#Data],$DD152,70),0)</f>
        <v/>
      </c>
      <c r="BU152">
        <f>IFERROR(INDEX(PP_Grid[#Data],$DD152,71),0)</f>
        <v/>
      </c>
      <c r="BV152">
        <f>IFERROR(INDEX(PP_Grid[#Data],$DD152,72),0)</f>
        <v/>
      </c>
      <c r="BW152">
        <f>IFERROR(INDEX(PP_Grid[#Data],$DD152,73),0)</f>
        <v/>
      </c>
      <c r="BX152">
        <f>IFERROR(INDEX(PP_Grid[#Data],$DD152,74),0)</f>
        <v/>
      </c>
      <c r="BY152">
        <f>IFERROR(INDEX(PP_Grid[#Data],$DD152,75),0)</f>
        <v/>
      </c>
      <c r="BZ152">
        <f>IFERROR(INDEX(PP_Grid[#Data],$DD152,76),0)</f>
        <v/>
      </c>
      <c r="CA152">
        <f>IFERROR(INDEX(PP_Grid[#Data],$DD152,77),0)</f>
        <v/>
      </c>
      <c r="CB152">
        <f>IFERROR(INDEX(PP_Grid[#Data],$DD152,78),0)</f>
        <v/>
      </c>
      <c r="CC152">
        <f>IFERROR(INDEX(PP_Grid[#Data],$DD152,79),0)</f>
        <v/>
      </c>
      <c r="CD152">
        <f>IFERROR(INDEX(PP_Grid[#Data],$DD152,80),0)</f>
        <v/>
      </c>
      <c r="CE152">
        <f>IFERROR(INDEX(PP_Grid[#Data],$DD152,81),0)</f>
        <v/>
      </c>
      <c r="CF152">
        <f>IFERROR(INDEX(PP_Grid[#Data],$DD152,82),0)</f>
        <v/>
      </c>
      <c r="CG152">
        <f>IFERROR(INDEX(PP_Grid[#Data],$DD152,83),0)</f>
        <v/>
      </c>
      <c r="CH152">
        <f>IFERROR(INDEX(PP_Grid[#Data],$DD152,84),0)</f>
        <v/>
      </c>
      <c r="CI152">
        <f>IFERROR(INDEX(PP_Grid[#Data],$DD152,85),0)</f>
        <v/>
      </c>
      <c r="CJ152">
        <f>IFERROR(INDEX(PP_Grid[#Data],$DD152,86),0)</f>
        <v/>
      </c>
      <c r="CK152">
        <f>IFERROR(INDEX(PP_Grid[#Data],$DD152,87),0)</f>
        <v/>
      </c>
      <c r="CL152">
        <f>IFERROR(INDEX(PP_Grid[#Data],$DD152,88),0)</f>
        <v/>
      </c>
      <c r="CM152">
        <f>IFERROR(INDEX(PP_Grid[#Data],$DD152,89),0)</f>
        <v/>
      </c>
      <c r="CN152">
        <f>IFERROR(INDEX(PP_Grid[#Data],$DD152,90),0)</f>
        <v/>
      </c>
      <c r="CO152">
        <f>IFERROR(INDEX(PP_Grid[#Data],$DD152,91),0)</f>
        <v/>
      </c>
      <c r="CP152">
        <f>IFERROR(INDEX(PP_Grid[#Data],$DD152,92),0)</f>
        <v/>
      </c>
      <c r="CQ152">
        <f>IFERROR(INDEX(PP_Grid[#Data],$DD152,93),0)</f>
        <v/>
      </c>
      <c r="CR152">
        <f>IFERROR(INDEX(PP_Grid[#Data],$DD152,94),0)</f>
        <v/>
      </c>
      <c r="CS152">
        <f>IFERROR(INDEX(PP_Grid[#Data],$DD152,95),0)</f>
        <v/>
      </c>
      <c r="CT152">
        <f>IFERROR(INDEX(PP_Grid[#Data],$DD152,96),0)</f>
        <v/>
      </c>
      <c r="CU152">
        <f>IFERROR(INDEX(PP_Grid[#Data],$DD152,97),0)</f>
        <v/>
      </c>
      <c r="CV152">
        <f>IFERROR(INDEX(PP_Grid[#Data],$DD152,98),0)</f>
        <v/>
      </c>
      <c r="CW152">
        <f>IFERROR(INDEX(PP_Grid[#Data],$DD152,99),0)</f>
        <v/>
      </c>
      <c r="CX152">
        <f>IFERROR(INDEX(PP_Grid[#Data],$DD152,100),0)</f>
        <v/>
      </c>
      <c r="CY152">
        <f>IFERROR(INDEX(PP_Grid[#Data],$DD152,101),0)</f>
        <v/>
      </c>
      <c r="CZ152">
        <f>IFERROR(INDEX(PP_Grid[#Data],$DD152,102),0)</f>
        <v/>
      </c>
      <c r="DA152">
        <f>IFERROR(INDEX(PP_Grid[#Data],$DD152,103),0)</f>
        <v/>
      </c>
      <c r="DB152">
        <f>IFERROR(INDEX(PP_Grid[#Data],$DD152,104),0)</f>
        <v/>
      </c>
      <c r="DC152">
        <f>IFERROR(INDEX(PP_Grid[#Data],$DD152,105),0)</f>
        <v/>
      </c>
      <c r="DD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SUMIFS(M_BOM[RM_Qty_Per_Batch],M_BOM[Intermediate],$B152,M_BOM[Part Name],$A45)</f>
        <v/>
      </c>
      <c r="D153">
        <f>$C153*D152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</row>
    <row r="154">
      <c r="B154" t="inlineStr">
        <is>
          <t>TSP-1444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Name],$A45)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TSP-1448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Name],$A45)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TSP-1445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Name],$A45)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TSP-1446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Name],$A45)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TSP-1449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SUMIFS(M_BOM[RM_Qty_Per_Batch],M_BOM[Intermediate],$B162,M_BOM[Part Name],$A45)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t="inlineStr">
        <is>
          <t>VSP-567</t>
        </is>
      </c>
      <c r="C164" t="inlineStr">
        <is>
          <t>No. of batches</t>
        </is>
      </c>
      <c r="D164">
        <f>IFERROR(INDEX(PP_Grid[#Data],$DD164,2),0)</f>
        <v/>
      </c>
      <c r="E164">
        <f>IFERROR(INDEX(PP_Grid[#Data],$DD164,3),0)</f>
        <v/>
      </c>
      <c r="F164">
        <f>IFERROR(INDEX(PP_Grid[#Data],$DD164,4),0)</f>
        <v/>
      </c>
      <c r="G164">
        <f>IFERROR(INDEX(PP_Grid[#Data],$DD164,5),0)</f>
        <v/>
      </c>
      <c r="H164">
        <f>IFERROR(INDEX(PP_Grid[#Data],$DD164,6),0)</f>
        <v/>
      </c>
      <c r="I164">
        <f>IFERROR(INDEX(PP_Grid[#Data],$DD164,7),0)</f>
        <v/>
      </c>
      <c r="J164">
        <f>IFERROR(INDEX(PP_Grid[#Data],$DD164,8),0)</f>
        <v/>
      </c>
      <c r="K164">
        <f>IFERROR(INDEX(PP_Grid[#Data],$DD164,9),0)</f>
        <v/>
      </c>
      <c r="L164">
        <f>IFERROR(INDEX(PP_Grid[#Data],$DD164,10),0)</f>
        <v/>
      </c>
      <c r="M164">
        <f>IFERROR(INDEX(PP_Grid[#Data],$DD164,11),0)</f>
        <v/>
      </c>
      <c r="N164">
        <f>IFERROR(INDEX(PP_Grid[#Data],$DD164,12),0)</f>
        <v/>
      </c>
      <c r="O164">
        <f>IFERROR(INDEX(PP_Grid[#Data],$DD164,13),0)</f>
        <v/>
      </c>
      <c r="P164">
        <f>IFERROR(INDEX(PP_Grid[#Data],$DD164,14),0)</f>
        <v/>
      </c>
      <c r="Q164">
        <f>IFERROR(INDEX(PP_Grid[#Data],$DD164,15),0)</f>
        <v/>
      </c>
      <c r="R164">
        <f>IFERROR(INDEX(PP_Grid[#Data],$DD164,16),0)</f>
        <v/>
      </c>
      <c r="S164">
        <f>IFERROR(INDEX(PP_Grid[#Data],$DD164,17),0)</f>
        <v/>
      </c>
      <c r="T164">
        <f>IFERROR(INDEX(PP_Grid[#Data],$DD164,18),0)</f>
        <v/>
      </c>
      <c r="U164">
        <f>IFERROR(INDEX(PP_Grid[#Data],$DD164,19),0)</f>
        <v/>
      </c>
      <c r="V164">
        <f>IFERROR(INDEX(PP_Grid[#Data],$DD164,20),0)</f>
        <v/>
      </c>
      <c r="W164">
        <f>IFERROR(INDEX(PP_Grid[#Data],$DD164,21),0)</f>
        <v/>
      </c>
      <c r="X164">
        <f>IFERROR(INDEX(PP_Grid[#Data],$DD164,22),0)</f>
        <v/>
      </c>
      <c r="Y164">
        <f>IFERROR(INDEX(PP_Grid[#Data],$DD164,23),0)</f>
        <v/>
      </c>
      <c r="Z164">
        <f>IFERROR(INDEX(PP_Grid[#Data],$DD164,24),0)</f>
        <v/>
      </c>
      <c r="AA164">
        <f>IFERROR(INDEX(PP_Grid[#Data],$DD164,25),0)</f>
        <v/>
      </c>
      <c r="AB164">
        <f>IFERROR(INDEX(PP_Grid[#Data],$DD164,26),0)</f>
        <v/>
      </c>
      <c r="AC164">
        <f>IFERROR(INDEX(PP_Grid[#Data],$DD164,27),0)</f>
        <v/>
      </c>
      <c r="AD164">
        <f>IFERROR(INDEX(PP_Grid[#Data],$DD164,28),0)</f>
        <v/>
      </c>
      <c r="AE164">
        <f>IFERROR(INDEX(PP_Grid[#Data],$DD164,29),0)</f>
        <v/>
      </c>
      <c r="AF164">
        <f>IFERROR(INDEX(PP_Grid[#Data],$DD164,30),0)</f>
        <v/>
      </c>
      <c r="AG164">
        <f>IFERROR(INDEX(PP_Grid[#Data],$DD164,31),0)</f>
        <v/>
      </c>
      <c r="AH164">
        <f>IFERROR(INDEX(PP_Grid[#Data],$DD164,32),0)</f>
        <v/>
      </c>
      <c r="AI164">
        <f>IFERROR(INDEX(PP_Grid[#Data],$DD164,33),0)</f>
        <v/>
      </c>
      <c r="AJ164">
        <f>IFERROR(INDEX(PP_Grid[#Data],$DD164,34),0)</f>
        <v/>
      </c>
      <c r="AK164">
        <f>IFERROR(INDEX(PP_Grid[#Data],$DD164,35),0)</f>
        <v/>
      </c>
      <c r="AL164">
        <f>IFERROR(INDEX(PP_Grid[#Data],$DD164,36),0)</f>
        <v/>
      </c>
      <c r="AM164">
        <f>IFERROR(INDEX(PP_Grid[#Data],$DD164,37),0)</f>
        <v/>
      </c>
      <c r="AN164">
        <f>IFERROR(INDEX(PP_Grid[#Data],$DD164,38),0)</f>
        <v/>
      </c>
      <c r="AO164">
        <f>IFERROR(INDEX(PP_Grid[#Data],$DD164,39),0)</f>
        <v/>
      </c>
      <c r="AP164">
        <f>IFERROR(INDEX(PP_Grid[#Data],$DD164,40),0)</f>
        <v/>
      </c>
      <c r="AQ164">
        <f>IFERROR(INDEX(PP_Grid[#Data],$DD164,41),0)</f>
        <v/>
      </c>
      <c r="AR164">
        <f>IFERROR(INDEX(PP_Grid[#Data],$DD164,42),0)</f>
        <v/>
      </c>
      <c r="AS164">
        <f>IFERROR(INDEX(PP_Grid[#Data],$DD164,43),0)</f>
        <v/>
      </c>
      <c r="AT164">
        <f>IFERROR(INDEX(PP_Grid[#Data],$DD164,44),0)</f>
        <v/>
      </c>
      <c r="AU164">
        <f>IFERROR(INDEX(PP_Grid[#Data],$DD164,45),0)</f>
        <v/>
      </c>
      <c r="AV164">
        <f>IFERROR(INDEX(PP_Grid[#Data],$DD164,46),0)</f>
        <v/>
      </c>
      <c r="AW164">
        <f>IFERROR(INDEX(PP_Grid[#Data],$DD164,47),0)</f>
        <v/>
      </c>
      <c r="AX164">
        <f>IFERROR(INDEX(PP_Grid[#Data],$DD164,48),0)</f>
        <v/>
      </c>
      <c r="AY164">
        <f>IFERROR(INDEX(PP_Grid[#Data],$DD164,49),0)</f>
        <v/>
      </c>
      <c r="AZ164">
        <f>IFERROR(INDEX(PP_Grid[#Data],$DD164,50),0)</f>
        <v/>
      </c>
      <c r="BA164">
        <f>IFERROR(INDEX(PP_Grid[#Data],$DD164,51),0)</f>
        <v/>
      </c>
      <c r="BB164">
        <f>IFERROR(INDEX(PP_Grid[#Data],$DD164,52),0)</f>
        <v/>
      </c>
      <c r="BC164">
        <f>IFERROR(INDEX(PP_Grid[#Data],$DD164,53),0)</f>
        <v/>
      </c>
      <c r="BD164">
        <f>IFERROR(INDEX(PP_Grid[#Data],$DD164,54),0)</f>
        <v/>
      </c>
      <c r="BE164">
        <f>IFERROR(INDEX(PP_Grid[#Data],$DD164,55),0)</f>
        <v/>
      </c>
      <c r="BF164">
        <f>IFERROR(INDEX(PP_Grid[#Data],$DD164,56),0)</f>
        <v/>
      </c>
      <c r="BG164">
        <f>IFERROR(INDEX(PP_Grid[#Data],$DD164,57),0)</f>
        <v/>
      </c>
      <c r="BH164">
        <f>IFERROR(INDEX(PP_Grid[#Data],$DD164,58),0)</f>
        <v/>
      </c>
      <c r="BI164">
        <f>IFERROR(INDEX(PP_Grid[#Data],$DD164,59),0)</f>
        <v/>
      </c>
      <c r="BJ164">
        <f>IFERROR(INDEX(PP_Grid[#Data],$DD164,60),0)</f>
        <v/>
      </c>
      <c r="BK164">
        <f>IFERROR(INDEX(PP_Grid[#Data],$DD164,61),0)</f>
        <v/>
      </c>
      <c r="BL164">
        <f>IFERROR(INDEX(PP_Grid[#Data],$DD164,62),0)</f>
        <v/>
      </c>
      <c r="BM164">
        <f>IFERROR(INDEX(PP_Grid[#Data],$DD164,63),0)</f>
        <v/>
      </c>
      <c r="BN164">
        <f>IFERROR(INDEX(PP_Grid[#Data],$DD164,64),0)</f>
        <v/>
      </c>
      <c r="BO164">
        <f>IFERROR(INDEX(PP_Grid[#Data],$DD164,65),0)</f>
        <v/>
      </c>
      <c r="BP164">
        <f>IFERROR(INDEX(PP_Grid[#Data],$DD164,66),0)</f>
        <v/>
      </c>
      <c r="BQ164">
        <f>IFERROR(INDEX(PP_Grid[#Data],$DD164,67),0)</f>
        <v/>
      </c>
      <c r="BR164">
        <f>IFERROR(INDEX(PP_Grid[#Data],$DD164,68),0)</f>
        <v/>
      </c>
      <c r="BS164">
        <f>IFERROR(INDEX(PP_Grid[#Data],$DD164,69),0)</f>
        <v/>
      </c>
      <c r="BT164">
        <f>IFERROR(INDEX(PP_Grid[#Data],$DD164,70),0)</f>
        <v/>
      </c>
      <c r="BU164">
        <f>IFERROR(INDEX(PP_Grid[#Data],$DD164,71),0)</f>
        <v/>
      </c>
      <c r="BV164">
        <f>IFERROR(INDEX(PP_Grid[#Data],$DD164,72),0)</f>
        <v/>
      </c>
      <c r="BW164">
        <f>IFERROR(INDEX(PP_Grid[#Data],$DD164,73),0)</f>
        <v/>
      </c>
      <c r="BX164">
        <f>IFERROR(INDEX(PP_Grid[#Data],$DD164,74),0)</f>
        <v/>
      </c>
      <c r="BY164">
        <f>IFERROR(INDEX(PP_Grid[#Data],$DD164,75),0)</f>
        <v/>
      </c>
      <c r="BZ164">
        <f>IFERROR(INDEX(PP_Grid[#Data],$DD164,76),0)</f>
        <v/>
      </c>
      <c r="CA164">
        <f>IFERROR(INDEX(PP_Grid[#Data],$DD164,77),0)</f>
        <v/>
      </c>
      <c r="CB164">
        <f>IFERROR(INDEX(PP_Grid[#Data],$DD164,78),0)</f>
        <v/>
      </c>
      <c r="CC164">
        <f>IFERROR(INDEX(PP_Grid[#Data],$DD164,79),0)</f>
        <v/>
      </c>
      <c r="CD164">
        <f>IFERROR(INDEX(PP_Grid[#Data],$DD164,80),0)</f>
        <v/>
      </c>
      <c r="CE164">
        <f>IFERROR(INDEX(PP_Grid[#Data],$DD164,81),0)</f>
        <v/>
      </c>
      <c r="CF164">
        <f>IFERROR(INDEX(PP_Grid[#Data],$DD164,82),0)</f>
        <v/>
      </c>
      <c r="CG164">
        <f>IFERROR(INDEX(PP_Grid[#Data],$DD164,83),0)</f>
        <v/>
      </c>
      <c r="CH164">
        <f>IFERROR(INDEX(PP_Grid[#Data],$DD164,84),0)</f>
        <v/>
      </c>
      <c r="CI164">
        <f>IFERROR(INDEX(PP_Grid[#Data],$DD164,85),0)</f>
        <v/>
      </c>
      <c r="CJ164">
        <f>IFERROR(INDEX(PP_Grid[#Data],$DD164,86),0)</f>
        <v/>
      </c>
      <c r="CK164">
        <f>IFERROR(INDEX(PP_Grid[#Data],$DD164,87),0)</f>
        <v/>
      </c>
      <c r="CL164">
        <f>IFERROR(INDEX(PP_Grid[#Data],$DD164,88),0)</f>
        <v/>
      </c>
      <c r="CM164">
        <f>IFERROR(INDEX(PP_Grid[#Data],$DD164,89),0)</f>
        <v/>
      </c>
      <c r="CN164">
        <f>IFERROR(INDEX(PP_Grid[#Data],$DD164,90),0)</f>
        <v/>
      </c>
      <c r="CO164">
        <f>IFERROR(INDEX(PP_Grid[#Data],$DD164,91),0)</f>
        <v/>
      </c>
      <c r="CP164">
        <f>IFERROR(INDEX(PP_Grid[#Data],$DD164,92),0)</f>
        <v/>
      </c>
      <c r="CQ164">
        <f>IFERROR(INDEX(PP_Grid[#Data],$DD164,93),0)</f>
        <v/>
      </c>
      <c r="CR164">
        <f>IFERROR(INDEX(PP_Grid[#Data],$DD164,94),0)</f>
        <v/>
      </c>
      <c r="CS164">
        <f>IFERROR(INDEX(PP_Grid[#Data],$DD164,95),0)</f>
        <v/>
      </c>
      <c r="CT164">
        <f>IFERROR(INDEX(PP_Grid[#Data],$DD164,96),0)</f>
        <v/>
      </c>
      <c r="CU164">
        <f>IFERROR(INDEX(PP_Grid[#Data],$DD164,97),0)</f>
        <v/>
      </c>
      <c r="CV164">
        <f>IFERROR(INDEX(PP_Grid[#Data],$DD164,98),0)</f>
        <v/>
      </c>
      <c r="CW164">
        <f>IFERROR(INDEX(PP_Grid[#Data],$DD164,99),0)</f>
        <v/>
      </c>
      <c r="CX164">
        <f>IFERROR(INDEX(PP_Grid[#Data],$DD164,100),0)</f>
        <v/>
      </c>
      <c r="CY164">
        <f>IFERROR(INDEX(PP_Grid[#Data],$DD164,101),0)</f>
        <v/>
      </c>
      <c r="CZ164">
        <f>IFERROR(INDEX(PP_Grid[#Data],$DD164,102),0)</f>
        <v/>
      </c>
      <c r="DA164">
        <f>IFERROR(INDEX(PP_Grid[#Data],$DD164,103),0)</f>
        <v/>
      </c>
      <c r="DB164">
        <f>IFERROR(INDEX(PP_Grid[#Data],$DD164,104),0)</f>
        <v/>
      </c>
      <c r="DC164">
        <f>IFERROR(INDEX(PP_Grid[#Data],$DD164,105),0)</f>
        <v/>
      </c>
      <c r="DD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SUMIFS(M_BOM[RM_Qty_Per_Batch],M_BOM[Intermediate],$B164,M_BOM[Part Name],$A45)</f>
        <v/>
      </c>
      <c r="D165">
        <f>$C165*D164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</row>
    <row r="166">
      <c r="B166" t="inlineStr">
        <is>
          <t>VSP-600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Name],$A45)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t="inlineStr">
        <is>
          <t>VSP-601</t>
        </is>
      </c>
      <c r="C168" t="inlineStr">
        <is>
          <t>No. of batches</t>
        </is>
      </c>
      <c r="D168">
        <f>IFERROR(INDEX(PP_Grid[#Data],$DD168,2),0)</f>
        <v/>
      </c>
      <c r="E168">
        <f>IFERROR(INDEX(PP_Grid[#Data],$DD168,3),0)</f>
        <v/>
      </c>
      <c r="F168">
        <f>IFERROR(INDEX(PP_Grid[#Data],$DD168,4),0)</f>
        <v/>
      </c>
      <c r="G168">
        <f>IFERROR(INDEX(PP_Grid[#Data],$DD168,5),0)</f>
        <v/>
      </c>
      <c r="H168">
        <f>IFERROR(INDEX(PP_Grid[#Data],$DD168,6),0)</f>
        <v/>
      </c>
      <c r="I168">
        <f>IFERROR(INDEX(PP_Grid[#Data],$DD168,7),0)</f>
        <v/>
      </c>
      <c r="J168">
        <f>IFERROR(INDEX(PP_Grid[#Data],$DD168,8),0)</f>
        <v/>
      </c>
      <c r="K168">
        <f>IFERROR(INDEX(PP_Grid[#Data],$DD168,9),0)</f>
        <v/>
      </c>
      <c r="L168">
        <f>IFERROR(INDEX(PP_Grid[#Data],$DD168,10),0)</f>
        <v/>
      </c>
      <c r="M168">
        <f>IFERROR(INDEX(PP_Grid[#Data],$DD168,11),0)</f>
        <v/>
      </c>
      <c r="N168">
        <f>IFERROR(INDEX(PP_Grid[#Data],$DD168,12),0)</f>
        <v/>
      </c>
      <c r="O168">
        <f>IFERROR(INDEX(PP_Grid[#Data],$DD168,13),0)</f>
        <v/>
      </c>
      <c r="P168">
        <f>IFERROR(INDEX(PP_Grid[#Data],$DD168,14),0)</f>
        <v/>
      </c>
      <c r="Q168">
        <f>IFERROR(INDEX(PP_Grid[#Data],$DD168,15),0)</f>
        <v/>
      </c>
      <c r="R168">
        <f>IFERROR(INDEX(PP_Grid[#Data],$DD168,16),0)</f>
        <v/>
      </c>
      <c r="S168">
        <f>IFERROR(INDEX(PP_Grid[#Data],$DD168,17),0)</f>
        <v/>
      </c>
      <c r="T168">
        <f>IFERROR(INDEX(PP_Grid[#Data],$DD168,18),0)</f>
        <v/>
      </c>
      <c r="U168">
        <f>IFERROR(INDEX(PP_Grid[#Data],$DD168,19),0)</f>
        <v/>
      </c>
      <c r="V168">
        <f>IFERROR(INDEX(PP_Grid[#Data],$DD168,20),0)</f>
        <v/>
      </c>
      <c r="W168">
        <f>IFERROR(INDEX(PP_Grid[#Data],$DD168,21),0)</f>
        <v/>
      </c>
      <c r="X168">
        <f>IFERROR(INDEX(PP_Grid[#Data],$DD168,22),0)</f>
        <v/>
      </c>
      <c r="Y168">
        <f>IFERROR(INDEX(PP_Grid[#Data],$DD168,23),0)</f>
        <v/>
      </c>
      <c r="Z168">
        <f>IFERROR(INDEX(PP_Grid[#Data],$DD168,24),0)</f>
        <v/>
      </c>
      <c r="AA168">
        <f>IFERROR(INDEX(PP_Grid[#Data],$DD168,25),0)</f>
        <v/>
      </c>
      <c r="AB168">
        <f>IFERROR(INDEX(PP_Grid[#Data],$DD168,26),0)</f>
        <v/>
      </c>
      <c r="AC168">
        <f>IFERROR(INDEX(PP_Grid[#Data],$DD168,27),0)</f>
        <v/>
      </c>
      <c r="AD168">
        <f>IFERROR(INDEX(PP_Grid[#Data],$DD168,28),0)</f>
        <v/>
      </c>
      <c r="AE168">
        <f>IFERROR(INDEX(PP_Grid[#Data],$DD168,29),0)</f>
        <v/>
      </c>
      <c r="AF168">
        <f>IFERROR(INDEX(PP_Grid[#Data],$DD168,30),0)</f>
        <v/>
      </c>
      <c r="AG168">
        <f>IFERROR(INDEX(PP_Grid[#Data],$DD168,31),0)</f>
        <v/>
      </c>
      <c r="AH168">
        <f>IFERROR(INDEX(PP_Grid[#Data],$DD168,32),0)</f>
        <v/>
      </c>
      <c r="AI168">
        <f>IFERROR(INDEX(PP_Grid[#Data],$DD168,33),0)</f>
        <v/>
      </c>
      <c r="AJ168">
        <f>IFERROR(INDEX(PP_Grid[#Data],$DD168,34),0)</f>
        <v/>
      </c>
      <c r="AK168">
        <f>IFERROR(INDEX(PP_Grid[#Data],$DD168,35),0)</f>
        <v/>
      </c>
      <c r="AL168">
        <f>IFERROR(INDEX(PP_Grid[#Data],$DD168,36),0)</f>
        <v/>
      </c>
      <c r="AM168">
        <f>IFERROR(INDEX(PP_Grid[#Data],$DD168,37),0)</f>
        <v/>
      </c>
      <c r="AN168">
        <f>IFERROR(INDEX(PP_Grid[#Data],$DD168,38),0)</f>
        <v/>
      </c>
      <c r="AO168">
        <f>IFERROR(INDEX(PP_Grid[#Data],$DD168,39),0)</f>
        <v/>
      </c>
      <c r="AP168">
        <f>IFERROR(INDEX(PP_Grid[#Data],$DD168,40),0)</f>
        <v/>
      </c>
      <c r="AQ168">
        <f>IFERROR(INDEX(PP_Grid[#Data],$DD168,41),0)</f>
        <v/>
      </c>
      <c r="AR168">
        <f>IFERROR(INDEX(PP_Grid[#Data],$DD168,42),0)</f>
        <v/>
      </c>
      <c r="AS168">
        <f>IFERROR(INDEX(PP_Grid[#Data],$DD168,43),0)</f>
        <v/>
      </c>
      <c r="AT168">
        <f>IFERROR(INDEX(PP_Grid[#Data],$DD168,44),0)</f>
        <v/>
      </c>
      <c r="AU168">
        <f>IFERROR(INDEX(PP_Grid[#Data],$DD168,45),0)</f>
        <v/>
      </c>
      <c r="AV168">
        <f>IFERROR(INDEX(PP_Grid[#Data],$DD168,46),0)</f>
        <v/>
      </c>
      <c r="AW168">
        <f>IFERROR(INDEX(PP_Grid[#Data],$DD168,47),0)</f>
        <v/>
      </c>
      <c r="AX168">
        <f>IFERROR(INDEX(PP_Grid[#Data],$DD168,48),0)</f>
        <v/>
      </c>
      <c r="AY168">
        <f>IFERROR(INDEX(PP_Grid[#Data],$DD168,49),0)</f>
        <v/>
      </c>
      <c r="AZ168">
        <f>IFERROR(INDEX(PP_Grid[#Data],$DD168,50),0)</f>
        <v/>
      </c>
      <c r="BA168">
        <f>IFERROR(INDEX(PP_Grid[#Data],$DD168,51),0)</f>
        <v/>
      </c>
      <c r="BB168">
        <f>IFERROR(INDEX(PP_Grid[#Data],$DD168,52),0)</f>
        <v/>
      </c>
      <c r="BC168">
        <f>IFERROR(INDEX(PP_Grid[#Data],$DD168,53),0)</f>
        <v/>
      </c>
      <c r="BD168">
        <f>IFERROR(INDEX(PP_Grid[#Data],$DD168,54),0)</f>
        <v/>
      </c>
      <c r="BE168">
        <f>IFERROR(INDEX(PP_Grid[#Data],$DD168,55),0)</f>
        <v/>
      </c>
      <c r="BF168">
        <f>IFERROR(INDEX(PP_Grid[#Data],$DD168,56),0)</f>
        <v/>
      </c>
      <c r="BG168">
        <f>IFERROR(INDEX(PP_Grid[#Data],$DD168,57),0)</f>
        <v/>
      </c>
      <c r="BH168">
        <f>IFERROR(INDEX(PP_Grid[#Data],$DD168,58),0)</f>
        <v/>
      </c>
      <c r="BI168">
        <f>IFERROR(INDEX(PP_Grid[#Data],$DD168,59),0)</f>
        <v/>
      </c>
      <c r="BJ168">
        <f>IFERROR(INDEX(PP_Grid[#Data],$DD168,60),0)</f>
        <v/>
      </c>
      <c r="BK168">
        <f>IFERROR(INDEX(PP_Grid[#Data],$DD168,61),0)</f>
        <v/>
      </c>
      <c r="BL168">
        <f>IFERROR(INDEX(PP_Grid[#Data],$DD168,62),0)</f>
        <v/>
      </c>
      <c r="BM168">
        <f>IFERROR(INDEX(PP_Grid[#Data],$DD168,63),0)</f>
        <v/>
      </c>
      <c r="BN168">
        <f>IFERROR(INDEX(PP_Grid[#Data],$DD168,64),0)</f>
        <v/>
      </c>
      <c r="BO168">
        <f>IFERROR(INDEX(PP_Grid[#Data],$DD168,65),0)</f>
        <v/>
      </c>
      <c r="BP168">
        <f>IFERROR(INDEX(PP_Grid[#Data],$DD168,66),0)</f>
        <v/>
      </c>
      <c r="BQ168">
        <f>IFERROR(INDEX(PP_Grid[#Data],$DD168,67),0)</f>
        <v/>
      </c>
      <c r="BR168">
        <f>IFERROR(INDEX(PP_Grid[#Data],$DD168,68),0)</f>
        <v/>
      </c>
      <c r="BS168">
        <f>IFERROR(INDEX(PP_Grid[#Data],$DD168,69),0)</f>
        <v/>
      </c>
      <c r="BT168">
        <f>IFERROR(INDEX(PP_Grid[#Data],$DD168,70),0)</f>
        <v/>
      </c>
      <c r="BU168">
        <f>IFERROR(INDEX(PP_Grid[#Data],$DD168,71),0)</f>
        <v/>
      </c>
      <c r="BV168">
        <f>IFERROR(INDEX(PP_Grid[#Data],$DD168,72),0)</f>
        <v/>
      </c>
      <c r="BW168">
        <f>IFERROR(INDEX(PP_Grid[#Data],$DD168,73),0)</f>
        <v/>
      </c>
      <c r="BX168">
        <f>IFERROR(INDEX(PP_Grid[#Data],$DD168,74),0)</f>
        <v/>
      </c>
      <c r="BY168">
        <f>IFERROR(INDEX(PP_Grid[#Data],$DD168,75),0)</f>
        <v/>
      </c>
      <c r="BZ168">
        <f>IFERROR(INDEX(PP_Grid[#Data],$DD168,76),0)</f>
        <v/>
      </c>
      <c r="CA168">
        <f>IFERROR(INDEX(PP_Grid[#Data],$DD168,77),0)</f>
        <v/>
      </c>
      <c r="CB168">
        <f>IFERROR(INDEX(PP_Grid[#Data],$DD168,78),0)</f>
        <v/>
      </c>
      <c r="CC168">
        <f>IFERROR(INDEX(PP_Grid[#Data],$DD168,79),0)</f>
        <v/>
      </c>
      <c r="CD168">
        <f>IFERROR(INDEX(PP_Grid[#Data],$DD168,80),0)</f>
        <v/>
      </c>
      <c r="CE168">
        <f>IFERROR(INDEX(PP_Grid[#Data],$DD168,81),0)</f>
        <v/>
      </c>
      <c r="CF168">
        <f>IFERROR(INDEX(PP_Grid[#Data],$DD168,82),0)</f>
        <v/>
      </c>
      <c r="CG168">
        <f>IFERROR(INDEX(PP_Grid[#Data],$DD168,83),0)</f>
        <v/>
      </c>
      <c r="CH168">
        <f>IFERROR(INDEX(PP_Grid[#Data],$DD168,84),0)</f>
        <v/>
      </c>
      <c r="CI168">
        <f>IFERROR(INDEX(PP_Grid[#Data],$DD168,85),0)</f>
        <v/>
      </c>
      <c r="CJ168">
        <f>IFERROR(INDEX(PP_Grid[#Data],$DD168,86),0)</f>
        <v/>
      </c>
      <c r="CK168">
        <f>IFERROR(INDEX(PP_Grid[#Data],$DD168,87),0)</f>
        <v/>
      </c>
      <c r="CL168">
        <f>IFERROR(INDEX(PP_Grid[#Data],$DD168,88),0)</f>
        <v/>
      </c>
      <c r="CM168">
        <f>IFERROR(INDEX(PP_Grid[#Data],$DD168,89),0)</f>
        <v/>
      </c>
      <c r="CN168">
        <f>IFERROR(INDEX(PP_Grid[#Data],$DD168,90),0)</f>
        <v/>
      </c>
      <c r="CO168">
        <f>IFERROR(INDEX(PP_Grid[#Data],$DD168,91),0)</f>
        <v/>
      </c>
      <c r="CP168">
        <f>IFERROR(INDEX(PP_Grid[#Data],$DD168,92),0)</f>
        <v/>
      </c>
      <c r="CQ168">
        <f>IFERROR(INDEX(PP_Grid[#Data],$DD168,93),0)</f>
        <v/>
      </c>
      <c r="CR168">
        <f>IFERROR(INDEX(PP_Grid[#Data],$DD168,94),0)</f>
        <v/>
      </c>
      <c r="CS168">
        <f>IFERROR(INDEX(PP_Grid[#Data],$DD168,95),0)</f>
        <v/>
      </c>
      <c r="CT168">
        <f>IFERROR(INDEX(PP_Grid[#Data],$DD168,96),0)</f>
        <v/>
      </c>
      <c r="CU168">
        <f>IFERROR(INDEX(PP_Grid[#Data],$DD168,97),0)</f>
        <v/>
      </c>
      <c r="CV168">
        <f>IFERROR(INDEX(PP_Grid[#Data],$DD168,98),0)</f>
        <v/>
      </c>
      <c r="CW168">
        <f>IFERROR(INDEX(PP_Grid[#Data],$DD168,99),0)</f>
        <v/>
      </c>
      <c r="CX168">
        <f>IFERROR(INDEX(PP_Grid[#Data],$DD168,100),0)</f>
        <v/>
      </c>
      <c r="CY168">
        <f>IFERROR(INDEX(PP_Grid[#Data],$DD168,101),0)</f>
        <v/>
      </c>
      <c r="CZ168">
        <f>IFERROR(INDEX(PP_Grid[#Data],$DD168,102),0)</f>
        <v/>
      </c>
      <c r="DA168">
        <f>IFERROR(INDEX(PP_Grid[#Data],$DD168,103),0)</f>
        <v/>
      </c>
      <c r="DB168">
        <f>IFERROR(INDEX(PP_Grid[#Data],$DD168,104),0)</f>
        <v/>
      </c>
      <c r="DC168">
        <f>IFERROR(INDEX(PP_Grid[#Data],$DD168,105),0)</f>
        <v/>
      </c>
      <c r="DD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SUMIFS(M_BOM[RM_Qty_Per_Batch],M_BOM[Intermediate],$B168,M_BOM[Part Name],$A45)</f>
        <v/>
      </c>
      <c r="D169">
        <f>$C169*D168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</row>
    <row r="170">
      <c r="B170" t="inlineStr">
        <is>
          <t>VSP-602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7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Name],$A45)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t="inlineStr">
        <is>
          <t>VSP-603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7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SUMIFS(M_BOM[RM_Qty_Per_Batch],M_BOM[Intermediate],$B172,M_BOM[Part Name],$A45)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VSP-604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SUMIFS(M_BOM[RM_Qty_Per_Batch],M_BOM[Intermediate],$B174,M_BOM[Part Name],$A45)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t="inlineStr">
        <is>
          <t>VSP-605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7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Name],$A45)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VSP-606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7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Name],$A45)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VSP-607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7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Name],$A45)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VSP-738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7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Name],$A45)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VSP-739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7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Name],$A45)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VSP-740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7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Name],$A45)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VSP-746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7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Name],$A45)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VSP-820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7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Name],$A45)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VSP-822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7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Name],$A45)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VSP-869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7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Name],$A45)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VSP-870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7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Name],$A45)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VSP-910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7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Name],$A45)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VSP-989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Name],$A45)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VSP-990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Name],$A45)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t="inlineStr">
        <is>
          <t>VSZ-745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Name],$A45)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TVS-267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Name],$A45)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TVS-500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Name],$A45)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Name],$A45)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TSP-1558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Name],$A45)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s="4" t="inlineStr">
        <is>
          <t>合計使用量(kg)/週</t>
        </is>
      </c>
      <c r="D214">
        <f>'Grid_Requirement'!B5</f>
        <v/>
      </c>
      <c r="E214">
        <f>'Grid_Requirement'!C5</f>
        <v/>
      </c>
      <c r="F214">
        <f>'Grid_Requirement'!D5</f>
        <v/>
      </c>
      <c r="G214">
        <f>'Grid_Requirement'!E5</f>
        <v/>
      </c>
      <c r="H214">
        <f>'Grid_Requirement'!F5</f>
        <v/>
      </c>
      <c r="I214">
        <f>'Grid_Requirement'!G5</f>
        <v/>
      </c>
      <c r="J214">
        <f>'Grid_Requirement'!H5</f>
        <v/>
      </c>
      <c r="K214">
        <f>'Grid_Requirement'!I5</f>
        <v/>
      </c>
      <c r="L214">
        <f>'Grid_Requirement'!J5</f>
        <v/>
      </c>
      <c r="M214">
        <f>'Grid_Requirement'!K5</f>
        <v/>
      </c>
      <c r="N214">
        <f>'Grid_Requirement'!L5</f>
        <v/>
      </c>
      <c r="O214">
        <f>'Grid_Requirement'!M5</f>
        <v/>
      </c>
      <c r="P214">
        <f>'Grid_Requirement'!N5</f>
        <v/>
      </c>
      <c r="Q214">
        <f>'Grid_Requirement'!O5</f>
        <v/>
      </c>
      <c r="R214">
        <f>'Grid_Requirement'!P5</f>
        <v/>
      </c>
      <c r="S214">
        <f>'Grid_Requirement'!Q5</f>
        <v/>
      </c>
      <c r="T214">
        <f>'Grid_Requirement'!R5</f>
        <v/>
      </c>
      <c r="U214">
        <f>'Grid_Requirement'!S5</f>
        <v/>
      </c>
      <c r="V214">
        <f>'Grid_Requirement'!T5</f>
        <v/>
      </c>
      <c r="W214">
        <f>'Grid_Requirement'!U5</f>
        <v/>
      </c>
      <c r="X214">
        <f>'Grid_Requirement'!V5</f>
        <v/>
      </c>
      <c r="Y214">
        <f>'Grid_Requirement'!W5</f>
        <v/>
      </c>
      <c r="Z214">
        <f>'Grid_Requirement'!X5</f>
        <v/>
      </c>
      <c r="AA214">
        <f>'Grid_Requirement'!Y5</f>
        <v/>
      </c>
      <c r="AB214">
        <f>'Grid_Requirement'!Z5</f>
        <v/>
      </c>
      <c r="AC214">
        <f>'Grid_Requirement'!AA5</f>
        <v/>
      </c>
      <c r="AD214">
        <f>'Grid_Requirement'!AB5</f>
        <v/>
      </c>
      <c r="AE214">
        <f>'Grid_Requirement'!AC5</f>
        <v/>
      </c>
      <c r="AF214">
        <f>'Grid_Requirement'!AD5</f>
        <v/>
      </c>
      <c r="AG214">
        <f>'Grid_Requirement'!AE5</f>
        <v/>
      </c>
      <c r="AH214">
        <f>'Grid_Requirement'!AF5</f>
        <v/>
      </c>
      <c r="AI214">
        <f>'Grid_Requirement'!AG5</f>
        <v/>
      </c>
      <c r="AJ214">
        <f>'Grid_Requirement'!AH5</f>
        <v/>
      </c>
      <c r="AK214">
        <f>'Grid_Requirement'!AI5</f>
        <v/>
      </c>
      <c r="AL214">
        <f>'Grid_Requirement'!AJ5</f>
        <v/>
      </c>
      <c r="AM214">
        <f>'Grid_Requirement'!AK5</f>
        <v/>
      </c>
      <c r="AN214">
        <f>'Grid_Requirement'!AL5</f>
        <v/>
      </c>
      <c r="AO214">
        <f>'Grid_Requirement'!AM5</f>
        <v/>
      </c>
      <c r="AP214">
        <f>'Grid_Requirement'!AN5</f>
        <v/>
      </c>
      <c r="AQ214">
        <f>'Grid_Requirement'!AO5</f>
        <v/>
      </c>
      <c r="AR214">
        <f>'Grid_Requirement'!AP5</f>
        <v/>
      </c>
      <c r="AS214">
        <f>'Grid_Requirement'!AQ5</f>
        <v/>
      </c>
      <c r="AT214">
        <f>'Grid_Requirement'!AR5</f>
        <v/>
      </c>
      <c r="AU214">
        <f>'Grid_Requirement'!AS5</f>
        <v/>
      </c>
      <c r="AV214">
        <f>'Grid_Requirement'!AT5</f>
        <v/>
      </c>
      <c r="AW214">
        <f>'Grid_Requirement'!AU5</f>
        <v/>
      </c>
      <c r="AX214">
        <f>'Grid_Requirement'!AV5</f>
        <v/>
      </c>
      <c r="AY214">
        <f>'Grid_Requirement'!AW5</f>
        <v/>
      </c>
      <c r="AZ214">
        <f>'Grid_Requirement'!AX5</f>
        <v/>
      </c>
      <c r="BA214">
        <f>'Grid_Requirement'!AY5</f>
        <v/>
      </c>
      <c r="BB214">
        <f>'Grid_Requirement'!AZ5</f>
        <v/>
      </c>
      <c r="BC214">
        <f>'Grid_Requirement'!BA5</f>
        <v/>
      </c>
      <c r="BD214">
        <f>'Grid_Requirement'!BB5</f>
        <v/>
      </c>
      <c r="BE214">
        <f>'Grid_Requirement'!BC5</f>
        <v/>
      </c>
      <c r="BF214">
        <f>'Grid_Requirement'!BD5</f>
        <v/>
      </c>
      <c r="BG214">
        <f>'Grid_Requirement'!BE5</f>
        <v/>
      </c>
      <c r="BH214">
        <f>'Grid_Requirement'!BF5</f>
        <v/>
      </c>
      <c r="BI214">
        <f>'Grid_Requirement'!BG5</f>
        <v/>
      </c>
      <c r="BJ214">
        <f>'Grid_Requirement'!BH5</f>
        <v/>
      </c>
      <c r="BK214">
        <f>'Grid_Requirement'!BI5</f>
        <v/>
      </c>
      <c r="BL214">
        <f>'Grid_Requirement'!BJ5</f>
        <v/>
      </c>
      <c r="BM214">
        <f>'Grid_Requirement'!BK5</f>
        <v/>
      </c>
      <c r="BN214">
        <f>'Grid_Requirement'!BL5</f>
        <v/>
      </c>
      <c r="BO214">
        <f>'Grid_Requirement'!BM5</f>
        <v/>
      </c>
      <c r="BP214">
        <f>'Grid_Requirement'!BN5</f>
        <v/>
      </c>
      <c r="BQ214">
        <f>'Grid_Requirement'!BO5</f>
        <v/>
      </c>
      <c r="BR214">
        <f>'Grid_Requirement'!BP5</f>
        <v/>
      </c>
      <c r="BS214">
        <f>'Grid_Requirement'!BQ5</f>
        <v/>
      </c>
      <c r="BT214">
        <f>'Grid_Requirement'!BR5</f>
        <v/>
      </c>
      <c r="BU214">
        <f>'Grid_Requirement'!BS5</f>
        <v/>
      </c>
      <c r="BV214">
        <f>'Grid_Requirement'!BT5</f>
        <v/>
      </c>
      <c r="BW214">
        <f>'Grid_Requirement'!BU5</f>
        <v/>
      </c>
      <c r="BX214">
        <f>'Grid_Requirement'!BV5</f>
        <v/>
      </c>
      <c r="BY214">
        <f>'Grid_Requirement'!BW5</f>
        <v/>
      </c>
      <c r="BZ214">
        <f>'Grid_Requirement'!BX5</f>
        <v/>
      </c>
      <c r="CA214">
        <f>'Grid_Requirement'!BY5</f>
        <v/>
      </c>
      <c r="CB214">
        <f>'Grid_Requirement'!BZ5</f>
        <v/>
      </c>
      <c r="CC214">
        <f>'Grid_Requirement'!CA5</f>
        <v/>
      </c>
      <c r="CD214">
        <f>'Grid_Requirement'!CB5</f>
        <v/>
      </c>
      <c r="CE214">
        <f>'Grid_Requirement'!CC5</f>
        <v/>
      </c>
      <c r="CF214">
        <f>'Grid_Requirement'!CD5</f>
        <v/>
      </c>
      <c r="CG214">
        <f>'Grid_Requirement'!CE5</f>
        <v/>
      </c>
      <c r="CH214">
        <f>'Grid_Requirement'!CF5</f>
        <v/>
      </c>
      <c r="CI214">
        <f>'Grid_Requirement'!CG5</f>
        <v/>
      </c>
      <c r="CJ214">
        <f>'Grid_Requirement'!CH5</f>
        <v/>
      </c>
      <c r="CK214">
        <f>'Grid_Requirement'!CI5</f>
        <v/>
      </c>
      <c r="CL214">
        <f>'Grid_Requirement'!CJ5</f>
        <v/>
      </c>
      <c r="CM214">
        <f>'Grid_Requirement'!CK5</f>
        <v/>
      </c>
      <c r="CN214">
        <f>'Grid_Requirement'!CL5</f>
        <v/>
      </c>
      <c r="CO214">
        <f>'Grid_Requirement'!CM5</f>
        <v/>
      </c>
      <c r="CP214">
        <f>'Grid_Requirement'!CN5</f>
        <v/>
      </c>
      <c r="CQ214">
        <f>'Grid_Requirement'!CO5</f>
        <v/>
      </c>
      <c r="CR214">
        <f>'Grid_Requirement'!CP5</f>
        <v/>
      </c>
      <c r="CS214">
        <f>'Grid_Requirement'!CQ5</f>
        <v/>
      </c>
      <c r="CT214">
        <f>'Grid_Requirement'!CR5</f>
        <v/>
      </c>
      <c r="CU214">
        <f>'Grid_Requirement'!CS5</f>
        <v/>
      </c>
      <c r="CV214">
        <f>'Grid_Requirement'!CT5</f>
        <v/>
      </c>
      <c r="CW214">
        <f>'Grid_Requirement'!CU5</f>
        <v/>
      </c>
      <c r="CX214">
        <f>'Grid_Requirement'!CV5</f>
        <v/>
      </c>
      <c r="CY214">
        <f>'Grid_Requirement'!CW5</f>
        <v/>
      </c>
      <c r="CZ214">
        <f>'Grid_Requirement'!CX5</f>
        <v/>
      </c>
      <c r="DA214">
        <f>'Grid_Requirement'!CY5</f>
        <v/>
      </c>
      <c r="DB214">
        <f>'Grid_Requirement'!CZ5</f>
        <v/>
      </c>
      <c r="DC214">
        <f>'Grid_Requirement'!DA5</f>
        <v/>
      </c>
    </row>
    <row r="215">
      <c r="B215" t="inlineStr">
        <is>
          <t>TTAF在庫(実績,kg)</t>
        </is>
      </c>
      <c r="D215">
        <f>'T_TTAFStock'!B9</f>
        <v/>
      </c>
      <c r="E215">
        <f>'T_TTAFStock'!C9</f>
        <v/>
      </c>
      <c r="F215">
        <f>'T_TTAFStock'!D9</f>
        <v/>
      </c>
      <c r="G215">
        <f>'T_TTAFStock'!E9</f>
        <v/>
      </c>
      <c r="H215">
        <f>'T_TTAFStock'!F9</f>
        <v/>
      </c>
      <c r="I215">
        <f>'T_TTAFStock'!G9</f>
        <v/>
      </c>
      <c r="J215">
        <f>'T_TTAFStock'!H9</f>
        <v/>
      </c>
      <c r="K215">
        <f>'T_TTAFStock'!I9</f>
        <v/>
      </c>
      <c r="L215">
        <f>'T_TTAFStock'!J9</f>
        <v/>
      </c>
      <c r="M215">
        <f>'T_TTAFStock'!K9</f>
        <v/>
      </c>
      <c r="N215">
        <f>'T_TTAFStock'!L9</f>
        <v/>
      </c>
      <c r="O215">
        <f>'T_TTAFStock'!M9</f>
        <v/>
      </c>
      <c r="P215">
        <f>'T_TTAFStock'!N9</f>
        <v/>
      </c>
      <c r="Q215">
        <f>'T_TTAFStock'!O9</f>
        <v/>
      </c>
      <c r="R215">
        <f>'T_TTAFStock'!P9</f>
        <v/>
      </c>
      <c r="S215">
        <f>'T_TTAFStock'!Q9</f>
        <v/>
      </c>
      <c r="T215">
        <f>'T_TTAFStock'!R9</f>
        <v/>
      </c>
      <c r="U215">
        <f>'T_TTAFStock'!S9</f>
        <v/>
      </c>
      <c r="V215">
        <f>'T_TTAFStock'!T9</f>
        <v/>
      </c>
      <c r="W215">
        <f>'T_TTAFStock'!U9</f>
        <v/>
      </c>
      <c r="X215">
        <f>'T_TTAFStock'!V9</f>
        <v/>
      </c>
      <c r="Y215">
        <f>'T_TTAFStock'!W9</f>
        <v/>
      </c>
      <c r="Z215">
        <f>'T_TTAFStock'!X9</f>
        <v/>
      </c>
      <c r="AA215">
        <f>'T_TTAFStock'!Y9</f>
        <v/>
      </c>
      <c r="AB215">
        <f>'T_TTAFStock'!Z9</f>
        <v/>
      </c>
      <c r="AC215">
        <f>'T_TTAFStock'!AA9</f>
        <v/>
      </c>
      <c r="AD215">
        <f>'T_TTAFStock'!AB9</f>
        <v/>
      </c>
      <c r="AE215">
        <f>'T_TTAFStock'!AC9</f>
        <v/>
      </c>
      <c r="AF215">
        <f>'T_TTAFStock'!AD9</f>
        <v/>
      </c>
      <c r="AG215">
        <f>'T_TTAFStock'!AE9</f>
        <v/>
      </c>
      <c r="AH215">
        <f>'T_TTAFStock'!AF9</f>
        <v/>
      </c>
      <c r="AI215">
        <f>'T_TTAFStock'!AG9</f>
        <v/>
      </c>
      <c r="AJ215">
        <f>'T_TTAFStock'!AH9</f>
        <v/>
      </c>
      <c r="AK215">
        <f>'T_TTAFStock'!AI9</f>
        <v/>
      </c>
      <c r="AL215">
        <f>'T_TTAFStock'!AJ9</f>
        <v/>
      </c>
      <c r="AM215">
        <f>'T_TTAFStock'!AK9</f>
        <v/>
      </c>
      <c r="AN215">
        <f>'T_TTAFStock'!AL9</f>
        <v/>
      </c>
      <c r="AO215">
        <f>'T_TTAFStock'!AM9</f>
        <v/>
      </c>
      <c r="AP215">
        <f>'T_TTAFStock'!AN9</f>
        <v/>
      </c>
      <c r="AQ215">
        <f>'T_TTAFStock'!AO9</f>
        <v/>
      </c>
      <c r="AR215">
        <f>'T_TTAFStock'!AP9</f>
        <v/>
      </c>
      <c r="AS215">
        <f>'T_TTAFStock'!AQ9</f>
        <v/>
      </c>
      <c r="AT215">
        <f>'T_TTAFStock'!AR9</f>
        <v/>
      </c>
      <c r="AU215">
        <f>'T_TTAFStock'!AS9</f>
        <v/>
      </c>
      <c r="AV215">
        <f>'T_TTAFStock'!AT9</f>
        <v/>
      </c>
      <c r="AW215">
        <f>'T_TTAFStock'!AU9</f>
        <v/>
      </c>
      <c r="AX215">
        <f>'T_TTAFStock'!AV9</f>
        <v/>
      </c>
      <c r="AY215">
        <f>'T_TTAFStock'!AW9</f>
        <v/>
      </c>
      <c r="AZ215">
        <f>'T_TTAFStock'!AX9</f>
        <v/>
      </c>
      <c r="BA215">
        <f>'T_TTAFStock'!AY9</f>
        <v/>
      </c>
      <c r="BB215">
        <f>'T_TTAFStock'!AZ9</f>
        <v/>
      </c>
      <c r="BC215">
        <f>'T_TTAFStock'!BA9</f>
        <v/>
      </c>
      <c r="BD215">
        <f>'T_TTAFStock'!BB9</f>
        <v/>
      </c>
      <c r="BE215">
        <f>'T_TTAFStock'!BC9</f>
        <v/>
      </c>
      <c r="BF215">
        <f>'T_TTAFStock'!BD9</f>
        <v/>
      </c>
      <c r="BG215">
        <f>'T_TTAFStock'!BE9</f>
        <v/>
      </c>
      <c r="BH215">
        <f>'T_TTAFStock'!BF9</f>
        <v/>
      </c>
      <c r="BI215">
        <f>'T_TTAFStock'!BG9</f>
        <v/>
      </c>
      <c r="BJ215">
        <f>'T_TTAFStock'!BH9</f>
        <v/>
      </c>
      <c r="BK215">
        <f>'T_TTAFStock'!BI9</f>
        <v/>
      </c>
      <c r="BL215">
        <f>'T_TTAFStock'!BJ9</f>
        <v/>
      </c>
      <c r="BM215">
        <f>'T_TTAFStock'!BK9</f>
        <v/>
      </c>
      <c r="BN215">
        <f>'T_TTAFStock'!BL9</f>
        <v/>
      </c>
      <c r="BO215">
        <f>'T_TTAFStock'!BM9</f>
        <v/>
      </c>
      <c r="BP215">
        <f>'T_TTAFStock'!BN9</f>
        <v/>
      </c>
      <c r="BQ215">
        <f>'T_TTAFStock'!BO9</f>
        <v/>
      </c>
      <c r="BR215">
        <f>'T_TTAFStock'!BP9</f>
        <v/>
      </c>
      <c r="BS215">
        <f>'T_TTAFStock'!BQ9</f>
        <v/>
      </c>
      <c r="BT215">
        <f>'T_TTAFStock'!BR9</f>
        <v/>
      </c>
      <c r="BU215">
        <f>'T_TTAFStock'!BS9</f>
        <v/>
      </c>
      <c r="BV215">
        <f>'T_TTAFStock'!BT9</f>
        <v/>
      </c>
      <c r="BW215">
        <f>'T_TTAFStock'!BU9</f>
        <v/>
      </c>
      <c r="BX215">
        <f>'T_TTAFStock'!BV9</f>
        <v/>
      </c>
      <c r="BY215">
        <f>'T_TTAFStock'!BW9</f>
        <v/>
      </c>
      <c r="BZ215">
        <f>'T_TTAFStock'!BX9</f>
        <v/>
      </c>
      <c r="CA215">
        <f>'T_TTAFStock'!BY9</f>
        <v/>
      </c>
      <c r="CB215">
        <f>'T_TTAFStock'!BZ9</f>
        <v/>
      </c>
      <c r="CC215">
        <f>'T_TTAFStock'!CA9</f>
        <v/>
      </c>
      <c r="CD215">
        <f>'T_TTAFStock'!CB9</f>
        <v/>
      </c>
      <c r="CE215">
        <f>'T_TTAFStock'!CC9</f>
        <v/>
      </c>
      <c r="CF215">
        <f>'T_TTAFStock'!CD9</f>
        <v/>
      </c>
      <c r="CG215">
        <f>'T_TTAFStock'!CE9</f>
        <v/>
      </c>
      <c r="CH215">
        <f>'T_TTAFStock'!CF9</f>
        <v/>
      </c>
      <c r="CI215">
        <f>'T_TTAFStock'!CG9</f>
        <v/>
      </c>
      <c r="CJ215">
        <f>'T_TTAFStock'!CH9</f>
        <v/>
      </c>
      <c r="CK215">
        <f>'T_TTAFStock'!CI9</f>
        <v/>
      </c>
      <c r="CL215">
        <f>'T_TTAFStock'!CJ9</f>
        <v/>
      </c>
      <c r="CM215">
        <f>'T_TTAFStock'!CK9</f>
        <v/>
      </c>
      <c r="CN215">
        <f>'T_TTAFStock'!CL9</f>
        <v/>
      </c>
      <c r="CO215">
        <f>'T_TTAFStock'!CM9</f>
        <v/>
      </c>
      <c r="CP215">
        <f>'T_TTAFStock'!CN9</f>
        <v/>
      </c>
      <c r="CQ215">
        <f>'T_TTAFStock'!CO9</f>
        <v/>
      </c>
      <c r="CR215">
        <f>'T_TTAFStock'!CP9</f>
        <v/>
      </c>
      <c r="CS215">
        <f>'T_TTAFStock'!CQ9</f>
        <v/>
      </c>
      <c r="CT215">
        <f>'T_TTAFStock'!CR9</f>
        <v/>
      </c>
      <c r="CU215">
        <f>'T_TTAFStock'!CS9</f>
        <v/>
      </c>
      <c r="CV215">
        <f>'T_TTAFStock'!CT9</f>
        <v/>
      </c>
      <c r="CW215">
        <f>'T_TTAFStock'!CU9</f>
        <v/>
      </c>
      <c r="CX215">
        <f>'T_TTAFStock'!CV9</f>
        <v/>
      </c>
      <c r="CY215">
        <f>'T_TTAFStock'!CW9</f>
        <v/>
      </c>
      <c r="CZ215">
        <f>'T_TTAFStock'!CX9</f>
        <v/>
      </c>
      <c r="DA215">
        <f>'T_TTAFStock'!CY9</f>
        <v/>
      </c>
      <c r="DB215">
        <f>'T_TTAFStock'!CZ9</f>
        <v/>
      </c>
      <c r="DC215">
        <f>'T_TTAFStock'!DA9</f>
        <v/>
      </c>
    </row>
    <row r="216">
      <c r="B216" t="inlineStr">
        <is>
          <t>自社在庫(実績,kg)</t>
        </is>
      </c>
      <c r="D216">
        <f>'T_SelfStock'!B9</f>
        <v/>
      </c>
      <c r="E216">
        <f>'T_SelfStock'!C9</f>
        <v/>
      </c>
      <c r="F216">
        <f>'T_SelfStock'!D9</f>
        <v/>
      </c>
      <c r="G216">
        <f>'T_SelfStock'!E9</f>
        <v/>
      </c>
      <c r="H216">
        <f>'T_SelfStock'!F9</f>
        <v/>
      </c>
      <c r="I216">
        <f>'T_SelfStock'!G9</f>
        <v/>
      </c>
      <c r="J216">
        <f>'T_SelfStock'!H9</f>
        <v/>
      </c>
      <c r="K216">
        <f>'T_SelfStock'!I9</f>
        <v/>
      </c>
      <c r="L216">
        <f>'T_SelfStock'!J9</f>
        <v/>
      </c>
      <c r="M216">
        <f>'T_SelfStock'!K9</f>
        <v/>
      </c>
      <c r="N216">
        <f>'T_SelfStock'!L9</f>
        <v/>
      </c>
      <c r="O216">
        <f>'T_SelfStock'!M9</f>
        <v/>
      </c>
      <c r="P216">
        <f>'T_SelfStock'!N9</f>
        <v/>
      </c>
      <c r="Q216">
        <f>'T_SelfStock'!O9</f>
        <v/>
      </c>
      <c r="R216">
        <f>'T_SelfStock'!P9</f>
        <v/>
      </c>
      <c r="S216">
        <f>'T_SelfStock'!Q9</f>
        <v/>
      </c>
      <c r="T216">
        <f>'T_SelfStock'!R9</f>
        <v/>
      </c>
      <c r="U216">
        <f>'T_SelfStock'!S9</f>
        <v/>
      </c>
      <c r="V216">
        <f>'T_SelfStock'!T9</f>
        <v/>
      </c>
      <c r="W216">
        <f>'T_SelfStock'!U9</f>
        <v/>
      </c>
      <c r="X216">
        <f>'T_SelfStock'!V9</f>
        <v/>
      </c>
      <c r="Y216">
        <f>'T_SelfStock'!W9</f>
        <v/>
      </c>
      <c r="Z216">
        <f>'T_SelfStock'!X9</f>
        <v/>
      </c>
      <c r="AA216">
        <f>'T_SelfStock'!Y9</f>
        <v/>
      </c>
      <c r="AB216">
        <f>'T_SelfStock'!Z9</f>
        <v/>
      </c>
      <c r="AC216">
        <f>'T_SelfStock'!AA9</f>
        <v/>
      </c>
      <c r="AD216">
        <f>'T_SelfStock'!AB9</f>
        <v/>
      </c>
      <c r="AE216">
        <f>'T_SelfStock'!AC9</f>
        <v/>
      </c>
      <c r="AF216">
        <f>'T_SelfStock'!AD9</f>
        <v/>
      </c>
      <c r="AG216">
        <f>'T_SelfStock'!AE9</f>
        <v/>
      </c>
      <c r="AH216">
        <f>'T_SelfStock'!AF9</f>
        <v/>
      </c>
      <c r="AI216">
        <f>'T_SelfStock'!AG9</f>
        <v/>
      </c>
      <c r="AJ216">
        <f>'T_SelfStock'!AH9</f>
        <v/>
      </c>
      <c r="AK216">
        <f>'T_SelfStock'!AI9</f>
        <v/>
      </c>
      <c r="AL216">
        <f>'T_SelfStock'!AJ9</f>
        <v/>
      </c>
      <c r="AM216">
        <f>'T_SelfStock'!AK9</f>
        <v/>
      </c>
      <c r="AN216">
        <f>'T_SelfStock'!AL9</f>
        <v/>
      </c>
      <c r="AO216">
        <f>'T_SelfStock'!AM9</f>
        <v/>
      </c>
      <c r="AP216">
        <f>'T_SelfStock'!AN9</f>
        <v/>
      </c>
      <c r="AQ216">
        <f>'T_SelfStock'!AO9</f>
        <v/>
      </c>
      <c r="AR216">
        <f>'T_SelfStock'!AP9</f>
        <v/>
      </c>
      <c r="AS216">
        <f>'T_SelfStock'!AQ9</f>
        <v/>
      </c>
      <c r="AT216">
        <f>'T_SelfStock'!AR9</f>
        <v/>
      </c>
      <c r="AU216">
        <f>'T_SelfStock'!AS9</f>
        <v/>
      </c>
      <c r="AV216">
        <f>'T_SelfStock'!AT9</f>
        <v/>
      </c>
      <c r="AW216">
        <f>'T_SelfStock'!AU9</f>
        <v/>
      </c>
      <c r="AX216">
        <f>'T_SelfStock'!AV9</f>
        <v/>
      </c>
      <c r="AY216">
        <f>'T_SelfStock'!AW9</f>
        <v/>
      </c>
      <c r="AZ216">
        <f>'T_SelfStock'!AX9</f>
        <v/>
      </c>
      <c r="BA216">
        <f>'T_SelfStock'!AY9</f>
        <v/>
      </c>
      <c r="BB216">
        <f>'T_SelfStock'!AZ9</f>
        <v/>
      </c>
      <c r="BC216">
        <f>'T_SelfStock'!BA9</f>
        <v/>
      </c>
      <c r="BD216">
        <f>'T_SelfStock'!BB9</f>
        <v/>
      </c>
      <c r="BE216">
        <f>'T_SelfStock'!BC9</f>
        <v/>
      </c>
      <c r="BF216">
        <f>'T_SelfStock'!BD9</f>
        <v/>
      </c>
      <c r="BG216">
        <f>'T_SelfStock'!BE9</f>
        <v/>
      </c>
      <c r="BH216">
        <f>'T_SelfStock'!BF9</f>
        <v/>
      </c>
      <c r="BI216">
        <f>'T_SelfStock'!BG9</f>
        <v/>
      </c>
      <c r="BJ216">
        <f>'T_SelfStock'!BH9</f>
        <v/>
      </c>
      <c r="BK216">
        <f>'T_SelfStock'!BI9</f>
        <v/>
      </c>
      <c r="BL216">
        <f>'T_SelfStock'!BJ9</f>
        <v/>
      </c>
      <c r="BM216">
        <f>'T_SelfStock'!BK9</f>
        <v/>
      </c>
      <c r="BN216">
        <f>'T_SelfStock'!BL9</f>
        <v/>
      </c>
      <c r="BO216">
        <f>'T_SelfStock'!BM9</f>
        <v/>
      </c>
      <c r="BP216">
        <f>'T_SelfStock'!BN9</f>
        <v/>
      </c>
      <c r="BQ216">
        <f>'T_SelfStock'!BO9</f>
        <v/>
      </c>
      <c r="BR216">
        <f>'T_SelfStock'!BP9</f>
        <v/>
      </c>
      <c r="BS216">
        <f>'T_SelfStock'!BQ9</f>
        <v/>
      </c>
      <c r="BT216">
        <f>'T_SelfStock'!BR9</f>
        <v/>
      </c>
      <c r="BU216">
        <f>'T_SelfStock'!BS9</f>
        <v/>
      </c>
      <c r="BV216">
        <f>'T_SelfStock'!BT9</f>
        <v/>
      </c>
      <c r="BW216">
        <f>'T_SelfStock'!BU9</f>
        <v/>
      </c>
      <c r="BX216">
        <f>'T_SelfStock'!BV9</f>
        <v/>
      </c>
      <c r="BY216">
        <f>'T_SelfStock'!BW9</f>
        <v/>
      </c>
      <c r="BZ216">
        <f>'T_SelfStock'!BX9</f>
        <v/>
      </c>
      <c r="CA216">
        <f>'T_SelfStock'!BY9</f>
        <v/>
      </c>
      <c r="CB216">
        <f>'T_SelfStock'!BZ9</f>
        <v/>
      </c>
      <c r="CC216">
        <f>'T_SelfStock'!CA9</f>
        <v/>
      </c>
      <c r="CD216">
        <f>'T_SelfStock'!CB9</f>
        <v/>
      </c>
      <c r="CE216">
        <f>'T_SelfStock'!CC9</f>
        <v/>
      </c>
      <c r="CF216">
        <f>'T_SelfStock'!CD9</f>
        <v/>
      </c>
      <c r="CG216">
        <f>'T_SelfStock'!CE9</f>
        <v/>
      </c>
      <c r="CH216">
        <f>'T_SelfStock'!CF9</f>
        <v/>
      </c>
      <c r="CI216">
        <f>'T_SelfStock'!CG9</f>
        <v/>
      </c>
      <c r="CJ216">
        <f>'T_SelfStock'!CH9</f>
        <v/>
      </c>
      <c r="CK216">
        <f>'T_SelfStock'!CI9</f>
        <v/>
      </c>
      <c r="CL216">
        <f>'T_SelfStock'!CJ9</f>
        <v/>
      </c>
      <c r="CM216">
        <f>'T_SelfStock'!CK9</f>
        <v/>
      </c>
      <c r="CN216">
        <f>'T_SelfStock'!CL9</f>
        <v/>
      </c>
      <c r="CO216">
        <f>'T_SelfStock'!CM9</f>
        <v/>
      </c>
      <c r="CP216">
        <f>'T_SelfStock'!CN9</f>
        <v/>
      </c>
      <c r="CQ216">
        <f>'T_SelfStock'!CO9</f>
        <v/>
      </c>
      <c r="CR216">
        <f>'T_SelfStock'!CP9</f>
        <v/>
      </c>
      <c r="CS216">
        <f>'T_SelfStock'!CQ9</f>
        <v/>
      </c>
      <c r="CT216">
        <f>'T_SelfStock'!CR9</f>
        <v/>
      </c>
      <c r="CU216">
        <f>'T_SelfStock'!CS9</f>
        <v/>
      </c>
      <c r="CV216">
        <f>'T_SelfStock'!CT9</f>
        <v/>
      </c>
      <c r="CW216">
        <f>'T_SelfStock'!CU9</f>
        <v/>
      </c>
      <c r="CX216">
        <f>'T_SelfStock'!CV9</f>
        <v/>
      </c>
      <c r="CY216">
        <f>'T_SelfStock'!CW9</f>
        <v/>
      </c>
      <c r="CZ216">
        <f>'T_SelfStock'!CX9</f>
        <v/>
      </c>
      <c r="DA216">
        <f>'T_SelfStock'!CY9</f>
        <v/>
      </c>
      <c r="DB216">
        <f>'T_SelfStock'!CZ9</f>
        <v/>
      </c>
      <c r="DC216">
        <f>'T_SelfStock'!DA9</f>
        <v/>
      </c>
    </row>
    <row r="217">
      <c r="B217" t="inlineStr">
        <is>
          <t>Order(発注予定,kg)</t>
        </is>
      </c>
      <c r="D217">
        <f>IF(SUMIFS(T_PlannedOrders[EffectiveQty],T_PlannedOrders[Part Name],$A45,T_PlannedOrders[WeekIndex],1)=0,"",SUMIFS(T_PlannedOrders[EffectiveQty],T_PlannedOrders[Part Name],$A45,T_PlannedOrders[WeekIndex],1)&amp;" ("&amp;TEXT(SUMPRODUCT(MAX((T_PlannedOrders[Part Name]=$A45)*(T_PlannedOrders[WeekIndex]=1)*(T_PlannedOrders[EffectiveQty]&gt;0)*T_PlannedOrders[Order_Month])),"m月")&amp;"発注)")</f>
        <v/>
      </c>
      <c r="E217">
        <f>IF(SUMIFS(T_PlannedOrders[EffectiveQty],T_PlannedOrders[Part Name],$A45,T_PlannedOrders[WeekIndex],2)=0,"",SUMIFS(T_PlannedOrders[EffectiveQty],T_PlannedOrders[Part Name],$A45,T_PlannedOrders[WeekIndex],2)&amp;" ("&amp;TEXT(SUMPRODUCT(MAX((T_PlannedOrders[Part Name]=$A45)*(T_PlannedOrders[WeekIndex]=2)*(T_PlannedOrders[EffectiveQty]&gt;0)*T_PlannedOrders[Order_Month])),"m月")&amp;"発注)")</f>
        <v/>
      </c>
      <c r="F217">
        <f>IF(SUMIFS(T_PlannedOrders[EffectiveQty],T_PlannedOrders[Part Name],$A45,T_PlannedOrders[WeekIndex],3)=0,"",SUMIFS(T_PlannedOrders[EffectiveQty],T_PlannedOrders[Part Name],$A45,T_PlannedOrders[WeekIndex],3)&amp;" ("&amp;TEXT(SUMPRODUCT(MAX((T_PlannedOrders[Part Name]=$A45)*(T_PlannedOrders[WeekIndex]=3)*(T_PlannedOrders[EffectiveQty]&gt;0)*T_PlannedOrders[Order_Month])),"m月")&amp;"発注)")</f>
        <v/>
      </c>
      <c r="G217">
        <f>IF(SUMIFS(T_PlannedOrders[EffectiveQty],T_PlannedOrders[Part Name],$A45,T_PlannedOrders[WeekIndex],4)=0,"",SUMIFS(T_PlannedOrders[EffectiveQty],T_PlannedOrders[Part Name],$A45,T_PlannedOrders[WeekIndex],4)&amp;" ("&amp;TEXT(SUMPRODUCT(MAX((T_PlannedOrders[Part Name]=$A45)*(T_PlannedOrders[WeekIndex]=4)*(T_PlannedOrders[EffectiveQty]&gt;0)*T_PlannedOrders[Order_Month])),"m月")&amp;"発注)")</f>
        <v/>
      </c>
      <c r="H217">
        <f>IF(SUMIFS(T_PlannedOrders[EffectiveQty],T_PlannedOrders[Part Name],$A45,T_PlannedOrders[WeekIndex],5)=0,"",SUMIFS(T_PlannedOrders[EffectiveQty],T_PlannedOrders[Part Name],$A45,T_PlannedOrders[WeekIndex],5)&amp;" ("&amp;TEXT(SUMPRODUCT(MAX((T_PlannedOrders[Part Name]=$A45)*(T_PlannedOrders[WeekIndex]=5)*(T_PlannedOrders[EffectiveQty]&gt;0)*T_PlannedOrders[Order_Month])),"m月")&amp;"発注)")</f>
        <v/>
      </c>
      <c r="I217">
        <f>IF(SUMIFS(T_PlannedOrders[EffectiveQty],T_PlannedOrders[Part Name],$A45,T_PlannedOrders[WeekIndex],6)=0,"",SUMIFS(T_PlannedOrders[EffectiveQty],T_PlannedOrders[Part Name],$A45,T_PlannedOrders[WeekIndex],6)&amp;" ("&amp;TEXT(SUMPRODUCT(MAX((T_PlannedOrders[Part Name]=$A45)*(T_PlannedOrders[WeekIndex]=6)*(T_PlannedOrders[EffectiveQty]&gt;0)*T_PlannedOrders[Order_Month])),"m月")&amp;"発注)")</f>
        <v/>
      </c>
      <c r="J217">
        <f>IF(SUMIFS(T_PlannedOrders[EffectiveQty],T_PlannedOrders[Part Name],$A45,T_PlannedOrders[WeekIndex],7)=0,"",SUMIFS(T_PlannedOrders[EffectiveQty],T_PlannedOrders[Part Name],$A45,T_PlannedOrders[WeekIndex],7)&amp;" ("&amp;TEXT(SUMPRODUCT(MAX((T_PlannedOrders[Part Name]=$A45)*(T_PlannedOrders[WeekIndex]=7)*(T_PlannedOrders[EffectiveQty]&gt;0)*T_PlannedOrders[Order_Month])),"m月")&amp;"発注)")</f>
        <v/>
      </c>
      <c r="K217">
        <f>IF(SUMIFS(T_PlannedOrders[EffectiveQty],T_PlannedOrders[Part Name],$A45,T_PlannedOrders[WeekIndex],8)=0,"",SUMIFS(T_PlannedOrders[EffectiveQty],T_PlannedOrders[Part Name],$A45,T_PlannedOrders[WeekIndex],8)&amp;" ("&amp;TEXT(SUMPRODUCT(MAX((T_PlannedOrders[Part Name]=$A45)*(T_PlannedOrders[WeekIndex]=8)*(T_PlannedOrders[EffectiveQty]&gt;0)*T_PlannedOrders[Order_Month])),"m月")&amp;"発注)")</f>
        <v/>
      </c>
      <c r="L217">
        <f>IF(SUMIFS(T_PlannedOrders[EffectiveQty],T_PlannedOrders[Part Name],$A45,T_PlannedOrders[WeekIndex],9)=0,"",SUMIFS(T_PlannedOrders[EffectiveQty],T_PlannedOrders[Part Name],$A45,T_PlannedOrders[WeekIndex],9)&amp;" ("&amp;TEXT(SUMPRODUCT(MAX((T_PlannedOrders[Part Name]=$A45)*(T_PlannedOrders[WeekIndex]=9)*(T_PlannedOrders[EffectiveQty]&gt;0)*T_PlannedOrders[Order_Month])),"m月")&amp;"発注)")</f>
        <v/>
      </c>
      <c r="M217">
        <f>IF(SUMIFS(T_PlannedOrders[EffectiveQty],T_PlannedOrders[Part Name],$A45,T_PlannedOrders[WeekIndex],10)=0,"",SUMIFS(T_PlannedOrders[EffectiveQty],T_PlannedOrders[Part Name],$A45,T_PlannedOrders[WeekIndex],10)&amp;" ("&amp;TEXT(SUMPRODUCT(MAX((T_PlannedOrders[Part Name]=$A45)*(T_PlannedOrders[WeekIndex]=10)*(T_PlannedOrders[EffectiveQty]&gt;0)*T_PlannedOrders[Order_Month])),"m月")&amp;"発注)")</f>
        <v/>
      </c>
      <c r="N217">
        <f>IF(SUMIFS(T_PlannedOrders[EffectiveQty],T_PlannedOrders[Part Name],$A45,T_PlannedOrders[WeekIndex],11)=0,"",SUMIFS(T_PlannedOrders[EffectiveQty],T_PlannedOrders[Part Name],$A45,T_PlannedOrders[WeekIndex],11)&amp;" ("&amp;TEXT(SUMPRODUCT(MAX((T_PlannedOrders[Part Name]=$A45)*(T_PlannedOrders[WeekIndex]=11)*(T_PlannedOrders[EffectiveQty]&gt;0)*T_PlannedOrders[Order_Month])),"m月")&amp;"発注)")</f>
        <v/>
      </c>
      <c r="O217">
        <f>IF(SUMIFS(T_PlannedOrders[EffectiveQty],T_PlannedOrders[Part Name],$A45,T_PlannedOrders[WeekIndex],12)=0,"",SUMIFS(T_PlannedOrders[EffectiveQty],T_PlannedOrders[Part Name],$A45,T_PlannedOrders[WeekIndex],12)&amp;" ("&amp;TEXT(SUMPRODUCT(MAX((T_PlannedOrders[Part Name]=$A45)*(T_PlannedOrders[WeekIndex]=12)*(T_PlannedOrders[EffectiveQty]&gt;0)*T_PlannedOrders[Order_Month])),"m月")&amp;"発注)")</f>
        <v/>
      </c>
      <c r="P217">
        <f>IF(SUMIFS(T_PlannedOrders[EffectiveQty],T_PlannedOrders[Part Name],$A45,T_PlannedOrders[WeekIndex],13)=0,"",SUMIFS(T_PlannedOrders[EffectiveQty],T_PlannedOrders[Part Name],$A45,T_PlannedOrders[WeekIndex],13)&amp;" ("&amp;TEXT(SUMPRODUCT(MAX((T_PlannedOrders[Part Name]=$A45)*(T_PlannedOrders[WeekIndex]=13)*(T_PlannedOrders[EffectiveQty]&gt;0)*T_PlannedOrders[Order_Month])),"m月")&amp;"発注)")</f>
        <v/>
      </c>
      <c r="Q217">
        <f>IF(SUMIFS(T_PlannedOrders[EffectiveQty],T_PlannedOrders[Part Name],$A45,T_PlannedOrders[WeekIndex],14)=0,"",SUMIFS(T_PlannedOrders[EffectiveQty],T_PlannedOrders[Part Name],$A45,T_PlannedOrders[WeekIndex],14)&amp;" ("&amp;TEXT(SUMPRODUCT(MAX((T_PlannedOrders[Part Name]=$A45)*(T_PlannedOrders[WeekIndex]=14)*(T_PlannedOrders[EffectiveQty]&gt;0)*T_PlannedOrders[Order_Month])),"m月")&amp;"発注)")</f>
        <v/>
      </c>
      <c r="R217">
        <f>IF(SUMIFS(T_PlannedOrders[EffectiveQty],T_PlannedOrders[Part Name],$A45,T_PlannedOrders[WeekIndex],15)=0,"",SUMIFS(T_PlannedOrders[EffectiveQty],T_PlannedOrders[Part Name],$A45,T_PlannedOrders[WeekIndex],15)&amp;" ("&amp;TEXT(SUMPRODUCT(MAX((T_PlannedOrders[Part Name]=$A45)*(T_PlannedOrders[WeekIndex]=15)*(T_PlannedOrders[EffectiveQty]&gt;0)*T_PlannedOrders[Order_Month])),"m月")&amp;"発注)")</f>
        <v/>
      </c>
      <c r="S217">
        <f>IF(SUMIFS(T_PlannedOrders[EffectiveQty],T_PlannedOrders[Part Name],$A45,T_PlannedOrders[WeekIndex],16)=0,"",SUMIFS(T_PlannedOrders[EffectiveQty],T_PlannedOrders[Part Name],$A45,T_PlannedOrders[WeekIndex],16)&amp;" ("&amp;TEXT(SUMPRODUCT(MAX((T_PlannedOrders[Part Name]=$A45)*(T_PlannedOrders[WeekIndex]=16)*(T_PlannedOrders[EffectiveQty]&gt;0)*T_PlannedOrders[Order_Month])),"m月")&amp;"発注)")</f>
        <v/>
      </c>
      <c r="T217">
        <f>IF(SUMIFS(T_PlannedOrders[EffectiveQty],T_PlannedOrders[Part Name],$A45,T_PlannedOrders[WeekIndex],17)=0,"",SUMIFS(T_PlannedOrders[EffectiveQty],T_PlannedOrders[Part Name],$A45,T_PlannedOrders[WeekIndex],17)&amp;" ("&amp;TEXT(SUMPRODUCT(MAX((T_PlannedOrders[Part Name]=$A45)*(T_PlannedOrders[WeekIndex]=17)*(T_PlannedOrders[EffectiveQty]&gt;0)*T_PlannedOrders[Order_Month])),"m月")&amp;"発注)")</f>
        <v/>
      </c>
      <c r="U217">
        <f>IF(SUMIFS(T_PlannedOrders[EffectiveQty],T_PlannedOrders[Part Name],$A45,T_PlannedOrders[WeekIndex],18)=0,"",SUMIFS(T_PlannedOrders[EffectiveQty],T_PlannedOrders[Part Name],$A45,T_PlannedOrders[WeekIndex],18)&amp;" ("&amp;TEXT(SUMPRODUCT(MAX((T_PlannedOrders[Part Name]=$A45)*(T_PlannedOrders[WeekIndex]=18)*(T_PlannedOrders[EffectiveQty]&gt;0)*T_PlannedOrders[Order_Month])),"m月")&amp;"発注)")</f>
        <v/>
      </c>
      <c r="V217">
        <f>IF(SUMIFS(T_PlannedOrders[EffectiveQty],T_PlannedOrders[Part Name],$A45,T_PlannedOrders[WeekIndex],19)=0,"",SUMIFS(T_PlannedOrders[EffectiveQty],T_PlannedOrders[Part Name],$A45,T_PlannedOrders[WeekIndex],19)&amp;" ("&amp;TEXT(SUMPRODUCT(MAX((T_PlannedOrders[Part Name]=$A45)*(T_PlannedOrders[WeekIndex]=19)*(T_PlannedOrders[EffectiveQty]&gt;0)*T_PlannedOrders[Order_Month])),"m月")&amp;"発注)")</f>
        <v/>
      </c>
      <c r="W217">
        <f>IF(SUMIFS(T_PlannedOrders[EffectiveQty],T_PlannedOrders[Part Name],$A45,T_PlannedOrders[WeekIndex],20)=0,"",SUMIFS(T_PlannedOrders[EffectiveQty],T_PlannedOrders[Part Name],$A45,T_PlannedOrders[WeekIndex],20)&amp;" ("&amp;TEXT(SUMPRODUCT(MAX((T_PlannedOrders[Part Name]=$A45)*(T_PlannedOrders[WeekIndex]=20)*(T_PlannedOrders[EffectiveQty]&gt;0)*T_PlannedOrders[Order_Month])),"m月")&amp;"発注)")</f>
        <v/>
      </c>
      <c r="X217">
        <f>IF(SUMIFS(T_PlannedOrders[EffectiveQty],T_PlannedOrders[Part Name],$A45,T_PlannedOrders[WeekIndex],21)=0,"",SUMIFS(T_PlannedOrders[EffectiveQty],T_PlannedOrders[Part Name],$A45,T_PlannedOrders[WeekIndex],21)&amp;" ("&amp;TEXT(SUMPRODUCT(MAX((T_PlannedOrders[Part Name]=$A45)*(T_PlannedOrders[WeekIndex]=21)*(T_PlannedOrders[EffectiveQty]&gt;0)*T_PlannedOrders[Order_Month])),"m月")&amp;"発注)")</f>
        <v/>
      </c>
      <c r="Y217">
        <f>IF(SUMIFS(T_PlannedOrders[EffectiveQty],T_PlannedOrders[Part Name],$A45,T_PlannedOrders[WeekIndex],22)=0,"",SUMIFS(T_PlannedOrders[EffectiveQty],T_PlannedOrders[Part Name],$A45,T_PlannedOrders[WeekIndex],22)&amp;" ("&amp;TEXT(SUMPRODUCT(MAX((T_PlannedOrders[Part Name]=$A45)*(T_PlannedOrders[WeekIndex]=22)*(T_PlannedOrders[EffectiveQty]&gt;0)*T_PlannedOrders[Order_Month])),"m月")&amp;"発注)")</f>
        <v/>
      </c>
      <c r="Z217">
        <f>IF(SUMIFS(T_PlannedOrders[EffectiveQty],T_PlannedOrders[Part Name],$A45,T_PlannedOrders[WeekIndex],23)=0,"",SUMIFS(T_PlannedOrders[EffectiveQty],T_PlannedOrders[Part Name],$A45,T_PlannedOrders[WeekIndex],23)&amp;" ("&amp;TEXT(SUMPRODUCT(MAX((T_PlannedOrders[Part Name]=$A45)*(T_PlannedOrders[WeekIndex]=23)*(T_PlannedOrders[EffectiveQty]&gt;0)*T_PlannedOrders[Order_Month])),"m月")&amp;"発注)")</f>
        <v/>
      </c>
      <c r="AA217">
        <f>IF(SUMIFS(T_PlannedOrders[EffectiveQty],T_PlannedOrders[Part Name],$A45,T_PlannedOrders[WeekIndex],24)=0,"",SUMIFS(T_PlannedOrders[EffectiveQty],T_PlannedOrders[Part Name],$A45,T_PlannedOrders[WeekIndex],24)&amp;" ("&amp;TEXT(SUMPRODUCT(MAX((T_PlannedOrders[Part Name]=$A45)*(T_PlannedOrders[WeekIndex]=24)*(T_PlannedOrders[EffectiveQty]&gt;0)*T_PlannedOrders[Order_Month])),"m月")&amp;"発注)")</f>
        <v/>
      </c>
      <c r="AB217">
        <f>IF(SUMIFS(T_PlannedOrders[EffectiveQty],T_PlannedOrders[Part Name],$A45,T_PlannedOrders[WeekIndex],25)=0,"",SUMIFS(T_PlannedOrders[EffectiveQty],T_PlannedOrders[Part Name],$A45,T_PlannedOrders[WeekIndex],25)&amp;" ("&amp;TEXT(SUMPRODUCT(MAX((T_PlannedOrders[Part Name]=$A45)*(T_PlannedOrders[WeekIndex]=25)*(T_PlannedOrders[EffectiveQty]&gt;0)*T_PlannedOrders[Order_Month])),"m月")&amp;"発注)")</f>
        <v/>
      </c>
      <c r="AC217">
        <f>IF(SUMIFS(T_PlannedOrders[EffectiveQty],T_PlannedOrders[Part Name],$A45,T_PlannedOrders[WeekIndex],26)=0,"",SUMIFS(T_PlannedOrders[EffectiveQty],T_PlannedOrders[Part Name],$A45,T_PlannedOrders[WeekIndex],26)&amp;" ("&amp;TEXT(SUMPRODUCT(MAX((T_PlannedOrders[Part Name]=$A45)*(T_PlannedOrders[WeekIndex]=26)*(T_PlannedOrders[EffectiveQty]&gt;0)*T_PlannedOrders[Order_Month])),"m月")&amp;"発注)")</f>
        <v/>
      </c>
      <c r="AD217">
        <f>IF(SUMIFS(T_PlannedOrders[EffectiveQty],T_PlannedOrders[Part Name],$A45,T_PlannedOrders[WeekIndex],27)=0,"",SUMIFS(T_PlannedOrders[EffectiveQty],T_PlannedOrders[Part Name],$A45,T_PlannedOrders[WeekIndex],27)&amp;" ("&amp;TEXT(SUMPRODUCT(MAX((T_PlannedOrders[Part Name]=$A45)*(T_PlannedOrders[WeekIndex]=27)*(T_PlannedOrders[EffectiveQty]&gt;0)*T_PlannedOrders[Order_Month])),"m月")&amp;"発注)")</f>
        <v/>
      </c>
      <c r="AE217">
        <f>IF(SUMIFS(T_PlannedOrders[EffectiveQty],T_PlannedOrders[Part Name],$A45,T_PlannedOrders[WeekIndex],28)=0,"",SUMIFS(T_PlannedOrders[EffectiveQty],T_PlannedOrders[Part Name],$A45,T_PlannedOrders[WeekIndex],28)&amp;" ("&amp;TEXT(SUMPRODUCT(MAX((T_PlannedOrders[Part Name]=$A45)*(T_PlannedOrders[WeekIndex]=28)*(T_PlannedOrders[EffectiveQty]&gt;0)*T_PlannedOrders[Order_Month])),"m月")&amp;"発注)")</f>
        <v/>
      </c>
      <c r="AF217">
        <f>IF(SUMIFS(T_PlannedOrders[EffectiveQty],T_PlannedOrders[Part Name],$A45,T_PlannedOrders[WeekIndex],29)=0,"",SUMIFS(T_PlannedOrders[EffectiveQty],T_PlannedOrders[Part Name],$A45,T_PlannedOrders[WeekIndex],29)&amp;" ("&amp;TEXT(SUMPRODUCT(MAX((T_PlannedOrders[Part Name]=$A45)*(T_PlannedOrders[WeekIndex]=29)*(T_PlannedOrders[EffectiveQty]&gt;0)*T_PlannedOrders[Order_Month])),"m月")&amp;"発注)")</f>
        <v/>
      </c>
      <c r="AG217">
        <f>IF(SUMIFS(T_PlannedOrders[EffectiveQty],T_PlannedOrders[Part Name],$A45,T_PlannedOrders[WeekIndex],30)=0,"",SUMIFS(T_PlannedOrders[EffectiveQty],T_PlannedOrders[Part Name],$A45,T_PlannedOrders[WeekIndex],30)&amp;" ("&amp;TEXT(SUMPRODUCT(MAX((T_PlannedOrders[Part Name]=$A45)*(T_PlannedOrders[WeekIndex]=30)*(T_PlannedOrders[EffectiveQty]&gt;0)*T_PlannedOrders[Order_Month])),"m月")&amp;"発注)")</f>
        <v/>
      </c>
      <c r="AH217">
        <f>IF(SUMIFS(T_PlannedOrders[EffectiveQty],T_PlannedOrders[Part Name],$A45,T_PlannedOrders[WeekIndex],31)=0,"",SUMIFS(T_PlannedOrders[EffectiveQty],T_PlannedOrders[Part Name],$A45,T_PlannedOrders[WeekIndex],31)&amp;" ("&amp;TEXT(SUMPRODUCT(MAX((T_PlannedOrders[Part Name]=$A45)*(T_PlannedOrders[WeekIndex]=31)*(T_PlannedOrders[EffectiveQty]&gt;0)*T_PlannedOrders[Order_Month])),"m月")&amp;"発注)")</f>
        <v/>
      </c>
      <c r="AI217">
        <f>IF(SUMIFS(T_PlannedOrders[EffectiveQty],T_PlannedOrders[Part Name],$A45,T_PlannedOrders[WeekIndex],32)=0,"",SUMIFS(T_PlannedOrders[EffectiveQty],T_PlannedOrders[Part Name],$A45,T_PlannedOrders[WeekIndex],32)&amp;" ("&amp;TEXT(SUMPRODUCT(MAX((T_PlannedOrders[Part Name]=$A45)*(T_PlannedOrders[WeekIndex]=32)*(T_PlannedOrders[EffectiveQty]&gt;0)*T_PlannedOrders[Order_Month])),"m月")&amp;"発注)")</f>
        <v/>
      </c>
      <c r="AJ217">
        <f>IF(SUMIFS(T_PlannedOrders[EffectiveQty],T_PlannedOrders[Part Name],$A45,T_PlannedOrders[WeekIndex],33)=0,"",SUMIFS(T_PlannedOrders[EffectiveQty],T_PlannedOrders[Part Name],$A45,T_PlannedOrders[WeekIndex],33)&amp;" ("&amp;TEXT(SUMPRODUCT(MAX((T_PlannedOrders[Part Name]=$A45)*(T_PlannedOrders[WeekIndex]=33)*(T_PlannedOrders[EffectiveQty]&gt;0)*T_PlannedOrders[Order_Month])),"m月")&amp;"発注)")</f>
        <v/>
      </c>
      <c r="AK217">
        <f>IF(SUMIFS(T_PlannedOrders[EffectiveQty],T_PlannedOrders[Part Name],$A45,T_PlannedOrders[WeekIndex],34)=0,"",SUMIFS(T_PlannedOrders[EffectiveQty],T_PlannedOrders[Part Name],$A45,T_PlannedOrders[WeekIndex],34)&amp;" ("&amp;TEXT(SUMPRODUCT(MAX((T_PlannedOrders[Part Name]=$A45)*(T_PlannedOrders[WeekIndex]=34)*(T_PlannedOrders[EffectiveQty]&gt;0)*T_PlannedOrders[Order_Month])),"m月")&amp;"発注)")</f>
        <v/>
      </c>
      <c r="AL217">
        <f>IF(SUMIFS(T_PlannedOrders[EffectiveQty],T_PlannedOrders[Part Name],$A45,T_PlannedOrders[WeekIndex],35)=0,"",SUMIFS(T_PlannedOrders[EffectiveQty],T_PlannedOrders[Part Name],$A45,T_PlannedOrders[WeekIndex],35)&amp;" ("&amp;TEXT(SUMPRODUCT(MAX((T_PlannedOrders[Part Name]=$A45)*(T_PlannedOrders[WeekIndex]=35)*(T_PlannedOrders[EffectiveQty]&gt;0)*T_PlannedOrders[Order_Month])),"m月")&amp;"発注)")</f>
        <v/>
      </c>
      <c r="AM217">
        <f>IF(SUMIFS(T_PlannedOrders[EffectiveQty],T_PlannedOrders[Part Name],$A45,T_PlannedOrders[WeekIndex],36)=0,"",SUMIFS(T_PlannedOrders[EffectiveQty],T_PlannedOrders[Part Name],$A45,T_PlannedOrders[WeekIndex],36)&amp;" ("&amp;TEXT(SUMPRODUCT(MAX((T_PlannedOrders[Part Name]=$A45)*(T_PlannedOrders[WeekIndex]=36)*(T_PlannedOrders[EffectiveQty]&gt;0)*T_PlannedOrders[Order_Month])),"m月")&amp;"発注)")</f>
        <v/>
      </c>
      <c r="AN217">
        <f>IF(SUMIFS(T_PlannedOrders[EffectiveQty],T_PlannedOrders[Part Name],$A45,T_PlannedOrders[WeekIndex],37)=0,"",SUMIFS(T_PlannedOrders[EffectiveQty],T_PlannedOrders[Part Name],$A45,T_PlannedOrders[WeekIndex],37)&amp;" ("&amp;TEXT(SUMPRODUCT(MAX((T_PlannedOrders[Part Name]=$A45)*(T_PlannedOrders[WeekIndex]=37)*(T_PlannedOrders[EffectiveQty]&gt;0)*T_PlannedOrders[Order_Month])),"m月")&amp;"発注)")</f>
        <v/>
      </c>
      <c r="AO217">
        <f>IF(SUMIFS(T_PlannedOrders[EffectiveQty],T_PlannedOrders[Part Name],$A45,T_PlannedOrders[WeekIndex],38)=0,"",SUMIFS(T_PlannedOrders[EffectiveQty],T_PlannedOrders[Part Name],$A45,T_PlannedOrders[WeekIndex],38)&amp;" ("&amp;TEXT(SUMPRODUCT(MAX((T_PlannedOrders[Part Name]=$A45)*(T_PlannedOrders[WeekIndex]=38)*(T_PlannedOrders[EffectiveQty]&gt;0)*T_PlannedOrders[Order_Month])),"m月")&amp;"発注)")</f>
        <v/>
      </c>
      <c r="AP217">
        <f>IF(SUMIFS(T_PlannedOrders[EffectiveQty],T_PlannedOrders[Part Name],$A45,T_PlannedOrders[WeekIndex],39)=0,"",SUMIFS(T_PlannedOrders[EffectiveQty],T_PlannedOrders[Part Name],$A45,T_PlannedOrders[WeekIndex],39)&amp;" ("&amp;TEXT(SUMPRODUCT(MAX((T_PlannedOrders[Part Name]=$A45)*(T_PlannedOrders[WeekIndex]=39)*(T_PlannedOrders[EffectiveQty]&gt;0)*T_PlannedOrders[Order_Month])),"m月")&amp;"発注)")</f>
        <v/>
      </c>
      <c r="AQ217">
        <f>IF(SUMIFS(T_PlannedOrders[EffectiveQty],T_PlannedOrders[Part Name],$A45,T_PlannedOrders[WeekIndex],40)=0,"",SUMIFS(T_PlannedOrders[EffectiveQty],T_PlannedOrders[Part Name],$A45,T_PlannedOrders[WeekIndex],40)&amp;" ("&amp;TEXT(SUMPRODUCT(MAX((T_PlannedOrders[Part Name]=$A45)*(T_PlannedOrders[WeekIndex]=40)*(T_PlannedOrders[EffectiveQty]&gt;0)*T_PlannedOrders[Order_Month])),"m月")&amp;"発注)")</f>
        <v/>
      </c>
      <c r="AR217">
        <f>IF(SUMIFS(T_PlannedOrders[EffectiveQty],T_PlannedOrders[Part Name],$A45,T_PlannedOrders[WeekIndex],41)=0,"",SUMIFS(T_PlannedOrders[EffectiveQty],T_PlannedOrders[Part Name],$A45,T_PlannedOrders[WeekIndex],41)&amp;" ("&amp;TEXT(SUMPRODUCT(MAX((T_PlannedOrders[Part Name]=$A45)*(T_PlannedOrders[WeekIndex]=41)*(T_PlannedOrders[EffectiveQty]&gt;0)*T_PlannedOrders[Order_Month])),"m月")&amp;"発注)")</f>
        <v/>
      </c>
      <c r="AS217">
        <f>IF(SUMIFS(T_PlannedOrders[EffectiveQty],T_PlannedOrders[Part Name],$A45,T_PlannedOrders[WeekIndex],42)=0,"",SUMIFS(T_PlannedOrders[EffectiveQty],T_PlannedOrders[Part Name],$A45,T_PlannedOrders[WeekIndex],42)&amp;" ("&amp;TEXT(SUMPRODUCT(MAX((T_PlannedOrders[Part Name]=$A45)*(T_PlannedOrders[WeekIndex]=42)*(T_PlannedOrders[EffectiveQty]&gt;0)*T_PlannedOrders[Order_Month])),"m月")&amp;"発注)")</f>
        <v/>
      </c>
      <c r="AT217">
        <f>IF(SUMIFS(T_PlannedOrders[EffectiveQty],T_PlannedOrders[Part Name],$A45,T_PlannedOrders[WeekIndex],43)=0,"",SUMIFS(T_PlannedOrders[EffectiveQty],T_PlannedOrders[Part Name],$A45,T_PlannedOrders[WeekIndex],43)&amp;" ("&amp;TEXT(SUMPRODUCT(MAX((T_PlannedOrders[Part Name]=$A45)*(T_PlannedOrders[WeekIndex]=43)*(T_PlannedOrders[EffectiveQty]&gt;0)*T_PlannedOrders[Order_Month])),"m月")&amp;"発注)")</f>
        <v/>
      </c>
      <c r="AU217">
        <f>IF(SUMIFS(T_PlannedOrders[EffectiveQty],T_PlannedOrders[Part Name],$A45,T_PlannedOrders[WeekIndex],44)=0,"",SUMIFS(T_PlannedOrders[EffectiveQty],T_PlannedOrders[Part Name],$A45,T_PlannedOrders[WeekIndex],44)&amp;" ("&amp;TEXT(SUMPRODUCT(MAX((T_PlannedOrders[Part Name]=$A45)*(T_PlannedOrders[WeekIndex]=44)*(T_PlannedOrders[EffectiveQty]&gt;0)*T_PlannedOrders[Order_Month])),"m月")&amp;"発注)")</f>
        <v/>
      </c>
      <c r="AV217">
        <f>IF(SUMIFS(T_PlannedOrders[EffectiveQty],T_PlannedOrders[Part Name],$A45,T_PlannedOrders[WeekIndex],45)=0,"",SUMIFS(T_PlannedOrders[EffectiveQty],T_PlannedOrders[Part Name],$A45,T_PlannedOrders[WeekIndex],45)&amp;" ("&amp;TEXT(SUMPRODUCT(MAX((T_PlannedOrders[Part Name]=$A45)*(T_PlannedOrders[WeekIndex]=45)*(T_PlannedOrders[EffectiveQty]&gt;0)*T_PlannedOrders[Order_Month])),"m月")&amp;"発注)")</f>
        <v/>
      </c>
      <c r="AW217">
        <f>IF(SUMIFS(T_PlannedOrders[EffectiveQty],T_PlannedOrders[Part Name],$A45,T_PlannedOrders[WeekIndex],46)=0,"",SUMIFS(T_PlannedOrders[EffectiveQty],T_PlannedOrders[Part Name],$A45,T_PlannedOrders[WeekIndex],46)&amp;" ("&amp;TEXT(SUMPRODUCT(MAX((T_PlannedOrders[Part Name]=$A45)*(T_PlannedOrders[WeekIndex]=46)*(T_PlannedOrders[EffectiveQty]&gt;0)*T_PlannedOrders[Order_Month])),"m月")&amp;"発注)")</f>
        <v/>
      </c>
      <c r="AX217">
        <f>IF(SUMIFS(T_PlannedOrders[EffectiveQty],T_PlannedOrders[Part Name],$A45,T_PlannedOrders[WeekIndex],47)=0,"",SUMIFS(T_PlannedOrders[EffectiveQty],T_PlannedOrders[Part Name],$A45,T_PlannedOrders[WeekIndex],47)&amp;" ("&amp;TEXT(SUMPRODUCT(MAX((T_PlannedOrders[Part Name]=$A45)*(T_PlannedOrders[WeekIndex]=47)*(T_PlannedOrders[EffectiveQty]&gt;0)*T_PlannedOrders[Order_Month])),"m月")&amp;"発注)")</f>
        <v/>
      </c>
      <c r="AY217">
        <f>IF(SUMIFS(T_PlannedOrders[EffectiveQty],T_PlannedOrders[Part Name],$A45,T_PlannedOrders[WeekIndex],48)=0,"",SUMIFS(T_PlannedOrders[EffectiveQty],T_PlannedOrders[Part Name],$A45,T_PlannedOrders[WeekIndex],48)&amp;" ("&amp;TEXT(SUMPRODUCT(MAX((T_PlannedOrders[Part Name]=$A45)*(T_PlannedOrders[WeekIndex]=48)*(T_PlannedOrders[EffectiveQty]&gt;0)*T_PlannedOrders[Order_Month])),"m月")&amp;"発注)")</f>
        <v/>
      </c>
      <c r="AZ217">
        <f>IF(SUMIFS(T_PlannedOrders[EffectiveQty],T_PlannedOrders[Part Name],$A45,T_PlannedOrders[WeekIndex],49)=0,"",SUMIFS(T_PlannedOrders[EffectiveQty],T_PlannedOrders[Part Name],$A45,T_PlannedOrders[WeekIndex],49)&amp;" ("&amp;TEXT(SUMPRODUCT(MAX((T_PlannedOrders[Part Name]=$A45)*(T_PlannedOrders[WeekIndex]=49)*(T_PlannedOrders[EffectiveQty]&gt;0)*T_PlannedOrders[Order_Month])),"m月")&amp;"発注)")</f>
        <v/>
      </c>
      <c r="BA217">
        <f>IF(SUMIFS(T_PlannedOrders[EffectiveQty],T_PlannedOrders[Part Name],$A45,T_PlannedOrders[WeekIndex],50)=0,"",SUMIFS(T_PlannedOrders[EffectiveQty],T_PlannedOrders[Part Name],$A45,T_PlannedOrders[WeekIndex],50)&amp;" ("&amp;TEXT(SUMPRODUCT(MAX((T_PlannedOrders[Part Name]=$A45)*(T_PlannedOrders[WeekIndex]=50)*(T_PlannedOrders[EffectiveQty]&gt;0)*T_PlannedOrders[Order_Month])),"m月")&amp;"発注)")</f>
        <v/>
      </c>
      <c r="BB217">
        <f>IF(SUMIFS(T_PlannedOrders[EffectiveQty],T_PlannedOrders[Part Name],$A45,T_PlannedOrders[WeekIndex],51)=0,"",SUMIFS(T_PlannedOrders[EffectiveQty],T_PlannedOrders[Part Name],$A45,T_PlannedOrders[WeekIndex],51)&amp;" ("&amp;TEXT(SUMPRODUCT(MAX((T_PlannedOrders[Part Name]=$A45)*(T_PlannedOrders[WeekIndex]=51)*(T_PlannedOrders[EffectiveQty]&gt;0)*T_PlannedOrders[Order_Month])),"m月")&amp;"発注)")</f>
        <v/>
      </c>
      <c r="BC217">
        <f>IF(SUMIFS(T_PlannedOrders[EffectiveQty],T_PlannedOrders[Part Name],$A45,T_PlannedOrders[WeekIndex],52)=0,"",SUMIFS(T_PlannedOrders[EffectiveQty],T_PlannedOrders[Part Name],$A45,T_PlannedOrders[WeekIndex],52)&amp;" ("&amp;TEXT(SUMPRODUCT(MAX((T_PlannedOrders[Part Name]=$A45)*(T_PlannedOrders[WeekIndex]=52)*(T_PlannedOrders[EffectiveQty]&gt;0)*T_PlannedOrders[Order_Month])),"m月")&amp;"発注)")</f>
        <v/>
      </c>
      <c r="BD217">
        <f>IF(SUMIFS(T_PlannedOrders[EffectiveQty],T_PlannedOrders[Part Name],$A45,T_PlannedOrders[WeekIndex],53)=0,"",SUMIFS(T_PlannedOrders[EffectiveQty],T_PlannedOrders[Part Name],$A45,T_PlannedOrders[WeekIndex],53)&amp;" ("&amp;TEXT(SUMPRODUCT(MAX((T_PlannedOrders[Part Name]=$A45)*(T_PlannedOrders[WeekIndex]=53)*(T_PlannedOrders[EffectiveQty]&gt;0)*T_PlannedOrders[Order_Month])),"m月")&amp;"発注)")</f>
        <v/>
      </c>
      <c r="BE217">
        <f>IF(SUMIFS(T_PlannedOrders[EffectiveQty],T_PlannedOrders[Part Name],$A45,T_PlannedOrders[WeekIndex],54)=0,"",SUMIFS(T_PlannedOrders[EffectiveQty],T_PlannedOrders[Part Name],$A45,T_PlannedOrders[WeekIndex],54)&amp;" ("&amp;TEXT(SUMPRODUCT(MAX((T_PlannedOrders[Part Name]=$A45)*(T_PlannedOrders[WeekIndex]=54)*(T_PlannedOrders[EffectiveQty]&gt;0)*T_PlannedOrders[Order_Month])),"m月")&amp;"発注)")</f>
        <v/>
      </c>
      <c r="BF217">
        <f>IF(SUMIFS(T_PlannedOrders[EffectiveQty],T_PlannedOrders[Part Name],$A45,T_PlannedOrders[WeekIndex],55)=0,"",SUMIFS(T_PlannedOrders[EffectiveQty],T_PlannedOrders[Part Name],$A45,T_PlannedOrders[WeekIndex],55)&amp;" ("&amp;TEXT(SUMPRODUCT(MAX((T_PlannedOrders[Part Name]=$A45)*(T_PlannedOrders[WeekIndex]=55)*(T_PlannedOrders[EffectiveQty]&gt;0)*T_PlannedOrders[Order_Month])),"m月")&amp;"発注)")</f>
        <v/>
      </c>
      <c r="BG217">
        <f>IF(SUMIFS(T_PlannedOrders[EffectiveQty],T_PlannedOrders[Part Name],$A45,T_PlannedOrders[WeekIndex],56)=0,"",SUMIFS(T_PlannedOrders[EffectiveQty],T_PlannedOrders[Part Name],$A45,T_PlannedOrders[WeekIndex],56)&amp;" ("&amp;TEXT(SUMPRODUCT(MAX((T_PlannedOrders[Part Name]=$A45)*(T_PlannedOrders[WeekIndex]=56)*(T_PlannedOrders[EffectiveQty]&gt;0)*T_PlannedOrders[Order_Month])),"m月")&amp;"発注)")</f>
        <v/>
      </c>
      <c r="BH217">
        <f>IF(SUMIFS(T_PlannedOrders[EffectiveQty],T_PlannedOrders[Part Name],$A45,T_PlannedOrders[WeekIndex],57)=0,"",SUMIFS(T_PlannedOrders[EffectiveQty],T_PlannedOrders[Part Name],$A45,T_PlannedOrders[WeekIndex],57)&amp;" ("&amp;TEXT(SUMPRODUCT(MAX((T_PlannedOrders[Part Name]=$A45)*(T_PlannedOrders[WeekIndex]=57)*(T_PlannedOrders[EffectiveQty]&gt;0)*T_PlannedOrders[Order_Month])),"m月")&amp;"発注)")</f>
        <v/>
      </c>
      <c r="BI217">
        <f>IF(SUMIFS(T_PlannedOrders[EffectiveQty],T_PlannedOrders[Part Name],$A45,T_PlannedOrders[WeekIndex],58)=0,"",SUMIFS(T_PlannedOrders[EffectiveQty],T_PlannedOrders[Part Name],$A45,T_PlannedOrders[WeekIndex],58)&amp;" ("&amp;TEXT(SUMPRODUCT(MAX((T_PlannedOrders[Part Name]=$A45)*(T_PlannedOrders[WeekIndex]=58)*(T_PlannedOrders[EffectiveQty]&gt;0)*T_PlannedOrders[Order_Month])),"m月")&amp;"発注)")</f>
        <v/>
      </c>
      <c r="BJ217">
        <f>IF(SUMIFS(T_PlannedOrders[EffectiveQty],T_PlannedOrders[Part Name],$A45,T_PlannedOrders[WeekIndex],59)=0,"",SUMIFS(T_PlannedOrders[EffectiveQty],T_PlannedOrders[Part Name],$A45,T_PlannedOrders[WeekIndex],59)&amp;" ("&amp;TEXT(SUMPRODUCT(MAX((T_PlannedOrders[Part Name]=$A45)*(T_PlannedOrders[WeekIndex]=59)*(T_PlannedOrders[EffectiveQty]&gt;0)*T_PlannedOrders[Order_Month])),"m月")&amp;"発注)")</f>
        <v/>
      </c>
      <c r="BK217">
        <f>IF(SUMIFS(T_PlannedOrders[EffectiveQty],T_PlannedOrders[Part Name],$A45,T_PlannedOrders[WeekIndex],60)=0,"",SUMIFS(T_PlannedOrders[EffectiveQty],T_PlannedOrders[Part Name],$A45,T_PlannedOrders[WeekIndex],60)&amp;" ("&amp;TEXT(SUMPRODUCT(MAX((T_PlannedOrders[Part Name]=$A45)*(T_PlannedOrders[WeekIndex]=60)*(T_PlannedOrders[EffectiveQty]&gt;0)*T_PlannedOrders[Order_Month])),"m月")&amp;"発注)")</f>
        <v/>
      </c>
      <c r="BL217">
        <f>IF(SUMIFS(T_PlannedOrders[EffectiveQty],T_PlannedOrders[Part Name],$A45,T_PlannedOrders[WeekIndex],61)=0,"",SUMIFS(T_PlannedOrders[EffectiveQty],T_PlannedOrders[Part Name],$A45,T_PlannedOrders[WeekIndex],61)&amp;" ("&amp;TEXT(SUMPRODUCT(MAX((T_PlannedOrders[Part Name]=$A45)*(T_PlannedOrders[WeekIndex]=61)*(T_PlannedOrders[EffectiveQty]&gt;0)*T_PlannedOrders[Order_Month])),"m月")&amp;"発注)")</f>
        <v/>
      </c>
      <c r="BM217">
        <f>IF(SUMIFS(T_PlannedOrders[EffectiveQty],T_PlannedOrders[Part Name],$A45,T_PlannedOrders[WeekIndex],62)=0,"",SUMIFS(T_PlannedOrders[EffectiveQty],T_PlannedOrders[Part Name],$A45,T_PlannedOrders[WeekIndex],62)&amp;" ("&amp;TEXT(SUMPRODUCT(MAX((T_PlannedOrders[Part Name]=$A45)*(T_PlannedOrders[WeekIndex]=62)*(T_PlannedOrders[EffectiveQty]&gt;0)*T_PlannedOrders[Order_Month])),"m月")&amp;"発注)")</f>
        <v/>
      </c>
      <c r="BN217">
        <f>IF(SUMIFS(T_PlannedOrders[EffectiveQty],T_PlannedOrders[Part Name],$A45,T_PlannedOrders[WeekIndex],63)=0,"",SUMIFS(T_PlannedOrders[EffectiveQty],T_PlannedOrders[Part Name],$A45,T_PlannedOrders[WeekIndex],63)&amp;" ("&amp;TEXT(SUMPRODUCT(MAX((T_PlannedOrders[Part Name]=$A45)*(T_PlannedOrders[WeekIndex]=63)*(T_PlannedOrders[EffectiveQty]&gt;0)*T_PlannedOrders[Order_Month])),"m月")&amp;"発注)")</f>
        <v/>
      </c>
      <c r="BO217">
        <f>IF(SUMIFS(T_PlannedOrders[EffectiveQty],T_PlannedOrders[Part Name],$A45,T_PlannedOrders[WeekIndex],64)=0,"",SUMIFS(T_PlannedOrders[EffectiveQty],T_PlannedOrders[Part Name],$A45,T_PlannedOrders[WeekIndex],64)&amp;" ("&amp;TEXT(SUMPRODUCT(MAX((T_PlannedOrders[Part Name]=$A45)*(T_PlannedOrders[WeekIndex]=64)*(T_PlannedOrders[EffectiveQty]&gt;0)*T_PlannedOrders[Order_Month])),"m月")&amp;"発注)")</f>
        <v/>
      </c>
      <c r="BP217">
        <f>IF(SUMIFS(T_PlannedOrders[EffectiveQty],T_PlannedOrders[Part Name],$A45,T_PlannedOrders[WeekIndex],65)=0,"",SUMIFS(T_PlannedOrders[EffectiveQty],T_PlannedOrders[Part Name],$A45,T_PlannedOrders[WeekIndex],65)&amp;" ("&amp;TEXT(SUMPRODUCT(MAX((T_PlannedOrders[Part Name]=$A45)*(T_PlannedOrders[WeekIndex]=65)*(T_PlannedOrders[EffectiveQty]&gt;0)*T_PlannedOrders[Order_Month])),"m月")&amp;"発注)")</f>
        <v/>
      </c>
      <c r="BQ217">
        <f>IF(SUMIFS(T_PlannedOrders[EffectiveQty],T_PlannedOrders[Part Name],$A45,T_PlannedOrders[WeekIndex],66)=0,"",SUMIFS(T_PlannedOrders[EffectiveQty],T_PlannedOrders[Part Name],$A45,T_PlannedOrders[WeekIndex],66)&amp;" ("&amp;TEXT(SUMPRODUCT(MAX((T_PlannedOrders[Part Name]=$A45)*(T_PlannedOrders[WeekIndex]=66)*(T_PlannedOrders[EffectiveQty]&gt;0)*T_PlannedOrders[Order_Month])),"m月")&amp;"発注)")</f>
        <v/>
      </c>
      <c r="BR217">
        <f>IF(SUMIFS(T_PlannedOrders[EffectiveQty],T_PlannedOrders[Part Name],$A45,T_PlannedOrders[WeekIndex],67)=0,"",SUMIFS(T_PlannedOrders[EffectiveQty],T_PlannedOrders[Part Name],$A45,T_PlannedOrders[WeekIndex],67)&amp;" ("&amp;TEXT(SUMPRODUCT(MAX((T_PlannedOrders[Part Name]=$A45)*(T_PlannedOrders[WeekIndex]=67)*(T_PlannedOrders[EffectiveQty]&gt;0)*T_PlannedOrders[Order_Month])),"m月")&amp;"発注)")</f>
        <v/>
      </c>
      <c r="BS217">
        <f>IF(SUMIFS(T_PlannedOrders[EffectiveQty],T_PlannedOrders[Part Name],$A45,T_PlannedOrders[WeekIndex],68)=0,"",SUMIFS(T_PlannedOrders[EffectiveQty],T_PlannedOrders[Part Name],$A45,T_PlannedOrders[WeekIndex],68)&amp;" ("&amp;TEXT(SUMPRODUCT(MAX((T_PlannedOrders[Part Name]=$A45)*(T_PlannedOrders[WeekIndex]=68)*(T_PlannedOrders[EffectiveQty]&gt;0)*T_PlannedOrders[Order_Month])),"m月")&amp;"発注)")</f>
        <v/>
      </c>
      <c r="BT217">
        <f>IF(SUMIFS(T_PlannedOrders[EffectiveQty],T_PlannedOrders[Part Name],$A45,T_PlannedOrders[WeekIndex],69)=0,"",SUMIFS(T_PlannedOrders[EffectiveQty],T_PlannedOrders[Part Name],$A45,T_PlannedOrders[WeekIndex],69)&amp;" ("&amp;TEXT(SUMPRODUCT(MAX((T_PlannedOrders[Part Name]=$A45)*(T_PlannedOrders[WeekIndex]=69)*(T_PlannedOrders[EffectiveQty]&gt;0)*T_PlannedOrders[Order_Month])),"m月")&amp;"発注)")</f>
        <v/>
      </c>
      <c r="BU217">
        <f>IF(SUMIFS(T_PlannedOrders[EffectiveQty],T_PlannedOrders[Part Name],$A45,T_PlannedOrders[WeekIndex],70)=0,"",SUMIFS(T_PlannedOrders[EffectiveQty],T_PlannedOrders[Part Name],$A45,T_PlannedOrders[WeekIndex],70)&amp;" ("&amp;TEXT(SUMPRODUCT(MAX((T_PlannedOrders[Part Name]=$A45)*(T_PlannedOrders[WeekIndex]=70)*(T_PlannedOrders[EffectiveQty]&gt;0)*T_PlannedOrders[Order_Month])),"m月")&amp;"発注)")</f>
        <v/>
      </c>
      <c r="BV217">
        <f>IF(SUMIFS(T_PlannedOrders[EffectiveQty],T_PlannedOrders[Part Name],$A45,T_PlannedOrders[WeekIndex],71)=0,"",SUMIFS(T_PlannedOrders[EffectiveQty],T_PlannedOrders[Part Name],$A45,T_PlannedOrders[WeekIndex],71)&amp;" ("&amp;TEXT(SUMPRODUCT(MAX((T_PlannedOrders[Part Name]=$A45)*(T_PlannedOrders[WeekIndex]=71)*(T_PlannedOrders[EffectiveQty]&gt;0)*T_PlannedOrders[Order_Month])),"m月")&amp;"発注)")</f>
        <v/>
      </c>
      <c r="BW217">
        <f>IF(SUMIFS(T_PlannedOrders[EffectiveQty],T_PlannedOrders[Part Name],$A45,T_PlannedOrders[WeekIndex],72)=0,"",SUMIFS(T_PlannedOrders[EffectiveQty],T_PlannedOrders[Part Name],$A45,T_PlannedOrders[WeekIndex],72)&amp;" ("&amp;TEXT(SUMPRODUCT(MAX((T_PlannedOrders[Part Name]=$A45)*(T_PlannedOrders[WeekIndex]=72)*(T_PlannedOrders[EffectiveQty]&gt;0)*T_PlannedOrders[Order_Month])),"m月")&amp;"発注)")</f>
        <v/>
      </c>
      <c r="BX217">
        <f>IF(SUMIFS(T_PlannedOrders[EffectiveQty],T_PlannedOrders[Part Name],$A45,T_PlannedOrders[WeekIndex],73)=0,"",SUMIFS(T_PlannedOrders[EffectiveQty],T_PlannedOrders[Part Name],$A45,T_PlannedOrders[WeekIndex],73)&amp;" ("&amp;TEXT(SUMPRODUCT(MAX((T_PlannedOrders[Part Name]=$A45)*(T_PlannedOrders[WeekIndex]=73)*(T_PlannedOrders[EffectiveQty]&gt;0)*T_PlannedOrders[Order_Month])),"m月")&amp;"発注)")</f>
        <v/>
      </c>
      <c r="BY217">
        <f>IF(SUMIFS(T_PlannedOrders[EffectiveQty],T_PlannedOrders[Part Name],$A45,T_PlannedOrders[WeekIndex],74)=0,"",SUMIFS(T_PlannedOrders[EffectiveQty],T_PlannedOrders[Part Name],$A45,T_PlannedOrders[WeekIndex],74)&amp;" ("&amp;TEXT(SUMPRODUCT(MAX((T_PlannedOrders[Part Name]=$A45)*(T_PlannedOrders[WeekIndex]=74)*(T_PlannedOrders[EffectiveQty]&gt;0)*T_PlannedOrders[Order_Month])),"m月")&amp;"発注)")</f>
        <v/>
      </c>
      <c r="BZ217">
        <f>IF(SUMIFS(T_PlannedOrders[EffectiveQty],T_PlannedOrders[Part Name],$A45,T_PlannedOrders[WeekIndex],75)=0,"",SUMIFS(T_PlannedOrders[EffectiveQty],T_PlannedOrders[Part Name],$A45,T_PlannedOrders[WeekIndex],75)&amp;" ("&amp;TEXT(SUMPRODUCT(MAX((T_PlannedOrders[Part Name]=$A45)*(T_PlannedOrders[WeekIndex]=75)*(T_PlannedOrders[EffectiveQty]&gt;0)*T_PlannedOrders[Order_Month])),"m月")&amp;"発注)")</f>
        <v/>
      </c>
      <c r="CA217">
        <f>IF(SUMIFS(T_PlannedOrders[EffectiveQty],T_PlannedOrders[Part Name],$A45,T_PlannedOrders[WeekIndex],76)=0,"",SUMIFS(T_PlannedOrders[EffectiveQty],T_PlannedOrders[Part Name],$A45,T_PlannedOrders[WeekIndex],76)&amp;" ("&amp;TEXT(SUMPRODUCT(MAX((T_PlannedOrders[Part Name]=$A45)*(T_PlannedOrders[WeekIndex]=76)*(T_PlannedOrders[EffectiveQty]&gt;0)*T_PlannedOrders[Order_Month])),"m月")&amp;"発注)")</f>
        <v/>
      </c>
      <c r="CB217">
        <f>IF(SUMIFS(T_PlannedOrders[EffectiveQty],T_PlannedOrders[Part Name],$A45,T_PlannedOrders[WeekIndex],77)=0,"",SUMIFS(T_PlannedOrders[EffectiveQty],T_PlannedOrders[Part Name],$A45,T_PlannedOrders[WeekIndex],77)&amp;" ("&amp;TEXT(SUMPRODUCT(MAX((T_PlannedOrders[Part Name]=$A45)*(T_PlannedOrders[WeekIndex]=77)*(T_PlannedOrders[EffectiveQty]&gt;0)*T_PlannedOrders[Order_Month])),"m月")&amp;"発注)")</f>
        <v/>
      </c>
      <c r="CC217">
        <f>IF(SUMIFS(T_PlannedOrders[EffectiveQty],T_PlannedOrders[Part Name],$A45,T_PlannedOrders[WeekIndex],78)=0,"",SUMIFS(T_PlannedOrders[EffectiveQty],T_PlannedOrders[Part Name],$A45,T_PlannedOrders[WeekIndex],78)&amp;" ("&amp;TEXT(SUMPRODUCT(MAX((T_PlannedOrders[Part Name]=$A45)*(T_PlannedOrders[WeekIndex]=78)*(T_PlannedOrders[EffectiveQty]&gt;0)*T_PlannedOrders[Order_Month])),"m月")&amp;"発注)")</f>
        <v/>
      </c>
      <c r="CD217">
        <f>IF(SUMIFS(T_PlannedOrders[EffectiveQty],T_PlannedOrders[Part Name],$A45,T_PlannedOrders[WeekIndex],79)=0,"",SUMIFS(T_PlannedOrders[EffectiveQty],T_PlannedOrders[Part Name],$A45,T_PlannedOrders[WeekIndex],79)&amp;" ("&amp;TEXT(SUMPRODUCT(MAX((T_PlannedOrders[Part Name]=$A45)*(T_PlannedOrders[WeekIndex]=79)*(T_PlannedOrders[EffectiveQty]&gt;0)*T_PlannedOrders[Order_Month])),"m月")&amp;"発注)")</f>
        <v/>
      </c>
      <c r="CE217">
        <f>IF(SUMIFS(T_PlannedOrders[EffectiveQty],T_PlannedOrders[Part Name],$A45,T_PlannedOrders[WeekIndex],80)=0,"",SUMIFS(T_PlannedOrders[EffectiveQty],T_PlannedOrders[Part Name],$A45,T_PlannedOrders[WeekIndex],80)&amp;" ("&amp;TEXT(SUMPRODUCT(MAX((T_PlannedOrders[Part Name]=$A45)*(T_PlannedOrders[WeekIndex]=80)*(T_PlannedOrders[EffectiveQty]&gt;0)*T_PlannedOrders[Order_Month])),"m月")&amp;"発注)")</f>
        <v/>
      </c>
      <c r="CF217">
        <f>IF(SUMIFS(T_PlannedOrders[EffectiveQty],T_PlannedOrders[Part Name],$A45,T_PlannedOrders[WeekIndex],81)=0,"",SUMIFS(T_PlannedOrders[EffectiveQty],T_PlannedOrders[Part Name],$A45,T_PlannedOrders[WeekIndex],81)&amp;" ("&amp;TEXT(SUMPRODUCT(MAX((T_PlannedOrders[Part Name]=$A45)*(T_PlannedOrders[WeekIndex]=81)*(T_PlannedOrders[EffectiveQty]&gt;0)*T_PlannedOrders[Order_Month])),"m月")&amp;"発注)")</f>
        <v/>
      </c>
      <c r="CG217">
        <f>IF(SUMIFS(T_PlannedOrders[EffectiveQty],T_PlannedOrders[Part Name],$A45,T_PlannedOrders[WeekIndex],82)=0,"",SUMIFS(T_PlannedOrders[EffectiveQty],T_PlannedOrders[Part Name],$A45,T_PlannedOrders[WeekIndex],82)&amp;" ("&amp;TEXT(SUMPRODUCT(MAX((T_PlannedOrders[Part Name]=$A45)*(T_PlannedOrders[WeekIndex]=82)*(T_PlannedOrders[EffectiveQty]&gt;0)*T_PlannedOrders[Order_Month])),"m月")&amp;"発注)")</f>
        <v/>
      </c>
      <c r="CH217">
        <f>IF(SUMIFS(T_PlannedOrders[EffectiveQty],T_PlannedOrders[Part Name],$A45,T_PlannedOrders[WeekIndex],83)=0,"",SUMIFS(T_PlannedOrders[EffectiveQty],T_PlannedOrders[Part Name],$A45,T_PlannedOrders[WeekIndex],83)&amp;" ("&amp;TEXT(SUMPRODUCT(MAX((T_PlannedOrders[Part Name]=$A45)*(T_PlannedOrders[WeekIndex]=83)*(T_PlannedOrders[EffectiveQty]&gt;0)*T_PlannedOrders[Order_Month])),"m月")&amp;"発注)")</f>
        <v/>
      </c>
      <c r="CI217">
        <f>IF(SUMIFS(T_PlannedOrders[EffectiveQty],T_PlannedOrders[Part Name],$A45,T_PlannedOrders[WeekIndex],84)=0,"",SUMIFS(T_PlannedOrders[EffectiveQty],T_PlannedOrders[Part Name],$A45,T_PlannedOrders[WeekIndex],84)&amp;" ("&amp;TEXT(SUMPRODUCT(MAX((T_PlannedOrders[Part Name]=$A45)*(T_PlannedOrders[WeekIndex]=84)*(T_PlannedOrders[EffectiveQty]&gt;0)*T_PlannedOrders[Order_Month])),"m月")&amp;"発注)")</f>
        <v/>
      </c>
      <c r="CJ217">
        <f>IF(SUMIFS(T_PlannedOrders[EffectiveQty],T_PlannedOrders[Part Name],$A45,T_PlannedOrders[WeekIndex],85)=0,"",SUMIFS(T_PlannedOrders[EffectiveQty],T_PlannedOrders[Part Name],$A45,T_PlannedOrders[WeekIndex],85)&amp;" ("&amp;TEXT(SUMPRODUCT(MAX((T_PlannedOrders[Part Name]=$A45)*(T_PlannedOrders[WeekIndex]=85)*(T_PlannedOrders[EffectiveQty]&gt;0)*T_PlannedOrders[Order_Month])),"m月")&amp;"発注)")</f>
        <v/>
      </c>
      <c r="CK217">
        <f>IF(SUMIFS(T_PlannedOrders[EffectiveQty],T_PlannedOrders[Part Name],$A45,T_PlannedOrders[WeekIndex],86)=0,"",SUMIFS(T_PlannedOrders[EffectiveQty],T_PlannedOrders[Part Name],$A45,T_PlannedOrders[WeekIndex],86)&amp;" ("&amp;TEXT(SUMPRODUCT(MAX((T_PlannedOrders[Part Name]=$A45)*(T_PlannedOrders[WeekIndex]=86)*(T_PlannedOrders[EffectiveQty]&gt;0)*T_PlannedOrders[Order_Month])),"m月")&amp;"発注)")</f>
        <v/>
      </c>
      <c r="CL217">
        <f>IF(SUMIFS(T_PlannedOrders[EffectiveQty],T_PlannedOrders[Part Name],$A45,T_PlannedOrders[WeekIndex],87)=0,"",SUMIFS(T_PlannedOrders[EffectiveQty],T_PlannedOrders[Part Name],$A45,T_PlannedOrders[WeekIndex],87)&amp;" ("&amp;TEXT(SUMPRODUCT(MAX((T_PlannedOrders[Part Name]=$A45)*(T_PlannedOrders[WeekIndex]=87)*(T_PlannedOrders[EffectiveQty]&gt;0)*T_PlannedOrders[Order_Month])),"m月")&amp;"発注)")</f>
        <v/>
      </c>
      <c r="CM217">
        <f>IF(SUMIFS(T_PlannedOrders[EffectiveQty],T_PlannedOrders[Part Name],$A45,T_PlannedOrders[WeekIndex],88)=0,"",SUMIFS(T_PlannedOrders[EffectiveQty],T_PlannedOrders[Part Name],$A45,T_PlannedOrders[WeekIndex],88)&amp;" ("&amp;TEXT(SUMPRODUCT(MAX((T_PlannedOrders[Part Name]=$A45)*(T_PlannedOrders[WeekIndex]=88)*(T_PlannedOrders[EffectiveQty]&gt;0)*T_PlannedOrders[Order_Month])),"m月")&amp;"発注)")</f>
        <v/>
      </c>
      <c r="CN217">
        <f>IF(SUMIFS(T_PlannedOrders[EffectiveQty],T_PlannedOrders[Part Name],$A45,T_PlannedOrders[WeekIndex],89)=0,"",SUMIFS(T_PlannedOrders[EffectiveQty],T_PlannedOrders[Part Name],$A45,T_PlannedOrders[WeekIndex],89)&amp;" ("&amp;TEXT(SUMPRODUCT(MAX((T_PlannedOrders[Part Name]=$A45)*(T_PlannedOrders[WeekIndex]=89)*(T_PlannedOrders[EffectiveQty]&gt;0)*T_PlannedOrders[Order_Month])),"m月")&amp;"発注)")</f>
        <v/>
      </c>
      <c r="CO217">
        <f>IF(SUMIFS(T_PlannedOrders[EffectiveQty],T_PlannedOrders[Part Name],$A45,T_PlannedOrders[WeekIndex],90)=0,"",SUMIFS(T_PlannedOrders[EffectiveQty],T_PlannedOrders[Part Name],$A45,T_PlannedOrders[WeekIndex],90)&amp;" ("&amp;TEXT(SUMPRODUCT(MAX((T_PlannedOrders[Part Name]=$A45)*(T_PlannedOrders[WeekIndex]=90)*(T_PlannedOrders[EffectiveQty]&gt;0)*T_PlannedOrders[Order_Month])),"m月")&amp;"発注)")</f>
        <v/>
      </c>
      <c r="CP217">
        <f>IF(SUMIFS(T_PlannedOrders[EffectiveQty],T_PlannedOrders[Part Name],$A45,T_PlannedOrders[WeekIndex],91)=0,"",SUMIFS(T_PlannedOrders[EffectiveQty],T_PlannedOrders[Part Name],$A45,T_PlannedOrders[WeekIndex],91)&amp;" ("&amp;TEXT(SUMPRODUCT(MAX((T_PlannedOrders[Part Name]=$A45)*(T_PlannedOrders[WeekIndex]=91)*(T_PlannedOrders[EffectiveQty]&gt;0)*T_PlannedOrders[Order_Month])),"m月")&amp;"発注)")</f>
        <v/>
      </c>
      <c r="CQ217">
        <f>IF(SUMIFS(T_PlannedOrders[EffectiveQty],T_PlannedOrders[Part Name],$A45,T_PlannedOrders[WeekIndex],92)=0,"",SUMIFS(T_PlannedOrders[EffectiveQty],T_PlannedOrders[Part Name],$A45,T_PlannedOrders[WeekIndex],92)&amp;" ("&amp;TEXT(SUMPRODUCT(MAX((T_PlannedOrders[Part Name]=$A45)*(T_PlannedOrders[WeekIndex]=92)*(T_PlannedOrders[EffectiveQty]&gt;0)*T_PlannedOrders[Order_Month])),"m月")&amp;"発注)")</f>
        <v/>
      </c>
      <c r="CR217">
        <f>IF(SUMIFS(T_PlannedOrders[EffectiveQty],T_PlannedOrders[Part Name],$A45,T_PlannedOrders[WeekIndex],93)=0,"",SUMIFS(T_PlannedOrders[EffectiveQty],T_PlannedOrders[Part Name],$A45,T_PlannedOrders[WeekIndex],93)&amp;" ("&amp;TEXT(SUMPRODUCT(MAX((T_PlannedOrders[Part Name]=$A45)*(T_PlannedOrders[WeekIndex]=93)*(T_PlannedOrders[EffectiveQty]&gt;0)*T_PlannedOrders[Order_Month])),"m月")&amp;"発注)")</f>
        <v/>
      </c>
      <c r="CS217">
        <f>IF(SUMIFS(T_PlannedOrders[EffectiveQty],T_PlannedOrders[Part Name],$A45,T_PlannedOrders[WeekIndex],94)=0,"",SUMIFS(T_PlannedOrders[EffectiveQty],T_PlannedOrders[Part Name],$A45,T_PlannedOrders[WeekIndex],94)&amp;" ("&amp;TEXT(SUMPRODUCT(MAX((T_PlannedOrders[Part Name]=$A45)*(T_PlannedOrders[WeekIndex]=94)*(T_PlannedOrders[EffectiveQty]&gt;0)*T_PlannedOrders[Order_Month])),"m月")&amp;"発注)")</f>
        <v/>
      </c>
      <c r="CT217">
        <f>IF(SUMIFS(T_PlannedOrders[EffectiveQty],T_PlannedOrders[Part Name],$A45,T_PlannedOrders[WeekIndex],95)=0,"",SUMIFS(T_PlannedOrders[EffectiveQty],T_PlannedOrders[Part Name],$A45,T_PlannedOrders[WeekIndex],95)&amp;" ("&amp;TEXT(SUMPRODUCT(MAX((T_PlannedOrders[Part Name]=$A45)*(T_PlannedOrders[WeekIndex]=95)*(T_PlannedOrders[EffectiveQty]&gt;0)*T_PlannedOrders[Order_Month])),"m月")&amp;"発注)")</f>
        <v/>
      </c>
      <c r="CU217">
        <f>IF(SUMIFS(T_PlannedOrders[EffectiveQty],T_PlannedOrders[Part Name],$A45,T_PlannedOrders[WeekIndex],96)=0,"",SUMIFS(T_PlannedOrders[EffectiveQty],T_PlannedOrders[Part Name],$A45,T_PlannedOrders[WeekIndex],96)&amp;" ("&amp;TEXT(SUMPRODUCT(MAX((T_PlannedOrders[Part Name]=$A45)*(T_PlannedOrders[WeekIndex]=96)*(T_PlannedOrders[EffectiveQty]&gt;0)*T_PlannedOrders[Order_Month])),"m月")&amp;"発注)")</f>
        <v/>
      </c>
      <c r="CV217">
        <f>IF(SUMIFS(T_PlannedOrders[EffectiveQty],T_PlannedOrders[Part Name],$A45,T_PlannedOrders[WeekIndex],97)=0,"",SUMIFS(T_PlannedOrders[EffectiveQty],T_PlannedOrders[Part Name],$A45,T_PlannedOrders[WeekIndex],97)&amp;" ("&amp;TEXT(SUMPRODUCT(MAX((T_PlannedOrders[Part Name]=$A45)*(T_PlannedOrders[WeekIndex]=97)*(T_PlannedOrders[EffectiveQty]&gt;0)*T_PlannedOrders[Order_Month])),"m月")&amp;"発注)")</f>
        <v/>
      </c>
      <c r="CW217">
        <f>IF(SUMIFS(T_PlannedOrders[EffectiveQty],T_PlannedOrders[Part Name],$A45,T_PlannedOrders[WeekIndex],98)=0,"",SUMIFS(T_PlannedOrders[EffectiveQty],T_PlannedOrders[Part Name],$A45,T_PlannedOrders[WeekIndex],98)&amp;" ("&amp;TEXT(SUMPRODUCT(MAX((T_PlannedOrders[Part Name]=$A45)*(T_PlannedOrders[WeekIndex]=98)*(T_PlannedOrders[EffectiveQty]&gt;0)*T_PlannedOrders[Order_Month])),"m月")&amp;"発注)")</f>
        <v/>
      </c>
      <c r="CX217">
        <f>IF(SUMIFS(T_PlannedOrders[EffectiveQty],T_PlannedOrders[Part Name],$A45,T_PlannedOrders[WeekIndex],99)=0,"",SUMIFS(T_PlannedOrders[EffectiveQty],T_PlannedOrders[Part Name],$A45,T_PlannedOrders[WeekIndex],99)&amp;" ("&amp;TEXT(SUMPRODUCT(MAX((T_PlannedOrders[Part Name]=$A45)*(T_PlannedOrders[WeekIndex]=99)*(T_PlannedOrders[EffectiveQty]&gt;0)*T_PlannedOrders[Order_Month])),"m月")&amp;"発注)")</f>
        <v/>
      </c>
      <c r="CY217">
        <f>IF(SUMIFS(T_PlannedOrders[EffectiveQty],T_PlannedOrders[Part Name],$A45,T_PlannedOrders[WeekIndex],100)=0,"",SUMIFS(T_PlannedOrders[EffectiveQty],T_PlannedOrders[Part Name],$A45,T_PlannedOrders[WeekIndex],100)&amp;" ("&amp;TEXT(SUMPRODUCT(MAX((T_PlannedOrders[Part Name]=$A45)*(T_PlannedOrders[WeekIndex]=100)*(T_PlannedOrders[EffectiveQty]&gt;0)*T_PlannedOrders[Order_Month])),"m月")&amp;"発注)")</f>
        <v/>
      </c>
      <c r="CZ217">
        <f>IF(SUMIFS(T_PlannedOrders[EffectiveQty],T_PlannedOrders[Part Name],$A45,T_PlannedOrders[WeekIndex],101)=0,"",SUMIFS(T_PlannedOrders[EffectiveQty],T_PlannedOrders[Part Name],$A45,T_PlannedOrders[WeekIndex],101)&amp;" ("&amp;TEXT(SUMPRODUCT(MAX((T_PlannedOrders[Part Name]=$A45)*(T_PlannedOrders[WeekIndex]=101)*(T_PlannedOrders[EffectiveQty]&gt;0)*T_PlannedOrders[Order_Month])),"m月")&amp;"発注)")</f>
        <v/>
      </c>
      <c r="DA217">
        <f>IF(SUMIFS(T_PlannedOrders[EffectiveQty],T_PlannedOrders[Part Name],$A45,T_PlannedOrders[WeekIndex],102)=0,"",SUMIFS(T_PlannedOrders[EffectiveQty],T_PlannedOrders[Part Name],$A45,T_PlannedOrders[WeekIndex],102)&amp;" ("&amp;TEXT(SUMPRODUCT(MAX((T_PlannedOrders[Part Name]=$A45)*(T_PlannedOrders[WeekIndex]=102)*(T_PlannedOrders[EffectiveQty]&gt;0)*T_PlannedOrders[Order_Month])),"m月")&amp;"発注)")</f>
        <v/>
      </c>
      <c r="DB217">
        <f>IF(SUMIFS(T_PlannedOrders[EffectiveQty],T_PlannedOrders[Part Name],$A45,T_PlannedOrders[WeekIndex],103)=0,"",SUMIFS(T_PlannedOrders[EffectiveQty],T_PlannedOrders[Part Name],$A45,T_PlannedOrders[WeekIndex],103)&amp;" ("&amp;TEXT(SUMPRODUCT(MAX((T_PlannedOrders[Part Name]=$A45)*(T_PlannedOrders[WeekIndex]=103)*(T_PlannedOrders[EffectiveQty]&gt;0)*T_PlannedOrders[Order_Month])),"m月")&amp;"発注)")</f>
        <v/>
      </c>
      <c r="DC217">
        <f>IF(SUMIFS(T_PlannedOrders[EffectiveQty],T_PlannedOrders[Part Name],$A45,T_PlannedOrders[WeekIndex],104)=0,"",SUMIFS(T_PlannedOrders[EffectiveQty],T_PlannedOrders[Part Name],$A45,T_PlannedOrders[WeekIndex],104)&amp;" ("&amp;TEXT(SUMPRODUCT(MAX((T_PlannedOrders[Part Name]=$A45)*(T_PlannedOrders[WeekIndex]=104)*(T_PlannedOrders[EffectiveQty]&gt;0)*T_PlannedOrders[Order_Month])),"m月")&amp;"発注)")</f>
        <v/>
      </c>
    </row>
    <row r="218">
      <c r="B218" s="4" t="inlineStr">
        <is>
          <t>合計在庫(週末時点,kg)</t>
        </is>
      </c>
      <c r="D218">
        <f>'Grid_Stock'!B5</f>
        <v/>
      </c>
      <c r="E218">
        <f>'Grid_Stock'!C5</f>
        <v/>
      </c>
      <c r="F218">
        <f>'Grid_Stock'!D5</f>
        <v/>
      </c>
      <c r="G218">
        <f>'Grid_Stock'!E5</f>
        <v/>
      </c>
      <c r="H218">
        <f>'Grid_Stock'!F5</f>
        <v/>
      </c>
      <c r="I218">
        <f>'Grid_Stock'!G5</f>
        <v/>
      </c>
      <c r="J218">
        <f>'Grid_Stock'!H5</f>
        <v/>
      </c>
      <c r="K218">
        <f>'Grid_Stock'!I5</f>
        <v/>
      </c>
      <c r="L218">
        <f>'Grid_Stock'!J5</f>
        <v/>
      </c>
      <c r="M218">
        <f>'Grid_Stock'!K5</f>
        <v/>
      </c>
      <c r="N218">
        <f>'Grid_Stock'!L5</f>
        <v/>
      </c>
      <c r="O218">
        <f>'Grid_Stock'!M5</f>
        <v/>
      </c>
      <c r="P218">
        <f>'Grid_Stock'!N5</f>
        <v/>
      </c>
      <c r="Q218">
        <f>'Grid_Stock'!O5</f>
        <v/>
      </c>
      <c r="R218">
        <f>'Grid_Stock'!P5</f>
        <v/>
      </c>
      <c r="S218">
        <f>'Grid_Stock'!Q5</f>
        <v/>
      </c>
      <c r="T218">
        <f>'Grid_Stock'!R5</f>
        <v/>
      </c>
      <c r="U218">
        <f>'Grid_Stock'!S5</f>
        <v/>
      </c>
      <c r="V218">
        <f>'Grid_Stock'!T5</f>
        <v/>
      </c>
      <c r="W218">
        <f>'Grid_Stock'!U5</f>
        <v/>
      </c>
      <c r="X218">
        <f>'Grid_Stock'!V5</f>
        <v/>
      </c>
      <c r="Y218">
        <f>'Grid_Stock'!W5</f>
        <v/>
      </c>
      <c r="Z218">
        <f>'Grid_Stock'!X5</f>
        <v/>
      </c>
      <c r="AA218">
        <f>'Grid_Stock'!Y5</f>
        <v/>
      </c>
      <c r="AB218">
        <f>'Grid_Stock'!Z5</f>
        <v/>
      </c>
      <c r="AC218">
        <f>'Grid_Stock'!AA5</f>
        <v/>
      </c>
      <c r="AD218">
        <f>'Grid_Stock'!AB5</f>
        <v/>
      </c>
      <c r="AE218">
        <f>'Grid_Stock'!AC5</f>
        <v/>
      </c>
      <c r="AF218">
        <f>'Grid_Stock'!AD5</f>
        <v/>
      </c>
      <c r="AG218">
        <f>'Grid_Stock'!AE5</f>
        <v/>
      </c>
      <c r="AH218">
        <f>'Grid_Stock'!AF5</f>
        <v/>
      </c>
      <c r="AI218">
        <f>'Grid_Stock'!AG5</f>
        <v/>
      </c>
      <c r="AJ218">
        <f>'Grid_Stock'!AH5</f>
        <v/>
      </c>
      <c r="AK218">
        <f>'Grid_Stock'!AI5</f>
        <v/>
      </c>
      <c r="AL218">
        <f>'Grid_Stock'!AJ5</f>
        <v/>
      </c>
      <c r="AM218">
        <f>'Grid_Stock'!AK5</f>
        <v/>
      </c>
      <c r="AN218">
        <f>'Grid_Stock'!AL5</f>
        <v/>
      </c>
      <c r="AO218">
        <f>'Grid_Stock'!AM5</f>
        <v/>
      </c>
      <c r="AP218">
        <f>'Grid_Stock'!AN5</f>
        <v/>
      </c>
      <c r="AQ218">
        <f>'Grid_Stock'!AO5</f>
        <v/>
      </c>
      <c r="AR218">
        <f>'Grid_Stock'!AP5</f>
        <v/>
      </c>
      <c r="AS218">
        <f>'Grid_Stock'!AQ5</f>
        <v/>
      </c>
      <c r="AT218">
        <f>'Grid_Stock'!AR5</f>
        <v/>
      </c>
      <c r="AU218">
        <f>'Grid_Stock'!AS5</f>
        <v/>
      </c>
      <c r="AV218">
        <f>'Grid_Stock'!AT5</f>
        <v/>
      </c>
      <c r="AW218">
        <f>'Grid_Stock'!AU5</f>
        <v/>
      </c>
      <c r="AX218">
        <f>'Grid_Stock'!AV5</f>
        <v/>
      </c>
      <c r="AY218">
        <f>'Grid_Stock'!AW5</f>
        <v/>
      </c>
      <c r="AZ218">
        <f>'Grid_Stock'!AX5</f>
        <v/>
      </c>
      <c r="BA218">
        <f>'Grid_Stock'!AY5</f>
        <v/>
      </c>
      <c r="BB218">
        <f>'Grid_Stock'!AZ5</f>
        <v/>
      </c>
      <c r="BC218">
        <f>'Grid_Stock'!BA5</f>
        <v/>
      </c>
      <c r="BD218">
        <f>'Grid_Stock'!BB5</f>
        <v/>
      </c>
      <c r="BE218">
        <f>'Grid_Stock'!BC5</f>
        <v/>
      </c>
      <c r="BF218">
        <f>'Grid_Stock'!BD5</f>
        <v/>
      </c>
      <c r="BG218">
        <f>'Grid_Stock'!BE5</f>
        <v/>
      </c>
      <c r="BH218">
        <f>'Grid_Stock'!BF5</f>
        <v/>
      </c>
      <c r="BI218">
        <f>'Grid_Stock'!BG5</f>
        <v/>
      </c>
      <c r="BJ218">
        <f>'Grid_Stock'!BH5</f>
        <v/>
      </c>
      <c r="BK218">
        <f>'Grid_Stock'!BI5</f>
        <v/>
      </c>
      <c r="BL218">
        <f>'Grid_Stock'!BJ5</f>
        <v/>
      </c>
      <c r="BM218">
        <f>'Grid_Stock'!BK5</f>
        <v/>
      </c>
      <c r="BN218">
        <f>'Grid_Stock'!BL5</f>
        <v/>
      </c>
      <c r="BO218">
        <f>'Grid_Stock'!BM5</f>
        <v/>
      </c>
      <c r="BP218">
        <f>'Grid_Stock'!BN5</f>
        <v/>
      </c>
      <c r="BQ218">
        <f>'Grid_Stock'!BO5</f>
        <v/>
      </c>
      <c r="BR218">
        <f>'Grid_Stock'!BP5</f>
        <v/>
      </c>
      <c r="BS218">
        <f>'Grid_Stock'!BQ5</f>
        <v/>
      </c>
      <c r="BT218">
        <f>'Grid_Stock'!BR5</f>
        <v/>
      </c>
      <c r="BU218">
        <f>'Grid_Stock'!BS5</f>
        <v/>
      </c>
      <c r="BV218">
        <f>'Grid_Stock'!BT5</f>
        <v/>
      </c>
      <c r="BW218">
        <f>'Grid_Stock'!BU5</f>
        <v/>
      </c>
      <c r="BX218">
        <f>'Grid_Stock'!BV5</f>
        <v/>
      </c>
      <c r="BY218">
        <f>'Grid_Stock'!BW5</f>
        <v/>
      </c>
      <c r="BZ218">
        <f>'Grid_Stock'!BX5</f>
        <v/>
      </c>
      <c r="CA218">
        <f>'Grid_Stock'!BY5</f>
        <v/>
      </c>
      <c r="CB218">
        <f>'Grid_Stock'!BZ5</f>
        <v/>
      </c>
      <c r="CC218">
        <f>'Grid_Stock'!CA5</f>
        <v/>
      </c>
      <c r="CD218">
        <f>'Grid_Stock'!CB5</f>
        <v/>
      </c>
      <c r="CE218">
        <f>'Grid_Stock'!CC5</f>
        <v/>
      </c>
      <c r="CF218">
        <f>'Grid_Stock'!CD5</f>
        <v/>
      </c>
      <c r="CG218">
        <f>'Grid_Stock'!CE5</f>
        <v/>
      </c>
      <c r="CH218">
        <f>'Grid_Stock'!CF5</f>
        <v/>
      </c>
      <c r="CI218">
        <f>'Grid_Stock'!CG5</f>
        <v/>
      </c>
      <c r="CJ218">
        <f>'Grid_Stock'!CH5</f>
        <v/>
      </c>
      <c r="CK218">
        <f>'Grid_Stock'!CI5</f>
        <v/>
      </c>
      <c r="CL218">
        <f>'Grid_Stock'!CJ5</f>
        <v/>
      </c>
      <c r="CM218">
        <f>'Grid_Stock'!CK5</f>
        <v/>
      </c>
      <c r="CN218">
        <f>'Grid_Stock'!CL5</f>
        <v/>
      </c>
      <c r="CO218">
        <f>'Grid_Stock'!CM5</f>
        <v/>
      </c>
      <c r="CP218">
        <f>'Grid_Stock'!CN5</f>
        <v/>
      </c>
      <c r="CQ218">
        <f>'Grid_Stock'!CO5</f>
        <v/>
      </c>
      <c r="CR218">
        <f>'Grid_Stock'!CP5</f>
        <v/>
      </c>
      <c r="CS218">
        <f>'Grid_Stock'!CQ5</f>
        <v/>
      </c>
      <c r="CT218">
        <f>'Grid_Stock'!CR5</f>
        <v/>
      </c>
      <c r="CU218">
        <f>'Grid_Stock'!CS5</f>
        <v/>
      </c>
      <c r="CV218">
        <f>'Grid_Stock'!CT5</f>
        <v/>
      </c>
      <c r="CW218">
        <f>'Grid_Stock'!CU5</f>
        <v/>
      </c>
      <c r="CX218">
        <f>'Grid_Stock'!CV5</f>
        <v/>
      </c>
      <c r="CY218">
        <f>'Grid_Stock'!CW5</f>
        <v/>
      </c>
      <c r="CZ218">
        <f>'Grid_Stock'!CX5</f>
        <v/>
      </c>
      <c r="DA218">
        <f>'Grid_Stock'!CY5</f>
        <v/>
      </c>
      <c r="DB218">
        <f>'Grid_Stock'!CZ5</f>
        <v/>
      </c>
      <c r="DC218">
        <f>'Grid_Stock'!DA5</f>
        <v/>
      </c>
    </row>
    <row r="219">
      <c r="B219" s="16" t="inlineStr">
        <is>
          <t>（発注の目安はDashboardの基準在庫[下限/上限]と色分けを参照）</t>
        </is>
      </c>
    </row>
    <row r="221">
      <c r="A221" s="14" t="inlineStr">
        <is>
          <t>CHEM-1440</t>
        </is>
      </c>
      <c r="B221" s="14" t="inlineStr">
        <is>
          <t>CITRIC ACID</t>
        </is>
      </c>
      <c r="C221" s="15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14" t="n"/>
      <c r="AC221" s="14" t="n"/>
      <c r="AD221" s="14" t="n"/>
      <c r="AE221" s="14" t="n"/>
      <c r="AF221" s="14" t="n"/>
      <c r="AG221" s="14" t="n"/>
      <c r="AH221" s="14" t="n"/>
      <c r="AI221" s="14" t="n"/>
      <c r="AJ221" s="14" t="n"/>
      <c r="AK221" s="14" t="n"/>
      <c r="AL221" s="14" t="n"/>
      <c r="AM221" s="14" t="n"/>
      <c r="AN221" s="14" t="n"/>
      <c r="AO221" s="14" t="n"/>
      <c r="AP221" s="14" t="n"/>
      <c r="AQ221" s="14" t="n"/>
      <c r="AR221" s="14" t="n"/>
      <c r="AS221" s="14" t="n"/>
      <c r="AT221" s="14" t="n"/>
      <c r="AU221" s="14" t="n"/>
      <c r="AV221" s="14" t="n"/>
      <c r="AW221" s="14" t="n"/>
      <c r="AX221" s="14" t="n"/>
      <c r="AY221" s="14" t="n"/>
      <c r="AZ221" s="14" t="n"/>
      <c r="BA221" s="14" t="n"/>
      <c r="BB221" s="14" t="n"/>
      <c r="BC221" s="14" t="n"/>
      <c r="BD221" s="14" t="n"/>
      <c r="BE221" s="14" t="n"/>
      <c r="BF221" s="14" t="n"/>
      <c r="BG221" s="14" t="n"/>
      <c r="BH221" s="14" t="n"/>
      <c r="BI221" s="14" t="n"/>
      <c r="BJ221" s="14" t="n"/>
      <c r="BK221" s="14" t="n"/>
      <c r="BL221" s="14" t="n"/>
      <c r="BM221" s="14" t="n"/>
      <c r="BN221" s="14" t="n"/>
      <c r="BO221" s="14" t="n"/>
      <c r="BP221" s="14" t="n"/>
      <c r="BQ221" s="14" t="n"/>
      <c r="BR221" s="14" t="n"/>
      <c r="BS221" s="14" t="n"/>
      <c r="BT221" s="14" t="n"/>
      <c r="BU221" s="14" t="n"/>
      <c r="BV221" s="14" t="n"/>
      <c r="BW221" s="14" t="n"/>
      <c r="BX221" s="14" t="n"/>
      <c r="BY221" s="14" t="n"/>
      <c r="BZ221" s="14" t="n"/>
      <c r="CA221" s="14" t="n"/>
      <c r="CB221" s="14" t="n"/>
      <c r="CC221" s="14" t="n"/>
      <c r="CD221" s="14" t="n"/>
      <c r="CE221" s="14" t="n"/>
      <c r="CF221" s="14" t="n"/>
      <c r="CG221" s="14" t="n"/>
      <c r="CH221" s="14" t="n"/>
      <c r="CI221" s="14" t="n"/>
      <c r="CJ221" s="14" t="n"/>
      <c r="CK221" s="14" t="n"/>
      <c r="CL221" s="14" t="n"/>
      <c r="CM221" s="14" t="n"/>
      <c r="CN221" s="14" t="n"/>
      <c r="CO221" s="14" t="n"/>
      <c r="CP221" s="14" t="n"/>
      <c r="CQ221" s="14" t="n"/>
      <c r="CR221" s="14" t="n"/>
      <c r="CS221" s="14" t="n"/>
      <c r="CT221" s="14" t="n"/>
      <c r="CU221" s="14" t="n"/>
      <c r="CV221" s="14" t="n"/>
      <c r="CW221" s="14" t="n"/>
      <c r="CX221" s="14" t="n"/>
      <c r="CY221" s="14" t="n"/>
      <c r="CZ221" s="14" t="n"/>
      <c r="DA221" s="14" t="n"/>
      <c r="DB221" s="14" t="n"/>
      <c r="DC221" s="14" t="n"/>
    </row>
    <row r="222">
      <c r="B222" t="inlineStr">
        <is>
          <t>TSP-049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Name],$A221)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TSP-067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Name],$A221)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TSP-069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Name],$A221)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TSP-077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Name],$A221)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TSP-104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Name],$A221)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TSP-199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Name],$A221)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TSP-205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Name],$A221)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TSP-206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Name],$A221)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TSP-224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Name],$A221)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TSP-367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Name],$A221)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TSP-369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Name],$A221)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TSP-390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Name],$A221)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TSP-399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Name],$A221)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TSP-544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Name],$A221)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TSP-618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Name],$A221)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TSP-620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Name],$A221)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TSP-623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Name],$A221)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Name],$A221)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TSP-669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Name],$A221)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TSP-670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Name],$A221)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TSP-699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Name],$A221)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TSP-710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Name],$A221)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TSP-828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Name],$A221)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TSP-903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Name],$A221)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TSP-924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Name],$A221)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TSP-925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Name],$A221)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TSP-927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Name],$A221)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TSP-928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Name],$A221)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TSP-929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Name],$A221)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TSP-930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Name],$A221)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Name],$A221)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TSP-935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Name],$A221)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TSP-936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Name],$A221)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TSP-937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Name],$A221)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TSP-1388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Name],$A221)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TSP-1444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Name],$A221)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TSP-1448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Name],$A221)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TSP-1445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Name],$A221)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TSP-1446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Name],$A221)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TSP-1449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Name],$A221)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VSP-567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Name],$A221)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VSP-600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Name],$A221)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VSP-602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Name],$A221)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VSP-603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Name],$A221)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Name],$A221)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Name],$A221)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Name],$A221)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VSP-739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Name],$A221)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VSP-740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Name],$A221)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VSP-746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Name],$A221)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VSP-822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Name],$A221)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VSP-870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Name],$A221)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VSP-910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Name],$A221)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VSP-989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Name],$A221)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Name],$A221)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Name],$A221)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TSP-1558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7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Name],$A221)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s="4" t="inlineStr">
        <is>
          <t>合計使用量(kg)/週</t>
        </is>
      </c>
      <c r="D336">
        <f>'Grid_Requirement'!B10</f>
        <v/>
      </c>
      <c r="E336">
        <f>'Grid_Requirement'!C10</f>
        <v/>
      </c>
      <c r="F336">
        <f>'Grid_Requirement'!D10</f>
        <v/>
      </c>
      <c r="G336">
        <f>'Grid_Requirement'!E10</f>
        <v/>
      </c>
      <c r="H336">
        <f>'Grid_Requirement'!F10</f>
        <v/>
      </c>
      <c r="I336">
        <f>'Grid_Requirement'!G10</f>
        <v/>
      </c>
      <c r="J336">
        <f>'Grid_Requirement'!H10</f>
        <v/>
      </c>
      <c r="K336">
        <f>'Grid_Requirement'!I10</f>
        <v/>
      </c>
      <c r="L336">
        <f>'Grid_Requirement'!J10</f>
        <v/>
      </c>
      <c r="M336">
        <f>'Grid_Requirement'!K10</f>
        <v/>
      </c>
      <c r="N336">
        <f>'Grid_Requirement'!L10</f>
        <v/>
      </c>
      <c r="O336">
        <f>'Grid_Requirement'!M10</f>
        <v/>
      </c>
      <c r="P336">
        <f>'Grid_Requirement'!N10</f>
        <v/>
      </c>
      <c r="Q336">
        <f>'Grid_Requirement'!O10</f>
        <v/>
      </c>
      <c r="R336">
        <f>'Grid_Requirement'!P10</f>
        <v/>
      </c>
      <c r="S336">
        <f>'Grid_Requirement'!Q10</f>
        <v/>
      </c>
      <c r="T336">
        <f>'Grid_Requirement'!R10</f>
        <v/>
      </c>
      <c r="U336">
        <f>'Grid_Requirement'!S10</f>
        <v/>
      </c>
      <c r="V336">
        <f>'Grid_Requirement'!T10</f>
        <v/>
      </c>
      <c r="W336">
        <f>'Grid_Requirement'!U10</f>
        <v/>
      </c>
      <c r="X336">
        <f>'Grid_Requirement'!V10</f>
        <v/>
      </c>
      <c r="Y336">
        <f>'Grid_Requirement'!W10</f>
        <v/>
      </c>
      <c r="Z336">
        <f>'Grid_Requirement'!X10</f>
        <v/>
      </c>
      <c r="AA336">
        <f>'Grid_Requirement'!Y10</f>
        <v/>
      </c>
      <c r="AB336">
        <f>'Grid_Requirement'!Z10</f>
        <v/>
      </c>
      <c r="AC336">
        <f>'Grid_Requirement'!AA10</f>
        <v/>
      </c>
      <c r="AD336">
        <f>'Grid_Requirement'!AB10</f>
        <v/>
      </c>
      <c r="AE336">
        <f>'Grid_Requirement'!AC10</f>
        <v/>
      </c>
      <c r="AF336">
        <f>'Grid_Requirement'!AD10</f>
        <v/>
      </c>
      <c r="AG336">
        <f>'Grid_Requirement'!AE10</f>
        <v/>
      </c>
      <c r="AH336">
        <f>'Grid_Requirement'!AF10</f>
        <v/>
      </c>
      <c r="AI336">
        <f>'Grid_Requirement'!AG10</f>
        <v/>
      </c>
      <c r="AJ336">
        <f>'Grid_Requirement'!AH10</f>
        <v/>
      </c>
      <c r="AK336">
        <f>'Grid_Requirement'!AI10</f>
        <v/>
      </c>
      <c r="AL336">
        <f>'Grid_Requirement'!AJ10</f>
        <v/>
      </c>
      <c r="AM336">
        <f>'Grid_Requirement'!AK10</f>
        <v/>
      </c>
      <c r="AN336">
        <f>'Grid_Requirement'!AL10</f>
        <v/>
      </c>
      <c r="AO336">
        <f>'Grid_Requirement'!AM10</f>
        <v/>
      </c>
      <c r="AP336">
        <f>'Grid_Requirement'!AN10</f>
        <v/>
      </c>
      <c r="AQ336">
        <f>'Grid_Requirement'!AO10</f>
        <v/>
      </c>
      <c r="AR336">
        <f>'Grid_Requirement'!AP10</f>
        <v/>
      </c>
      <c r="AS336">
        <f>'Grid_Requirement'!AQ10</f>
        <v/>
      </c>
      <c r="AT336">
        <f>'Grid_Requirement'!AR10</f>
        <v/>
      </c>
      <c r="AU336">
        <f>'Grid_Requirement'!AS10</f>
        <v/>
      </c>
      <c r="AV336">
        <f>'Grid_Requirement'!AT10</f>
        <v/>
      </c>
      <c r="AW336">
        <f>'Grid_Requirement'!AU10</f>
        <v/>
      </c>
      <c r="AX336">
        <f>'Grid_Requirement'!AV10</f>
        <v/>
      </c>
      <c r="AY336">
        <f>'Grid_Requirement'!AW10</f>
        <v/>
      </c>
      <c r="AZ336">
        <f>'Grid_Requirement'!AX10</f>
        <v/>
      </c>
      <c r="BA336">
        <f>'Grid_Requirement'!AY10</f>
        <v/>
      </c>
      <c r="BB336">
        <f>'Grid_Requirement'!AZ10</f>
        <v/>
      </c>
      <c r="BC336">
        <f>'Grid_Requirement'!BA10</f>
        <v/>
      </c>
      <c r="BD336">
        <f>'Grid_Requirement'!BB10</f>
        <v/>
      </c>
      <c r="BE336">
        <f>'Grid_Requirement'!BC10</f>
        <v/>
      </c>
      <c r="BF336">
        <f>'Grid_Requirement'!BD10</f>
        <v/>
      </c>
      <c r="BG336">
        <f>'Grid_Requirement'!BE10</f>
        <v/>
      </c>
      <c r="BH336">
        <f>'Grid_Requirement'!BF10</f>
        <v/>
      </c>
      <c r="BI336">
        <f>'Grid_Requirement'!BG10</f>
        <v/>
      </c>
      <c r="BJ336">
        <f>'Grid_Requirement'!BH10</f>
        <v/>
      </c>
      <c r="BK336">
        <f>'Grid_Requirement'!BI10</f>
        <v/>
      </c>
      <c r="BL336">
        <f>'Grid_Requirement'!BJ10</f>
        <v/>
      </c>
      <c r="BM336">
        <f>'Grid_Requirement'!BK10</f>
        <v/>
      </c>
      <c r="BN336">
        <f>'Grid_Requirement'!BL10</f>
        <v/>
      </c>
      <c r="BO336">
        <f>'Grid_Requirement'!BM10</f>
        <v/>
      </c>
      <c r="BP336">
        <f>'Grid_Requirement'!BN10</f>
        <v/>
      </c>
      <c r="BQ336">
        <f>'Grid_Requirement'!BO10</f>
        <v/>
      </c>
      <c r="BR336">
        <f>'Grid_Requirement'!BP10</f>
        <v/>
      </c>
      <c r="BS336">
        <f>'Grid_Requirement'!BQ10</f>
        <v/>
      </c>
      <c r="BT336">
        <f>'Grid_Requirement'!BR10</f>
        <v/>
      </c>
      <c r="BU336">
        <f>'Grid_Requirement'!BS10</f>
        <v/>
      </c>
      <c r="BV336">
        <f>'Grid_Requirement'!BT10</f>
        <v/>
      </c>
      <c r="BW336">
        <f>'Grid_Requirement'!BU10</f>
        <v/>
      </c>
      <c r="BX336">
        <f>'Grid_Requirement'!BV10</f>
        <v/>
      </c>
      <c r="BY336">
        <f>'Grid_Requirement'!BW10</f>
        <v/>
      </c>
      <c r="BZ336">
        <f>'Grid_Requirement'!BX10</f>
        <v/>
      </c>
      <c r="CA336">
        <f>'Grid_Requirement'!BY10</f>
        <v/>
      </c>
      <c r="CB336">
        <f>'Grid_Requirement'!BZ10</f>
        <v/>
      </c>
      <c r="CC336">
        <f>'Grid_Requirement'!CA10</f>
        <v/>
      </c>
      <c r="CD336">
        <f>'Grid_Requirement'!CB10</f>
        <v/>
      </c>
      <c r="CE336">
        <f>'Grid_Requirement'!CC10</f>
        <v/>
      </c>
      <c r="CF336">
        <f>'Grid_Requirement'!CD10</f>
        <v/>
      </c>
      <c r="CG336">
        <f>'Grid_Requirement'!CE10</f>
        <v/>
      </c>
      <c r="CH336">
        <f>'Grid_Requirement'!CF10</f>
        <v/>
      </c>
      <c r="CI336">
        <f>'Grid_Requirement'!CG10</f>
        <v/>
      </c>
      <c r="CJ336">
        <f>'Grid_Requirement'!CH10</f>
        <v/>
      </c>
      <c r="CK336">
        <f>'Grid_Requirement'!CI10</f>
        <v/>
      </c>
      <c r="CL336">
        <f>'Grid_Requirement'!CJ10</f>
        <v/>
      </c>
      <c r="CM336">
        <f>'Grid_Requirement'!CK10</f>
        <v/>
      </c>
      <c r="CN336">
        <f>'Grid_Requirement'!CL10</f>
        <v/>
      </c>
      <c r="CO336">
        <f>'Grid_Requirement'!CM10</f>
        <v/>
      </c>
      <c r="CP336">
        <f>'Grid_Requirement'!CN10</f>
        <v/>
      </c>
      <c r="CQ336">
        <f>'Grid_Requirement'!CO10</f>
        <v/>
      </c>
      <c r="CR336">
        <f>'Grid_Requirement'!CP10</f>
        <v/>
      </c>
      <c r="CS336">
        <f>'Grid_Requirement'!CQ10</f>
        <v/>
      </c>
      <c r="CT336">
        <f>'Grid_Requirement'!CR10</f>
        <v/>
      </c>
      <c r="CU336">
        <f>'Grid_Requirement'!CS10</f>
        <v/>
      </c>
      <c r="CV336">
        <f>'Grid_Requirement'!CT10</f>
        <v/>
      </c>
      <c r="CW336">
        <f>'Grid_Requirement'!CU10</f>
        <v/>
      </c>
      <c r="CX336">
        <f>'Grid_Requirement'!CV10</f>
        <v/>
      </c>
      <c r="CY336">
        <f>'Grid_Requirement'!CW10</f>
        <v/>
      </c>
      <c r="CZ336">
        <f>'Grid_Requirement'!CX10</f>
        <v/>
      </c>
      <c r="DA336">
        <f>'Grid_Requirement'!CY10</f>
        <v/>
      </c>
      <c r="DB336">
        <f>'Grid_Requirement'!CZ10</f>
        <v/>
      </c>
      <c r="DC336">
        <f>'Grid_Requirement'!DA10</f>
        <v/>
      </c>
    </row>
    <row r="337">
      <c r="B337" t="inlineStr">
        <is>
          <t>TTAF在庫(実績,kg)</t>
        </is>
      </c>
      <c r="D337">
        <f>'T_TTAFStock'!B14</f>
        <v/>
      </c>
      <c r="E337">
        <f>'T_TTAFStock'!C14</f>
        <v/>
      </c>
      <c r="F337">
        <f>'T_TTAFStock'!D14</f>
        <v/>
      </c>
      <c r="G337">
        <f>'T_TTAFStock'!E14</f>
        <v/>
      </c>
      <c r="H337">
        <f>'T_TTAFStock'!F14</f>
        <v/>
      </c>
      <c r="I337">
        <f>'T_TTAFStock'!G14</f>
        <v/>
      </c>
      <c r="J337">
        <f>'T_TTAFStock'!H14</f>
        <v/>
      </c>
      <c r="K337">
        <f>'T_TTAFStock'!I14</f>
        <v/>
      </c>
      <c r="L337">
        <f>'T_TTAFStock'!J14</f>
        <v/>
      </c>
      <c r="M337">
        <f>'T_TTAFStock'!K14</f>
        <v/>
      </c>
      <c r="N337">
        <f>'T_TTAFStock'!L14</f>
        <v/>
      </c>
      <c r="O337">
        <f>'T_TTAFStock'!M14</f>
        <v/>
      </c>
      <c r="P337">
        <f>'T_TTAFStock'!N14</f>
        <v/>
      </c>
      <c r="Q337">
        <f>'T_TTAFStock'!O14</f>
        <v/>
      </c>
      <c r="R337">
        <f>'T_TTAFStock'!P14</f>
        <v/>
      </c>
      <c r="S337">
        <f>'T_TTAFStock'!Q14</f>
        <v/>
      </c>
      <c r="T337">
        <f>'T_TTAFStock'!R14</f>
        <v/>
      </c>
      <c r="U337">
        <f>'T_TTAFStock'!S14</f>
        <v/>
      </c>
      <c r="V337">
        <f>'T_TTAFStock'!T14</f>
        <v/>
      </c>
      <c r="W337">
        <f>'T_TTAFStock'!U14</f>
        <v/>
      </c>
      <c r="X337">
        <f>'T_TTAFStock'!V14</f>
        <v/>
      </c>
      <c r="Y337">
        <f>'T_TTAFStock'!W14</f>
        <v/>
      </c>
      <c r="Z337">
        <f>'T_TTAFStock'!X14</f>
        <v/>
      </c>
      <c r="AA337">
        <f>'T_TTAFStock'!Y14</f>
        <v/>
      </c>
      <c r="AB337">
        <f>'T_TTAFStock'!Z14</f>
        <v/>
      </c>
      <c r="AC337">
        <f>'T_TTAFStock'!AA14</f>
        <v/>
      </c>
      <c r="AD337">
        <f>'T_TTAFStock'!AB14</f>
        <v/>
      </c>
      <c r="AE337">
        <f>'T_TTAFStock'!AC14</f>
        <v/>
      </c>
      <c r="AF337">
        <f>'T_TTAFStock'!AD14</f>
        <v/>
      </c>
      <c r="AG337">
        <f>'T_TTAFStock'!AE14</f>
        <v/>
      </c>
      <c r="AH337">
        <f>'T_TTAFStock'!AF14</f>
        <v/>
      </c>
      <c r="AI337">
        <f>'T_TTAFStock'!AG14</f>
        <v/>
      </c>
      <c r="AJ337">
        <f>'T_TTAFStock'!AH14</f>
        <v/>
      </c>
      <c r="AK337">
        <f>'T_TTAFStock'!AI14</f>
        <v/>
      </c>
      <c r="AL337">
        <f>'T_TTAFStock'!AJ14</f>
        <v/>
      </c>
      <c r="AM337">
        <f>'T_TTAFStock'!AK14</f>
        <v/>
      </c>
      <c r="AN337">
        <f>'T_TTAFStock'!AL14</f>
        <v/>
      </c>
      <c r="AO337">
        <f>'T_TTAFStock'!AM14</f>
        <v/>
      </c>
      <c r="AP337">
        <f>'T_TTAFStock'!AN14</f>
        <v/>
      </c>
      <c r="AQ337">
        <f>'T_TTAFStock'!AO14</f>
        <v/>
      </c>
      <c r="AR337">
        <f>'T_TTAFStock'!AP14</f>
        <v/>
      </c>
      <c r="AS337">
        <f>'T_TTAFStock'!AQ14</f>
        <v/>
      </c>
      <c r="AT337">
        <f>'T_TTAFStock'!AR14</f>
        <v/>
      </c>
      <c r="AU337">
        <f>'T_TTAFStock'!AS14</f>
        <v/>
      </c>
      <c r="AV337">
        <f>'T_TTAFStock'!AT14</f>
        <v/>
      </c>
      <c r="AW337">
        <f>'T_TTAFStock'!AU14</f>
        <v/>
      </c>
      <c r="AX337">
        <f>'T_TTAFStock'!AV14</f>
        <v/>
      </c>
      <c r="AY337">
        <f>'T_TTAFStock'!AW14</f>
        <v/>
      </c>
      <c r="AZ337">
        <f>'T_TTAFStock'!AX14</f>
        <v/>
      </c>
      <c r="BA337">
        <f>'T_TTAFStock'!AY14</f>
        <v/>
      </c>
      <c r="BB337">
        <f>'T_TTAFStock'!AZ14</f>
        <v/>
      </c>
      <c r="BC337">
        <f>'T_TTAFStock'!BA14</f>
        <v/>
      </c>
      <c r="BD337">
        <f>'T_TTAFStock'!BB14</f>
        <v/>
      </c>
      <c r="BE337">
        <f>'T_TTAFStock'!BC14</f>
        <v/>
      </c>
      <c r="BF337">
        <f>'T_TTAFStock'!BD14</f>
        <v/>
      </c>
      <c r="BG337">
        <f>'T_TTAFStock'!BE14</f>
        <v/>
      </c>
      <c r="BH337">
        <f>'T_TTAFStock'!BF14</f>
        <v/>
      </c>
      <c r="BI337">
        <f>'T_TTAFStock'!BG14</f>
        <v/>
      </c>
      <c r="BJ337">
        <f>'T_TTAFStock'!BH14</f>
        <v/>
      </c>
      <c r="BK337">
        <f>'T_TTAFStock'!BI14</f>
        <v/>
      </c>
      <c r="BL337">
        <f>'T_TTAFStock'!BJ14</f>
        <v/>
      </c>
      <c r="BM337">
        <f>'T_TTAFStock'!BK14</f>
        <v/>
      </c>
      <c r="BN337">
        <f>'T_TTAFStock'!BL14</f>
        <v/>
      </c>
      <c r="BO337">
        <f>'T_TTAFStock'!BM14</f>
        <v/>
      </c>
      <c r="BP337">
        <f>'T_TTAFStock'!BN14</f>
        <v/>
      </c>
      <c r="BQ337">
        <f>'T_TTAFStock'!BO14</f>
        <v/>
      </c>
      <c r="BR337">
        <f>'T_TTAFStock'!BP14</f>
        <v/>
      </c>
      <c r="BS337">
        <f>'T_TTAFStock'!BQ14</f>
        <v/>
      </c>
      <c r="BT337">
        <f>'T_TTAFStock'!BR14</f>
        <v/>
      </c>
      <c r="BU337">
        <f>'T_TTAFStock'!BS14</f>
        <v/>
      </c>
      <c r="BV337">
        <f>'T_TTAFStock'!BT14</f>
        <v/>
      </c>
      <c r="BW337">
        <f>'T_TTAFStock'!BU14</f>
        <v/>
      </c>
      <c r="BX337">
        <f>'T_TTAFStock'!BV14</f>
        <v/>
      </c>
      <c r="BY337">
        <f>'T_TTAFStock'!BW14</f>
        <v/>
      </c>
      <c r="BZ337">
        <f>'T_TTAFStock'!BX14</f>
        <v/>
      </c>
      <c r="CA337">
        <f>'T_TTAFStock'!BY14</f>
        <v/>
      </c>
      <c r="CB337">
        <f>'T_TTAFStock'!BZ14</f>
        <v/>
      </c>
      <c r="CC337">
        <f>'T_TTAFStock'!CA14</f>
        <v/>
      </c>
      <c r="CD337">
        <f>'T_TTAFStock'!CB14</f>
        <v/>
      </c>
      <c r="CE337">
        <f>'T_TTAFStock'!CC14</f>
        <v/>
      </c>
      <c r="CF337">
        <f>'T_TTAFStock'!CD14</f>
        <v/>
      </c>
      <c r="CG337">
        <f>'T_TTAFStock'!CE14</f>
        <v/>
      </c>
      <c r="CH337">
        <f>'T_TTAFStock'!CF14</f>
        <v/>
      </c>
      <c r="CI337">
        <f>'T_TTAFStock'!CG14</f>
        <v/>
      </c>
      <c r="CJ337">
        <f>'T_TTAFStock'!CH14</f>
        <v/>
      </c>
      <c r="CK337">
        <f>'T_TTAFStock'!CI14</f>
        <v/>
      </c>
      <c r="CL337">
        <f>'T_TTAFStock'!CJ14</f>
        <v/>
      </c>
      <c r="CM337">
        <f>'T_TTAFStock'!CK14</f>
        <v/>
      </c>
      <c r="CN337">
        <f>'T_TTAFStock'!CL14</f>
        <v/>
      </c>
      <c r="CO337">
        <f>'T_TTAFStock'!CM14</f>
        <v/>
      </c>
      <c r="CP337">
        <f>'T_TTAFStock'!CN14</f>
        <v/>
      </c>
      <c r="CQ337">
        <f>'T_TTAFStock'!CO14</f>
        <v/>
      </c>
      <c r="CR337">
        <f>'T_TTAFStock'!CP14</f>
        <v/>
      </c>
      <c r="CS337">
        <f>'T_TTAFStock'!CQ14</f>
        <v/>
      </c>
      <c r="CT337">
        <f>'T_TTAFStock'!CR14</f>
        <v/>
      </c>
      <c r="CU337">
        <f>'T_TTAFStock'!CS14</f>
        <v/>
      </c>
      <c r="CV337">
        <f>'T_TTAFStock'!CT14</f>
        <v/>
      </c>
      <c r="CW337">
        <f>'T_TTAFStock'!CU14</f>
        <v/>
      </c>
      <c r="CX337">
        <f>'T_TTAFStock'!CV14</f>
        <v/>
      </c>
      <c r="CY337">
        <f>'T_TTAFStock'!CW14</f>
        <v/>
      </c>
      <c r="CZ337">
        <f>'T_TTAFStock'!CX14</f>
        <v/>
      </c>
      <c r="DA337">
        <f>'T_TTAFStock'!CY14</f>
        <v/>
      </c>
      <c r="DB337">
        <f>'T_TTAFStock'!CZ14</f>
        <v/>
      </c>
      <c r="DC337">
        <f>'T_TTAFStock'!DA14</f>
        <v/>
      </c>
    </row>
    <row r="338">
      <c r="B338" t="inlineStr">
        <is>
          <t>自社在庫(実績,kg)</t>
        </is>
      </c>
      <c r="D338">
        <f>'T_SelfStock'!B14</f>
        <v/>
      </c>
      <c r="E338">
        <f>'T_SelfStock'!C14</f>
        <v/>
      </c>
      <c r="F338">
        <f>'T_SelfStock'!D14</f>
        <v/>
      </c>
      <c r="G338">
        <f>'T_SelfStock'!E14</f>
        <v/>
      </c>
      <c r="H338">
        <f>'T_SelfStock'!F14</f>
        <v/>
      </c>
      <c r="I338">
        <f>'T_SelfStock'!G14</f>
        <v/>
      </c>
      <c r="J338">
        <f>'T_SelfStock'!H14</f>
        <v/>
      </c>
      <c r="K338">
        <f>'T_SelfStock'!I14</f>
        <v/>
      </c>
      <c r="L338">
        <f>'T_SelfStock'!J14</f>
        <v/>
      </c>
      <c r="M338">
        <f>'T_SelfStock'!K14</f>
        <v/>
      </c>
      <c r="N338">
        <f>'T_SelfStock'!L14</f>
        <v/>
      </c>
      <c r="O338">
        <f>'T_SelfStock'!M14</f>
        <v/>
      </c>
      <c r="P338">
        <f>'T_SelfStock'!N14</f>
        <v/>
      </c>
      <c r="Q338">
        <f>'T_SelfStock'!O14</f>
        <v/>
      </c>
      <c r="R338">
        <f>'T_SelfStock'!P14</f>
        <v/>
      </c>
      <c r="S338">
        <f>'T_SelfStock'!Q14</f>
        <v/>
      </c>
      <c r="T338">
        <f>'T_SelfStock'!R14</f>
        <v/>
      </c>
      <c r="U338">
        <f>'T_SelfStock'!S14</f>
        <v/>
      </c>
      <c r="V338">
        <f>'T_SelfStock'!T14</f>
        <v/>
      </c>
      <c r="W338">
        <f>'T_SelfStock'!U14</f>
        <v/>
      </c>
      <c r="X338">
        <f>'T_SelfStock'!V14</f>
        <v/>
      </c>
      <c r="Y338">
        <f>'T_SelfStock'!W14</f>
        <v/>
      </c>
      <c r="Z338">
        <f>'T_SelfStock'!X14</f>
        <v/>
      </c>
      <c r="AA338">
        <f>'T_SelfStock'!Y14</f>
        <v/>
      </c>
      <c r="AB338">
        <f>'T_SelfStock'!Z14</f>
        <v/>
      </c>
      <c r="AC338">
        <f>'T_SelfStock'!AA14</f>
        <v/>
      </c>
      <c r="AD338">
        <f>'T_SelfStock'!AB14</f>
        <v/>
      </c>
      <c r="AE338">
        <f>'T_SelfStock'!AC14</f>
        <v/>
      </c>
      <c r="AF338">
        <f>'T_SelfStock'!AD14</f>
        <v/>
      </c>
      <c r="AG338">
        <f>'T_SelfStock'!AE14</f>
        <v/>
      </c>
      <c r="AH338">
        <f>'T_SelfStock'!AF14</f>
        <v/>
      </c>
      <c r="AI338">
        <f>'T_SelfStock'!AG14</f>
        <v/>
      </c>
      <c r="AJ338">
        <f>'T_SelfStock'!AH14</f>
        <v/>
      </c>
      <c r="AK338">
        <f>'T_SelfStock'!AI14</f>
        <v/>
      </c>
      <c r="AL338">
        <f>'T_SelfStock'!AJ14</f>
        <v/>
      </c>
      <c r="AM338">
        <f>'T_SelfStock'!AK14</f>
        <v/>
      </c>
      <c r="AN338">
        <f>'T_SelfStock'!AL14</f>
        <v/>
      </c>
      <c r="AO338">
        <f>'T_SelfStock'!AM14</f>
        <v/>
      </c>
      <c r="AP338">
        <f>'T_SelfStock'!AN14</f>
        <v/>
      </c>
      <c r="AQ338">
        <f>'T_SelfStock'!AO14</f>
        <v/>
      </c>
      <c r="AR338">
        <f>'T_SelfStock'!AP14</f>
        <v/>
      </c>
      <c r="AS338">
        <f>'T_SelfStock'!AQ14</f>
        <v/>
      </c>
      <c r="AT338">
        <f>'T_SelfStock'!AR14</f>
        <v/>
      </c>
      <c r="AU338">
        <f>'T_SelfStock'!AS14</f>
        <v/>
      </c>
      <c r="AV338">
        <f>'T_SelfStock'!AT14</f>
        <v/>
      </c>
      <c r="AW338">
        <f>'T_SelfStock'!AU14</f>
        <v/>
      </c>
      <c r="AX338">
        <f>'T_SelfStock'!AV14</f>
        <v/>
      </c>
      <c r="AY338">
        <f>'T_SelfStock'!AW14</f>
        <v/>
      </c>
      <c r="AZ338">
        <f>'T_SelfStock'!AX14</f>
        <v/>
      </c>
      <c r="BA338">
        <f>'T_SelfStock'!AY14</f>
        <v/>
      </c>
      <c r="BB338">
        <f>'T_SelfStock'!AZ14</f>
        <v/>
      </c>
      <c r="BC338">
        <f>'T_SelfStock'!BA14</f>
        <v/>
      </c>
      <c r="BD338">
        <f>'T_SelfStock'!BB14</f>
        <v/>
      </c>
      <c r="BE338">
        <f>'T_SelfStock'!BC14</f>
        <v/>
      </c>
      <c r="BF338">
        <f>'T_SelfStock'!BD14</f>
        <v/>
      </c>
      <c r="BG338">
        <f>'T_SelfStock'!BE14</f>
        <v/>
      </c>
      <c r="BH338">
        <f>'T_SelfStock'!BF14</f>
        <v/>
      </c>
      <c r="BI338">
        <f>'T_SelfStock'!BG14</f>
        <v/>
      </c>
      <c r="BJ338">
        <f>'T_SelfStock'!BH14</f>
        <v/>
      </c>
      <c r="BK338">
        <f>'T_SelfStock'!BI14</f>
        <v/>
      </c>
      <c r="BL338">
        <f>'T_SelfStock'!BJ14</f>
        <v/>
      </c>
      <c r="BM338">
        <f>'T_SelfStock'!BK14</f>
        <v/>
      </c>
      <c r="BN338">
        <f>'T_SelfStock'!BL14</f>
        <v/>
      </c>
      <c r="BO338">
        <f>'T_SelfStock'!BM14</f>
        <v/>
      </c>
      <c r="BP338">
        <f>'T_SelfStock'!BN14</f>
        <v/>
      </c>
      <c r="BQ338">
        <f>'T_SelfStock'!BO14</f>
        <v/>
      </c>
      <c r="BR338">
        <f>'T_SelfStock'!BP14</f>
        <v/>
      </c>
      <c r="BS338">
        <f>'T_SelfStock'!BQ14</f>
        <v/>
      </c>
      <c r="BT338">
        <f>'T_SelfStock'!BR14</f>
        <v/>
      </c>
      <c r="BU338">
        <f>'T_SelfStock'!BS14</f>
        <v/>
      </c>
      <c r="BV338">
        <f>'T_SelfStock'!BT14</f>
        <v/>
      </c>
      <c r="BW338">
        <f>'T_SelfStock'!BU14</f>
        <v/>
      </c>
      <c r="BX338">
        <f>'T_SelfStock'!BV14</f>
        <v/>
      </c>
      <c r="BY338">
        <f>'T_SelfStock'!BW14</f>
        <v/>
      </c>
      <c r="BZ338">
        <f>'T_SelfStock'!BX14</f>
        <v/>
      </c>
      <c r="CA338">
        <f>'T_SelfStock'!BY14</f>
        <v/>
      </c>
      <c r="CB338">
        <f>'T_SelfStock'!BZ14</f>
        <v/>
      </c>
      <c r="CC338">
        <f>'T_SelfStock'!CA14</f>
        <v/>
      </c>
      <c r="CD338">
        <f>'T_SelfStock'!CB14</f>
        <v/>
      </c>
      <c r="CE338">
        <f>'T_SelfStock'!CC14</f>
        <v/>
      </c>
      <c r="CF338">
        <f>'T_SelfStock'!CD14</f>
        <v/>
      </c>
      <c r="CG338">
        <f>'T_SelfStock'!CE14</f>
        <v/>
      </c>
      <c r="CH338">
        <f>'T_SelfStock'!CF14</f>
        <v/>
      </c>
      <c r="CI338">
        <f>'T_SelfStock'!CG14</f>
        <v/>
      </c>
      <c r="CJ338">
        <f>'T_SelfStock'!CH14</f>
        <v/>
      </c>
      <c r="CK338">
        <f>'T_SelfStock'!CI14</f>
        <v/>
      </c>
      <c r="CL338">
        <f>'T_SelfStock'!CJ14</f>
        <v/>
      </c>
      <c r="CM338">
        <f>'T_SelfStock'!CK14</f>
        <v/>
      </c>
      <c r="CN338">
        <f>'T_SelfStock'!CL14</f>
        <v/>
      </c>
      <c r="CO338">
        <f>'T_SelfStock'!CM14</f>
        <v/>
      </c>
      <c r="CP338">
        <f>'T_SelfStock'!CN14</f>
        <v/>
      </c>
      <c r="CQ338">
        <f>'T_SelfStock'!CO14</f>
        <v/>
      </c>
      <c r="CR338">
        <f>'T_SelfStock'!CP14</f>
        <v/>
      </c>
      <c r="CS338">
        <f>'T_SelfStock'!CQ14</f>
        <v/>
      </c>
      <c r="CT338">
        <f>'T_SelfStock'!CR14</f>
        <v/>
      </c>
      <c r="CU338">
        <f>'T_SelfStock'!CS14</f>
        <v/>
      </c>
      <c r="CV338">
        <f>'T_SelfStock'!CT14</f>
        <v/>
      </c>
      <c r="CW338">
        <f>'T_SelfStock'!CU14</f>
        <v/>
      </c>
      <c r="CX338">
        <f>'T_SelfStock'!CV14</f>
        <v/>
      </c>
      <c r="CY338">
        <f>'T_SelfStock'!CW14</f>
        <v/>
      </c>
      <c r="CZ338">
        <f>'T_SelfStock'!CX14</f>
        <v/>
      </c>
      <c r="DA338">
        <f>'T_SelfStock'!CY14</f>
        <v/>
      </c>
      <c r="DB338">
        <f>'T_SelfStock'!CZ14</f>
        <v/>
      </c>
      <c r="DC338">
        <f>'T_SelfStock'!DA14</f>
        <v/>
      </c>
    </row>
    <row r="339">
      <c r="B339" t="inlineStr">
        <is>
          <t>Order(発注予定,kg)</t>
        </is>
      </c>
      <c r="D339">
        <f>IF(SUMIFS(T_PlannedOrders[EffectiveQty],T_PlannedOrders[Part Name],$A221,T_PlannedOrders[WeekIndex],1)=0,"",SUMIFS(T_PlannedOrders[EffectiveQty],T_PlannedOrders[Part Name],$A221,T_PlannedOrders[WeekIndex],1)&amp;" ("&amp;TEXT(SUMPRODUCT(MAX((T_PlannedOrders[Part Name]=$A221)*(T_PlannedOrders[WeekIndex]=1)*(T_PlannedOrders[EffectiveQty]&gt;0)*T_PlannedOrders[Order_Month])),"m月")&amp;"発注)")</f>
        <v/>
      </c>
      <c r="E339">
        <f>IF(SUMIFS(T_PlannedOrders[EffectiveQty],T_PlannedOrders[Part Name],$A221,T_PlannedOrders[WeekIndex],2)=0,"",SUMIFS(T_PlannedOrders[EffectiveQty],T_PlannedOrders[Part Name],$A221,T_PlannedOrders[WeekIndex],2)&amp;" ("&amp;TEXT(SUMPRODUCT(MAX((T_PlannedOrders[Part Name]=$A221)*(T_PlannedOrders[WeekIndex]=2)*(T_PlannedOrders[EffectiveQty]&gt;0)*T_PlannedOrders[Order_Month])),"m月")&amp;"発注)")</f>
        <v/>
      </c>
      <c r="F339">
        <f>IF(SUMIFS(T_PlannedOrders[EffectiveQty],T_PlannedOrders[Part Name],$A221,T_PlannedOrders[WeekIndex],3)=0,"",SUMIFS(T_PlannedOrders[EffectiveQty],T_PlannedOrders[Part Name],$A221,T_PlannedOrders[WeekIndex],3)&amp;" ("&amp;TEXT(SUMPRODUCT(MAX((T_PlannedOrders[Part Name]=$A221)*(T_PlannedOrders[WeekIndex]=3)*(T_PlannedOrders[EffectiveQty]&gt;0)*T_PlannedOrders[Order_Month])),"m月")&amp;"発注)")</f>
        <v/>
      </c>
      <c r="G339">
        <f>IF(SUMIFS(T_PlannedOrders[EffectiveQty],T_PlannedOrders[Part Name],$A221,T_PlannedOrders[WeekIndex],4)=0,"",SUMIFS(T_PlannedOrders[EffectiveQty],T_PlannedOrders[Part Name],$A221,T_PlannedOrders[WeekIndex],4)&amp;" ("&amp;TEXT(SUMPRODUCT(MAX((T_PlannedOrders[Part Name]=$A221)*(T_PlannedOrders[WeekIndex]=4)*(T_PlannedOrders[EffectiveQty]&gt;0)*T_PlannedOrders[Order_Month])),"m月")&amp;"発注)")</f>
        <v/>
      </c>
      <c r="H339">
        <f>IF(SUMIFS(T_PlannedOrders[EffectiveQty],T_PlannedOrders[Part Name],$A221,T_PlannedOrders[WeekIndex],5)=0,"",SUMIFS(T_PlannedOrders[EffectiveQty],T_PlannedOrders[Part Name],$A221,T_PlannedOrders[WeekIndex],5)&amp;" ("&amp;TEXT(SUMPRODUCT(MAX((T_PlannedOrders[Part Name]=$A221)*(T_PlannedOrders[WeekIndex]=5)*(T_PlannedOrders[EffectiveQty]&gt;0)*T_PlannedOrders[Order_Month])),"m月")&amp;"発注)")</f>
        <v/>
      </c>
      <c r="I339">
        <f>IF(SUMIFS(T_PlannedOrders[EffectiveQty],T_PlannedOrders[Part Name],$A221,T_PlannedOrders[WeekIndex],6)=0,"",SUMIFS(T_PlannedOrders[EffectiveQty],T_PlannedOrders[Part Name],$A221,T_PlannedOrders[WeekIndex],6)&amp;" ("&amp;TEXT(SUMPRODUCT(MAX((T_PlannedOrders[Part Name]=$A221)*(T_PlannedOrders[WeekIndex]=6)*(T_PlannedOrders[EffectiveQty]&gt;0)*T_PlannedOrders[Order_Month])),"m月")&amp;"発注)")</f>
        <v/>
      </c>
      <c r="J339">
        <f>IF(SUMIFS(T_PlannedOrders[EffectiveQty],T_PlannedOrders[Part Name],$A221,T_PlannedOrders[WeekIndex],7)=0,"",SUMIFS(T_PlannedOrders[EffectiveQty],T_PlannedOrders[Part Name],$A221,T_PlannedOrders[WeekIndex],7)&amp;" ("&amp;TEXT(SUMPRODUCT(MAX((T_PlannedOrders[Part Name]=$A221)*(T_PlannedOrders[WeekIndex]=7)*(T_PlannedOrders[EffectiveQty]&gt;0)*T_PlannedOrders[Order_Month])),"m月")&amp;"発注)")</f>
        <v/>
      </c>
      <c r="K339">
        <f>IF(SUMIFS(T_PlannedOrders[EffectiveQty],T_PlannedOrders[Part Name],$A221,T_PlannedOrders[WeekIndex],8)=0,"",SUMIFS(T_PlannedOrders[EffectiveQty],T_PlannedOrders[Part Name],$A221,T_PlannedOrders[WeekIndex],8)&amp;" ("&amp;TEXT(SUMPRODUCT(MAX((T_PlannedOrders[Part Name]=$A221)*(T_PlannedOrders[WeekIndex]=8)*(T_PlannedOrders[EffectiveQty]&gt;0)*T_PlannedOrders[Order_Month])),"m月")&amp;"発注)")</f>
        <v/>
      </c>
      <c r="L339">
        <f>IF(SUMIFS(T_PlannedOrders[EffectiveQty],T_PlannedOrders[Part Name],$A221,T_PlannedOrders[WeekIndex],9)=0,"",SUMIFS(T_PlannedOrders[EffectiveQty],T_PlannedOrders[Part Name],$A221,T_PlannedOrders[WeekIndex],9)&amp;" ("&amp;TEXT(SUMPRODUCT(MAX((T_PlannedOrders[Part Name]=$A221)*(T_PlannedOrders[WeekIndex]=9)*(T_PlannedOrders[EffectiveQty]&gt;0)*T_PlannedOrders[Order_Month])),"m月")&amp;"発注)")</f>
        <v/>
      </c>
      <c r="M339">
        <f>IF(SUMIFS(T_PlannedOrders[EffectiveQty],T_PlannedOrders[Part Name],$A221,T_PlannedOrders[WeekIndex],10)=0,"",SUMIFS(T_PlannedOrders[EffectiveQty],T_PlannedOrders[Part Name],$A221,T_PlannedOrders[WeekIndex],10)&amp;" ("&amp;TEXT(SUMPRODUCT(MAX((T_PlannedOrders[Part Name]=$A221)*(T_PlannedOrders[WeekIndex]=10)*(T_PlannedOrders[EffectiveQty]&gt;0)*T_PlannedOrders[Order_Month])),"m月")&amp;"発注)")</f>
        <v/>
      </c>
      <c r="N339">
        <f>IF(SUMIFS(T_PlannedOrders[EffectiveQty],T_PlannedOrders[Part Name],$A221,T_PlannedOrders[WeekIndex],11)=0,"",SUMIFS(T_PlannedOrders[EffectiveQty],T_PlannedOrders[Part Name],$A221,T_PlannedOrders[WeekIndex],11)&amp;" ("&amp;TEXT(SUMPRODUCT(MAX((T_PlannedOrders[Part Name]=$A221)*(T_PlannedOrders[WeekIndex]=11)*(T_PlannedOrders[EffectiveQty]&gt;0)*T_PlannedOrders[Order_Month])),"m月")&amp;"発注)")</f>
        <v/>
      </c>
      <c r="O339">
        <f>IF(SUMIFS(T_PlannedOrders[EffectiveQty],T_PlannedOrders[Part Name],$A221,T_PlannedOrders[WeekIndex],12)=0,"",SUMIFS(T_PlannedOrders[EffectiveQty],T_PlannedOrders[Part Name],$A221,T_PlannedOrders[WeekIndex],12)&amp;" ("&amp;TEXT(SUMPRODUCT(MAX((T_PlannedOrders[Part Name]=$A221)*(T_PlannedOrders[WeekIndex]=12)*(T_PlannedOrders[EffectiveQty]&gt;0)*T_PlannedOrders[Order_Month])),"m月")&amp;"発注)")</f>
        <v/>
      </c>
      <c r="P339">
        <f>IF(SUMIFS(T_PlannedOrders[EffectiveQty],T_PlannedOrders[Part Name],$A221,T_PlannedOrders[WeekIndex],13)=0,"",SUMIFS(T_PlannedOrders[EffectiveQty],T_PlannedOrders[Part Name],$A221,T_PlannedOrders[WeekIndex],13)&amp;" ("&amp;TEXT(SUMPRODUCT(MAX((T_PlannedOrders[Part Name]=$A221)*(T_PlannedOrders[WeekIndex]=13)*(T_PlannedOrders[EffectiveQty]&gt;0)*T_PlannedOrders[Order_Month])),"m月")&amp;"発注)")</f>
        <v/>
      </c>
      <c r="Q339">
        <f>IF(SUMIFS(T_PlannedOrders[EffectiveQty],T_PlannedOrders[Part Name],$A221,T_PlannedOrders[WeekIndex],14)=0,"",SUMIFS(T_PlannedOrders[EffectiveQty],T_PlannedOrders[Part Name],$A221,T_PlannedOrders[WeekIndex],14)&amp;" ("&amp;TEXT(SUMPRODUCT(MAX((T_PlannedOrders[Part Name]=$A221)*(T_PlannedOrders[WeekIndex]=14)*(T_PlannedOrders[EffectiveQty]&gt;0)*T_PlannedOrders[Order_Month])),"m月")&amp;"発注)")</f>
        <v/>
      </c>
      <c r="R339">
        <f>IF(SUMIFS(T_PlannedOrders[EffectiveQty],T_PlannedOrders[Part Name],$A221,T_PlannedOrders[WeekIndex],15)=0,"",SUMIFS(T_PlannedOrders[EffectiveQty],T_PlannedOrders[Part Name],$A221,T_PlannedOrders[WeekIndex],15)&amp;" ("&amp;TEXT(SUMPRODUCT(MAX((T_PlannedOrders[Part Name]=$A221)*(T_PlannedOrders[WeekIndex]=15)*(T_PlannedOrders[EffectiveQty]&gt;0)*T_PlannedOrders[Order_Month])),"m月")&amp;"発注)")</f>
        <v/>
      </c>
      <c r="S339">
        <f>IF(SUMIFS(T_PlannedOrders[EffectiveQty],T_PlannedOrders[Part Name],$A221,T_PlannedOrders[WeekIndex],16)=0,"",SUMIFS(T_PlannedOrders[EffectiveQty],T_PlannedOrders[Part Name],$A221,T_PlannedOrders[WeekIndex],16)&amp;" ("&amp;TEXT(SUMPRODUCT(MAX((T_PlannedOrders[Part Name]=$A221)*(T_PlannedOrders[WeekIndex]=16)*(T_PlannedOrders[EffectiveQty]&gt;0)*T_PlannedOrders[Order_Month])),"m月")&amp;"発注)")</f>
        <v/>
      </c>
      <c r="T339">
        <f>IF(SUMIFS(T_PlannedOrders[EffectiveQty],T_PlannedOrders[Part Name],$A221,T_PlannedOrders[WeekIndex],17)=0,"",SUMIFS(T_PlannedOrders[EffectiveQty],T_PlannedOrders[Part Name],$A221,T_PlannedOrders[WeekIndex],17)&amp;" ("&amp;TEXT(SUMPRODUCT(MAX((T_PlannedOrders[Part Name]=$A221)*(T_PlannedOrders[WeekIndex]=17)*(T_PlannedOrders[EffectiveQty]&gt;0)*T_PlannedOrders[Order_Month])),"m月")&amp;"発注)")</f>
        <v/>
      </c>
      <c r="U339">
        <f>IF(SUMIFS(T_PlannedOrders[EffectiveQty],T_PlannedOrders[Part Name],$A221,T_PlannedOrders[WeekIndex],18)=0,"",SUMIFS(T_PlannedOrders[EffectiveQty],T_PlannedOrders[Part Name],$A221,T_PlannedOrders[WeekIndex],18)&amp;" ("&amp;TEXT(SUMPRODUCT(MAX((T_PlannedOrders[Part Name]=$A221)*(T_PlannedOrders[WeekIndex]=18)*(T_PlannedOrders[EffectiveQty]&gt;0)*T_PlannedOrders[Order_Month])),"m月")&amp;"発注)")</f>
        <v/>
      </c>
      <c r="V339">
        <f>IF(SUMIFS(T_PlannedOrders[EffectiveQty],T_PlannedOrders[Part Name],$A221,T_PlannedOrders[WeekIndex],19)=0,"",SUMIFS(T_PlannedOrders[EffectiveQty],T_PlannedOrders[Part Name],$A221,T_PlannedOrders[WeekIndex],19)&amp;" ("&amp;TEXT(SUMPRODUCT(MAX((T_PlannedOrders[Part Name]=$A221)*(T_PlannedOrders[WeekIndex]=19)*(T_PlannedOrders[EffectiveQty]&gt;0)*T_PlannedOrders[Order_Month])),"m月")&amp;"発注)")</f>
        <v/>
      </c>
      <c r="W339">
        <f>IF(SUMIFS(T_PlannedOrders[EffectiveQty],T_PlannedOrders[Part Name],$A221,T_PlannedOrders[WeekIndex],20)=0,"",SUMIFS(T_PlannedOrders[EffectiveQty],T_PlannedOrders[Part Name],$A221,T_PlannedOrders[WeekIndex],20)&amp;" ("&amp;TEXT(SUMPRODUCT(MAX((T_PlannedOrders[Part Name]=$A221)*(T_PlannedOrders[WeekIndex]=20)*(T_PlannedOrders[EffectiveQty]&gt;0)*T_PlannedOrders[Order_Month])),"m月")&amp;"発注)")</f>
        <v/>
      </c>
      <c r="X339">
        <f>IF(SUMIFS(T_PlannedOrders[EffectiveQty],T_PlannedOrders[Part Name],$A221,T_PlannedOrders[WeekIndex],21)=0,"",SUMIFS(T_PlannedOrders[EffectiveQty],T_PlannedOrders[Part Name],$A221,T_PlannedOrders[WeekIndex],21)&amp;" ("&amp;TEXT(SUMPRODUCT(MAX((T_PlannedOrders[Part Name]=$A221)*(T_PlannedOrders[WeekIndex]=21)*(T_PlannedOrders[EffectiveQty]&gt;0)*T_PlannedOrders[Order_Month])),"m月")&amp;"発注)")</f>
        <v/>
      </c>
      <c r="Y339">
        <f>IF(SUMIFS(T_PlannedOrders[EffectiveQty],T_PlannedOrders[Part Name],$A221,T_PlannedOrders[WeekIndex],22)=0,"",SUMIFS(T_PlannedOrders[EffectiveQty],T_PlannedOrders[Part Name],$A221,T_PlannedOrders[WeekIndex],22)&amp;" ("&amp;TEXT(SUMPRODUCT(MAX((T_PlannedOrders[Part Name]=$A221)*(T_PlannedOrders[WeekIndex]=22)*(T_PlannedOrders[EffectiveQty]&gt;0)*T_PlannedOrders[Order_Month])),"m月")&amp;"発注)")</f>
        <v/>
      </c>
      <c r="Z339">
        <f>IF(SUMIFS(T_PlannedOrders[EffectiveQty],T_PlannedOrders[Part Name],$A221,T_PlannedOrders[WeekIndex],23)=0,"",SUMIFS(T_PlannedOrders[EffectiveQty],T_PlannedOrders[Part Name],$A221,T_PlannedOrders[WeekIndex],23)&amp;" ("&amp;TEXT(SUMPRODUCT(MAX((T_PlannedOrders[Part Name]=$A221)*(T_PlannedOrders[WeekIndex]=23)*(T_PlannedOrders[EffectiveQty]&gt;0)*T_PlannedOrders[Order_Month])),"m月")&amp;"発注)")</f>
        <v/>
      </c>
      <c r="AA339">
        <f>IF(SUMIFS(T_PlannedOrders[EffectiveQty],T_PlannedOrders[Part Name],$A221,T_PlannedOrders[WeekIndex],24)=0,"",SUMIFS(T_PlannedOrders[EffectiveQty],T_PlannedOrders[Part Name],$A221,T_PlannedOrders[WeekIndex],24)&amp;" ("&amp;TEXT(SUMPRODUCT(MAX((T_PlannedOrders[Part Name]=$A221)*(T_PlannedOrders[WeekIndex]=24)*(T_PlannedOrders[EffectiveQty]&gt;0)*T_PlannedOrders[Order_Month])),"m月")&amp;"発注)")</f>
        <v/>
      </c>
      <c r="AB339">
        <f>IF(SUMIFS(T_PlannedOrders[EffectiveQty],T_PlannedOrders[Part Name],$A221,T_PlannedOrders[WeekIndex],25)=0,"",SUMIFS(T_PlannedOrders[EffectiveQty],T_PlannedOrders[Part Name],$A221,T_PlannedOrders[WeekIndex],25)&amp;" ("&amp;TEXT(SUMPRODUCT(MAX((T_PlannedOrders[Part Name]=$A221)*(T_PlannedOrders[WeekIndex]=25)*(T_PlannedOrders[EffectiveQty]&gt;0)*T_PlannedOrders[Order_Month])),"m月")&amp;"発注)")</f>
        <v/>
      </c>
      <c r="AC339">
        <f>IF(SUMIFS(T_PlannedOrders[EffectiveQty],T_PlannedOrders[Part Name],$A221,T_PlannedOrders[WeekIndex],26)=0,"",SUMIFS(T_PlannedOrders[EffectiveQty],T_PlannedOrders[Part Name],$A221,T_PlannedOrders[WeekIndex],26)&amp;" ("&amp;TEXT(SUMPRODUCT(MAX((T_PlannedOrders[Part Name]=$A221)*(T_PlannedOrders[WeekIndex]=26)*(T_PlannedOrders[EffectiveQty]&gt;0)*T_PlannedOrders[Order_Month])),"m月")&amp;"発注)")</f>
        <v/>
      </c>
      <c r="AD339">
        <f>IF(SUMIFS(T_PlannedOrders[EffectiveQty],T_PlannedOrders[Part Name],$A221,T_PlannedOrders[WeekIndex],27)=0,"",SUMIFS(T_PlannedOrders[EffectiveQty],T_PlannedOrders[Part Name],$A221,T_PlannedOrders[WeekIndex],27)&amp;" ("&amp;TEXT(SUMPRODUCT(MAX((T_PlannedOrders[Part Name]=$A221)*(T_PlannedOrders[WeekIndex]=27)*(T_PlannedOrders[EffectiveQty]&gt;0)*T_PlannedOrders[Order_Month])),"m月")&amp;"発注)")</f>
        <v/>
      </c>
      <c r="AE339">
        <f>IF(SUMIFS(T_PlannedOrders[EffectiveQty],T_PlannedOrders[Part Name],$A221,T_PlannedOrders[WeekIndex],28)=0,"",SUMIFS(T_PlannedOrders[EffectiveQty],T_PlannedOrders[Part Name],$A221,T_PlannedOrders[WeekIndex],28)&amp;" ("&amp;TEXT(SUMPRODUCT(MAX((T_PlannedOrders[Part Name]=$A221)*(T_PlannedOrders[WeekIndex]=28)*(T_PlannedOrders[EffectiveQty]&gt;0)*T_PlannedOrders[Order_Month])),"m月")&amp;"発注)")</f>
        <v/>
      </c>
      <c r="AF339">
        <f>IF(SUMIFS(T_PlannedOrders[EffectiveQty],T_PlannedOrders[Part Name],$A221,T_PlannedOrders[WeekIndex],29)=0,"",SUMIFS(T_PlannedOrders[EffectiveQty],T_PlannedOrders[Part Name],$A221,T_PlannedOrders[WeekIndex],29)&amp;" ("&amp;TEXT(SUMPRODUCT(MAX((T_PlannedOrders[Part Name]=$A221)*(T_PlannedOrders[WeekIndex]=29)*(T_PlannedOrders[EffectiveQty]&gt;0)*T_PlannedOrders[Order_Month])),"m月")&amp;"発注)")</f>
        <v/>
      </c>
      <c r="AG339">
        <f>IF(SUMIFS(T_PlannedOrders[EffectiveQty],T_PlannedOrders[Part Name],$A221,T_PlannedOrders[WeekIndex],30)=0,"",SUMIFS(T_PlannedOrders[EffectiveQty],T_PlannedOrders[Part Name],$A221,T_PlannedOrders[WeekIndex],30)&amp;" ("&amp;TEXT(SUMPRODUCT(MAX((T_PlannedOrders[Part Name]=$A221)*(T_PlannedOrders[WeekIndex]=30)*(T_PlannedOrders[EffectiveQty]&gt;0)*T_PlannedOrders[Order_Month])),"m月")&amp;"発注)")</f>
        <v/>
      </c>
      <c r="AH339">
        <f>IF(SUMIFS(T_PlannedOrders[EffectiveQty],T_PlannedOrders[Part Name],$A221,T_PlannedOrders[WeekIndex],31)=0,"",SUMIFS(T_PlannedOrders[EffectiveQty],T_PlannedOrders[Part Name],$A221,T_PlannedOrders[WeekIndex],31)&amp;" ("&amp;TEXT(SUMPRODUCT(MAX((T_PlannedOrders[Part Name]=$A221)*(T_PlannedOrders[WeekIndex]=31)*(T_PlannedOrders[EffectiveQty]&gt;0)*T_PlannedOrders[Order_Month])),"m月")&amp;"発注)")</f>
        <v/>
      </c>
      <c r="AI339">
        <f>IF(SUMIFS(T_PlannedOrders[EffectiveQty],T_PlannedOrders[Part Name],$A221,T_PlannedOrders[WeekIndex],32)=0,"",SUMIFS(T_PlannedOrders[EffectiveQty],T_PlannedOrders[Part Name],$A221,T_PlannedOrders[WeekIndex],32)&amp;" ("&amp;TEXT(SUMPRODUCT(MAX((T_PlannedOrders[Part Name]=$A221)*(T_PlannedOrders[WeekIndex]=32)*(T_PlannedOrders[EffectiveQty]&gt;0)*T_PlannedOrders[Order_Month])),"m月")&amp;"発注)")</f>
        <v/>
      </c>
      <c r="AJ339">
        <f>IF(SUMIFS(T_PlannedOrders[EffectiveQty],T_PlannedOrders[Part Name],$A221,T_PlannedOrders[WeekIndex],33)=0,"",SUMIFS(T_PlannedOrders[EffectiveQty],T_PlannedOrders[Part Name],$A221,T_PlannedOrders[WeekIndex],33)&amp;" ("&amp;TEXT(SUMPRODUCT(MAX((T_PlannedOrders[Part Name]=$A221)*(T_PlannedOrders[WeekIndex]=33)*(T_PlannedOrders[EffectiveQty]&gt;0)*T_PlannedOrders[Order_Month])),"m月")&amp;"発注)")</f>
        <v/>
      </c>
      <c r="AK339">
        <f>IF(SUMIFS(T_PlannedOrders[EffectiveQty],T_PlannedOrders[Part Name],$A221,T_PlannedOrders[WeekIndex],34)=0,"",SUMIFS(T_PlannedOrders[EffectiveQty],T_PlannedOrders[Part Name],$A221,T_PlannedOrders[WeekIndex],34)&amp;" ("&amp;TEXT(SUMPRODUCT(MAX((T_PlannedOrders[Part Name]=$A221)*(T_PlannedOrders[WeekIndex]=34)*(T_PlannedOrders[EffectiveQty]&gt;0)*T_PlannedOrders[Order_Month])),"m月")&amp;"発注)")</f>
        <v/>
      </c>
      <c r="AL339">
        <f>IF(SUMIFS(T_PlannedOrders[EffectiveQty],T_PlannedOrders[Part Name],$A221,T_PlannedOrders[WeekIndex],35)=0,"",SUMIFS(T_PlannedOrders[EffectiveQty],T_PlannedOrders[Part Name],$A221,T_PlannedOrders[WeekIndex],35)&amp;" ("&amp;TEXT(SUMPRODUCT(MAX((T_PlannedOrders[Part Name]=$A221)*(T_PlannedOrders[WeekIndex]=35)*(T_PlannedOrders[EffectiveQty]&gt;0)*T_PlannedOrders[Order_Month])),"m月")&amp;"発注)")</f>
        <v/>
      </c>
      <c r="AM339">
        <f>IF(SUMIFS(T_PlannedOrders[EffectiveQty],T_PlannedOrders[Part Name],$A221,T_PlannedOrders[WeekIndex],36)=0,"",SUMIFS(T_PlannedOrders[EffectiveQty],T_PlannedOrders[Part Name],$A221,T_PlannedOrders[WeekIndex],36)&amp;" ("&amp;TEXT(SUMPRODUCT(MAX((T_PlannedOrders[Part Name]=$A221)*(T_PlannedOrders[WeekIndex]=36)*(T_PlannedOrders[EffectiveQty]&gt;0)*T_PlannedOrders[Order_Month])),"m月")&amp;"発注)")</f>
        <v/>
      </c>
      <c r="AN339">
        <f>IF(SUMIFS(T_PlannedOrders[EffectiveQty],T_PlannedOrders[Part Name],$A221,T_PlannedOrders[WeekIndex],37)=0,"",SUMIFS(T_PlannedOrders[EffectiveQty],T_PlannedOrders[Part Name],$A221,T_PlannedOrders[WeekIndex],37)&amp;" ("&amp;TEXT(SUMPRODUCT(MAX((T_PlannedOrders[Part Name]=$A221)*(T_PlannedOrders[WeekIndex]=37)*(T_PlannedOrders[EffectiveQty]&gt;0)*T_PlannedOrders[Order_Month])),"m月")&amp;"発注)")</f>
        <v/>
      </c>
      <c r="AO339">
        <f>IF(SUMIFS(T_PlannedOrders[EffectiveQty],T_PlannedOrders[Part Name],$A221,T_PlannedOrders[WeekIndex],38)=0,"",SUMIFS(T_PlannedOrders[EffectiveQty],T_PlannedOrders[Part Name],$A221,T_PlannedOrders[WeekIndex],38)&amp;" ("&amp;TEXT(SUMPRODUCT(MAX((T_PlannedOrders[Part Name]=$A221)*(T_PlannedOrders[WeekIndex]=38)*(T_PlannedOrders[EffectiveQty]&gt;0)*T_PlannedOrders[Order_Month])),"m月")&amp;"発注)")</f>
        <v/>
      </c>
      <c r="AP339">
        <f>IF(SUMIFS(T_PlannedOrders[EffectiveQty],T_PlannedOrders[Part Name],$A221,T_PlannedOrders[WeekIndex],39)=0,"",SUMIFS(T_PlannedOrders[EffectiveQty],T_PlannedOrders[Part Name],$A221,T_PlannedOrders[WeekIndex],39)&amp;" ("&amp;TEXT(SUMPRODUCT(MAX((T_PlannedOrders[Part Name]=$A221)*(T_PlannedOrders[WeekIndex]=39)*(T_PlannedOrders[EffectiveQty]&gt;0)*T_PlannedOrders[Order_Month])),"m月")&amp;"発注)")</f>
        <v/>
      </c>
      <c r="AQ339">
        <f>IF(SUMIFS(T_PlannedOrders[EffectiveQty],T_PlannedOrders[Part Name],$A221,T_PlannedOrders[WeekIndex],40)=0,"",SUMIFS(T_PlannedOrders[EffectiveQty],T_PlannedOrders[Part Name],$A221,T_PlannedOrders[WeekIndex],40)&amp;" ("&amp;TEXT(SUMPRODUCT(MAX((T_PlannedOrders[Part Name]=$A221)*(T_PlannedOrders[WeekIndex]=40)*(T_PlannedOrders[EffectiveQty]&gt;0)*T_PlannedOrders[Order_Month])),"m月")&amp;"発注)")</f>
        <v/>
      </c>
      <c r="AR339">
        <f>IF(SUMIFS(T_PlannedOrders[EffectiveQty],T_PlannedOrders[Part Name],$A221,T_PlannedOrders[WeekIndex],41)=0,"",SUMIFS(T_PlannedOrders[EffectiveQty],T_PlannedOrders[Part Name],$A221,T_PlannedOrders[WeekIndex],41)&amp;" ("&amp;TEXT(SUMPRODUCT(MAX((T_PlannedOrders[Part Name]=$A221)*(T_PlannedOrders[WeekIndex]=41)*(T_PlannedOrders[EffectiveQty]&gt;0)*T_PlannedOrders[Order_Month])),"m月")&amp;"発注)")</f>
        <v/>
      </c>
      <c r="AS339">
        <f>IF(SUMIFS(T_PlannedOrders[EffectiveQty],T_PlannedOrders[Part Name],$A221,T_PlannedOrders[WeekIndex],42)=0,"",SUMIFS(T_PlannedOrders[EffectiveQty],T_PlannedOrders[Part Name],$A221,T_PlannedOrders[WeekIndex],42)&amp;" ("&amp;TEXT(SUMPRODUCT(MAX((T_PlannedOrders[Part Name]=$A221)*(T_PlannedOrders[WeekIndex]=42)*(T_PlannedOrders[EffectiveQty]&gt;0)*T_PlannedOrders[Order_Month])),"m月")&amp;"発注)")</f>
        <v/>
      </c>
      <c r="AT339">
        <f>IF(SUMIFS(T_PlannedOrders[EffectiveQty],T_PlannedOrders[Part Name],$A221,T_PlannedOrders[WeekIndex],43)=0,"",SUMIFS(T_PlannedOrders[EffectiveQty],T_PlannedOrders[Part Name],$A221,T_PlannedOrders[WeekIndex],43)&amp;" ("&amp;TEXT(SUMPRODUCT(MAX((T_PlannedOrders[Part Name]=$A221)*(T_PlannedOrders[WeekIndex]=43)*(T_PlannedOrders[EffectiveQty]&gt;0)*T_PlannedOrders[Order_Month])),"m月")&amp;"発注)")</f>
        <v/>
      </c>
      <c r="AU339">
        <f>IF(SUMIFS(T_PlannedOrders[EffectiveQty],T_PlannedOrders[Part Name],$A221,T_PlannedOrders[WeekIndex],44)=0,"",SUMIFS(T_PlannedOrders[EffectiveQty],T_PlannedOrders[Part Name],$A221,T_PlannedOrders[WeekIndex],44)&amp;" ("&amp;TEXT(SUMPRODUCT(MAX((T_PlannedOrders[Part Name]=$A221)*(T_PlannedOrders[WeekIndex]=44)*(T_PlannedOrders[EffectiveQty]&gt;0)*T_PlannedOrders[Order_Month])),"m月")&amp;"発注)")</f>
        <v/>
      </c>
      <c r="AV339">
        <f>IF(SUMIFS(T_PlannedOrders[EffectiveQty],T_PlannedOrders[Part Name],$A221,T_PlannedOrders[WeekIndex],45)=0,"",SUMIFS(T_PlannedOrders[EffectiveQty],T_PlannedOrders[Part Name],$A221,T_PlannedOrders[WeekIndex],45)&amp;" ("&amp;TEXT(SUMPRODUCT(MAX((T_PlannedOrders[Part Name]=$A221)*(T_PlannedOrders[WeekIndex]=45)*(T_PlannedOrders[EffectiveQty]&gt;0)*T_PlannedOrders[Order_Month])),"m月")&amp;"発注)")</f>
        <v/>
      </c>
      <c r="AW339">
        <f>IF(SUMIFS(T_PlannedOrders[EffectiveQty],T_PlannedOrders[Part Name],$A221,T_PlannedOrders[WeekIndex],46)=0,"",SUMIFS(T_PlannedOrders[EffectiveQty],T_PlannedOrders[Part Name],$A221,T_PlannedOrders[WeekIndex],46)&amp;" ("&amp;TEXT(SUMPRODUCT(MAX((T_PlannedOrders[Part Name]=$A221)*(T_PlannedOrders[WeekIndex]=46)*(T_PlannedOrders[EffectiveQty]&gt;0)*T_PlannedOrders[Order_Month])),"m月")&amp;"発注)")</f>
        <v/>
      </c>
      <c r="AX339">
        <f>IF(SUMIFS(T_PlannedOrders[EffectiveQty],T_PlannedOrders[Part Name],$A221,T_PlannedOrders[WeekIndex],47)=0,"",SUMIFS(T_PlannedOrders[EffectiveQty],T_PlannedOrders[Part Name],$A221,T_PlannedOrders[WeekIndex],47)&amp;" ("&amp;TEXT(SUMPRODUCT(MAX((T_PlannedOrders[Part Name]=$A221)*(T_PlannedOrders[WeekIndex]=47)*(T_PlannedOrders[EffectiveQty]&gt;0)*T_PlannedOrders[Order_Month])),"m月")&amp;"発注)")</f>
        <v/>
      </c>
      <c r="AY339">
        <f>IF(SUMIFS(T_PlannedOrders[EffectiveQty],T_PlannedOrders[Part Name],$A221,T_PlannedOrders[WeekIndex],48)=0,"",SUMIFS(T_PlannedOrders[EffectiveQty],T_PlannedOrders[Part Name],$A221,T_PlannedOrders[WeekIndex],48)&amp;" ("&amp;TEXT(SUMPRODUCT(MAX((T_PlannedOrders[Part Name]=$A221)*(T_PlannedOrders[WeekIndex]=48)*(T_PlannedOrders[EffectiveQty]&gt;0)*T_PlannedOrders[Order_Month])),"m月")&amp;"発注)")</f>
        <v/>
      </c>
      <c r="AZ339">
        <f>IF(SUMIFS(T_PlannedOrders[EffectiveQty],T_PlannedOrders[Part Name],$A221,T_PlannedOrders[WeekIndex],49)=0,"",SUMIFS(T_PlannedOrders[EffectiveQty],T_PlannedOrders[Part Name],$A221,T_PlannedOrders[WeekIndex],49)&amp;" ("&amp;TEXT(SUMPRODUCT(MAX((T_PlannedOrders[Part Name]=$A221)*(T_PlannedOrders[WeekIndex]=49)*(T_PlannedOrders[EffectiveQty]&gt;0)*T_PlannedOrders[Order_Month])),"m月")&amp;"発注)")</f>
        <v/>
      </c>
      <c r="BA339">
        <f>IF(SUMIFS(T_PlannedOrders[EffectiveQty],T_PlannedOrders[Part Name],$A221,T_PlannedOrders[WeekIndex],50)=0,"",SUMIFS(T_PlannedOrders[EffectiveQty],T_PlannedOrders[Part Name],$A221,T_PlannedOrders[WeekIndex],50)&amp;" ("&amp;TEXT(SUMPRODUCT(MAX((T_PlannedOrders[Part Name]=$A221)*(T_PlannedOrders[WeekIndex]=50)*(T_PlannedOrders[EffectiveQty]&gt;0)*T_PlannedOrders[Order_Month])),"m月")&amp;"発注)")</f>
        <v/>
      </c>
      <c r="BB339">
        <f>IF(SUMIFS(T_PlannedOrders[EffectiveQty],T_PlannedOrders[Part Name],$A221,T_PlannedOrders[WeekIndex],51)=0,"",SUMIFS(T_PlannedOrders[EffectiveQty],T_PlannedOrders[Part Name],$A221,T_PlannedOrders[WeekIndex],51)&amp;" ("&amp;TEXT(SUMPRODUCT(MAX((T_PlannedOrders[Part Name]=$A221)*(T_PlannedOrders[WeekIndex]=51)*(T_PlannedOrders[EffectiveQty]&gt;0)*T_PlannedOrders[Order_Month])),"m月")&amp;"発注)")</f>
        <v/>
      </c>
      <c r="BC339">
        <f>IF(SUMIFS(T_PlannedOrders[EffectiveQty],T_PlannedOrders[Part Name],$A221,T_PlannedOrders[WeekIndex],52)=0,"",SUMIFS(T_PlannedOrders[EffectiveQty],T_PlannedOrders[Part Name],$A221,T_PlannedOrders[WeekIndex],52)&amp;" ("&amp;TEXT(SUMPRODUCT(MAX((T_PlannedOrders[Part Name]=$A221)*(T_PlannedOrders[WeekIndex]=52)*(T_PlannedOrders[EffectiveQty]&gt;0)*T_PlannedOrders[Order_Month])),"m月")&amp;"発注)")</f>
        <v/>
      </c>
      <c r="BD339">
        <f>IF(SUMIFS(T_PlannedOrders[EffectiveQty],T_PlannedOrders[Part Name],$A221,T_PlannedOrders[WeekIndex],53)=0,"",SUMIFS(T_PlannedOrders[EffectiveQty],T_PlannedOrders[Part Name],$A221,T_PlannedOrders[WeekIndex],53)&amp;" ("&amp;TEXT(SUMPRODUCT(MAX((T_PlannedOrders[Part Name]=$A221)*(T_PlannedOrders[WeekIndex]=53)*(T_PlannedOrders[EffectiveQty]&gt;0)*T_PlannedOrders[Order_Month])),"m月")&amp;"発注)")</f>
        <v/>
      </c>
      <c r="BE339">
        <f>IF(SUMIFS(T_PlannedOrders[EffectiveQty],T_PlannedOrders[Part Name],$A221,T_PlannedOrders[WeekIndex],54)=0,"",SUMIFS(T_PlannedOrders[EffectiveQty],T_PlannedOrders[Part Name],$A221,T_PlannedOrders[WeekIndex],54)&amp;" ("&amp;TEXT(SUMPRODUCT(MAX((T_PlannedOrders[Part Name]=$A221)*(T_PlannedOrders[WeekIndex]=54)*(T_PlannedOrders[EffectiveQty]&gt;0)*T_PlannedOrders[Order_Month])),"m月")&amp;"発注)")</f>
        <v/>
      </c>
      <c r="BF339">
        <f>IF(SUMIFS(T_PlannedOrders[EffectiveQty],T_PlannedOrders[Part Name],$A221,T_PlannedOrders[WeekIndex],55)=0,"",SUMIFS(T_PlannedOrders[EffectiveQty],T_PlannedOrders[Part Name],$A221,T_PlannedOrders[WeekIndex],55)&amp;" ("&amp;TEXT(SUMPRODUCT(MAX((T_PlannedOrders[Part Name]=$A221)*(T_PlannedOrders[WeekIndex]=55)*(T_PlannedOrders[EffectiveQty]&gt;0)*T_PlannedOrders[Order_Month])),"m月")&amp;"発注)")</f>
        <v/>
      </c>
      <c r="BG339">
        <f>IF(SUMIFS(T_PlannedOrders[EffectiveQty],T_PlannedOrders[Part Name],$A221,T_PlannedOrders[WeekIndex],56)=0,"",SUMIFS(T_PlannedOrders[EffectiveQty],T_PlannedOrders[Part Name],$A221,T_PlannedOrders[WeekIndex],56)&amp;" ("&amp;TEXT(SUMPRODUCT(MAX((T_PlannedOrders[Part Name]=$A221)*(T_PlannedOrders[WeekIndex]=56)*(T_PlannedOrders[EffectiveQty]&gt;0)*T_PlannedOrders[Order_Month])),"m月")&amp;"発注)")</f>
        <v/>
      </c>
      <c r="BH339">
        <f>IF(SUMIFS(T_PlannedOrders[EffectiveQty],T_PlannedOrders[Part Name],$A221,T_PlannedOrders[WeekIndex],57)=0,"",SUMIFS(T_PlannedOrders[EffectiveQty],T_PlannedOrders[Part Name],$A221,T_PlannedOrders[WeekIndex],57)&amp;" ("&amp;TEXT(SUMPRODUCT(MAX((T_PlannedOrders[Part Name]=$A221)*(T_PlannedOrders[WeekIndex]=57)*(T_PlannedOrders[EffectiveQty]&gt;0)*T_PlannedOrders[Order_Month])),"m月")&amp;"発注)")</f>
        <v/>
      </c>
      <c r="BI339">
        <f>IF(SUMIFS(T_PlannedOrders[EffectiveQty],T_PlannedOrders[Part Name],$A221,T_PlannedOrders[WeekIndex],58)=0,"",SUMIFS(T_PlannedOrders[EffectiveQty],T_PlannedOrders[Part Name],$A221,T_PlannedOrders[WeekIndex],58)&amp;" ("&amp;TEXT(SUMPRODUCT(MAX((T_PlannedOrders[Part Name]=$A221)*(T_PlannedOrders[WeekIndex]=58)*(T_PlannedOrders[EffectiveQty]&gt;0)*T_PlannedOrders[Order_Month])),"m月")&amp;"発注)")</f>
        <v/>
      </c>
      <c r="BJ339">
        <f>IF(SUMIFS(T_PlannedOrders[EffectiveQty],T_PlannedOrders[Part Name],$A221,T_PlannedOrders[WeekIndex],59)=0,"",SUMIFS(T_PlannedOrders[EffectiveQty],T_PlannedOrders[Part Name],$A221,T_PlannedOrders[WeekIndex],59)&amp;" ("&amp;TEXT(SUMPRODUCT(MAX((T_PlannedOrders[Part Name]=$A221)*(T_PlannedOrders[WeekIndex]=59)*(T_PlannedOrders[EffectiveQty]&gt;0)*T_PlannedOrders[Order_Month])),"m月")&amp;"発注)")</f>
        <v/>
      </c>
      <c r="BK339">
        <f>IF(SUMIFS(T_PlannedOrders[EffectiveQty],T_PlannedOrders[Part Name],$A221,T_PlannedOrders[WeekIndex],60)=0,"",SUMIFS(T_PlannedOrders[EffectiveQty],T_PlannedOrders[Part Name],$A221,T_PlannedOrders[WeekIndex],60)&amp;" ("&amp;TEXT(SUMPRODUCT(MAX((T_PlannedOrders[Part Name]=$A221)*(T_PlannedOrders[WeekIndex]=60)*(T_PlannedOrders[EffectiveQty]&gt;0)*T_PlannedOrders[Order_Month])),"m月")&amp;"発注)")</f>
        <v/>
      </c>
      <c r="BL339">
        <f>IF(SUMIFS(T_PlannedOrders[EffectiveQty],T_PlannedOrders[Part Name],$A221,T_PlannedOrders[WeekIndex],61)=0,"",SUMIFS(T_PlannedOrders[EffectiveQty],T_PlannedOrders[Part Name],$A221,T_PlannedOrders[WeekIndex],61)&amp;" ("&amp;TEXT(SUMPRODUCT(MAX((T_PlannedOrders[Part Name]=$A221)*(T_PlannedOrders[WeekIndex]=61)*(T_PlannedOrders[EffectiveQty]&gt;0)*T_PlannedOrders[Order_Month])),"m月")&amp;"発注)")</f>
        <v/>
      </c>
      <c r="BM339">
        <f>IF(SUMIFS(T_PlannedOrders[EffectiveQty],T_PlannedOrders[Part Name],$A221,T_PlannedOrders[WeekIndex],62)=0,"",SUMIFS(T_PlannedOrders[EffectiveQty],T_PlannedOrders[Part Name],$A221,T_PlannedOrders[WeekIndex],62)&amp;" ("&amp;TEXT(SUMPRODUCT(MAX((T_PlannedOrders[Part Name]=$A221)*(T_PlannedOrders[WeekIndex]=62)*(T_PlannedOrders[EffectiveQty]&gt;0)*T_PlannedOrders[Order_Month])),"m月")&amp;"発注)")</f>
        <v/>
      </c>
      <c r="BN339">
        <f>IF(SUMIFS(T_PlannedOrders[EffectiveQty],T_PlannedOrders[Part Name],$A221,T_PlannedOrders[WeekIndex],63)=0,"",SUMIFS(T_PlannedOrders[EffectiveQty],T_PlannedOrders[Part Name],$A221,T_PlannedOrders[WeekIndex],63)&amp;" ("&amp;TEXT(SUMPRODUCT(MAX((T_PlannedOrders[Part Name]=$A221)*(T_PlannedOrders[WeekIndex]=63)*(T_PlannedOrders[EffectiveQty]&gt;0)*T_PlannedOrders[Order_Month])),"m月")&amp;"発注)")</f>
        <v/>
      </c>
      <c r="BO339">
        <f>IF(SUMIFS(T_PlannedOrders[EffectiveQty],T_PlannedOrders[Part Name],$A221,T_PlannedOrders[WeekIndex],64)=0,"",SUMIFS(T_PlannedOrders[EffectiveQty],T_PlannedOrders[Part Name],$A221,T_PlannedOrders[WeekIndex],64)&amp;" ("&amp;TEXT(SUMPRODUCT(MAX((T_PlannedOrders[Part Name]=$A221)*(T_PlannedOrders[WeekIndex]=64)*(T_PlannedOrders[EffectiveQty]&gt;0)*T_PlannedOrders[Order_Month])),"m月")&amp;"発注)")</f>
        <v/>
      </c>
      <c r="BP339">
        <f>IF(SUMIFS(T_PlannedOrders[EffectiveQty],T_PlannedOrders[Part Name],$A221,T_PlannedOrders[WeekIndex],65)=0,"",SUMIFS(T_PlannedOrders[EffectiveQty],T_PlannedOrders[Part Name],$A221,T_PlannedOrders[WeekIndex],65)&amp;" ("&amp;TEXT(SUMPRODUCT(MAX((T_PlannedOrders[Part Name]=$A221)*(T_PlannedOrders[WeekIndex]=65)*(T_PlannedOrders[EffectiveQty]&gt;0)*T_PlannedOrders[Order_Month])),"m月")&amp;"発注)")</f>
        <v/>
      </c>
      <c r="BQ339">
        <f>IF(SUMIFS(T_PlannedOrders[EffectiveQty],T_PlannedOrders[Part Name],$A221,T_PlannedOrders[WeekIndex],66)=0,"",SUMIFS(T_PlannedOrders[EffectiveQty],T_PlannedOrders[Part Name],$A221,T_PlannedOrders[WeekIndex],66)&amp;" ("&amp;TEXT(SUMPRODUCT(MAX((T_PlannedOrders[Part Name]=$A221)*(T_PlannedOrders[WeekIndex]=66)*(T_PlannedOrders[EffectiveQty]&gt;0)*T_PlannedOrders[Order_Month])),"m月")&amp;"発注)")</f>
        <v/>
      </c>
      <c r="BR339">
        <f>IF(SUMIFS(T_PlannedOrders[EffectiveQty],T_PlannedOrders[Part Name],$A221,T_PlannedOrders[WeekIndex],67)=0,"",SUMIFS(T_PlannedOrders[EffectiveQty],T_PlannedOrders[Part Name],$A221,T_PlannedOrders[WeekIndex],67)&amp;" ("&amp;TEXT(SUMPRODUCT(MAX((T_PlannedOrders[Part Name]=$A221)*(T_PlannedOrders[WeekIndex]=67)*(T_PlannedOrders[EffectiveQty]&gt;0)*T_PlannedOrders[Order_Month])),"m月")&amp;"発注)")</f>
        <v/>
      </c>
      <c r="BS339">
        <f>IF(SUMIFS(T_PlannedOrders[EffectiveQty],T_PlannedOrders[Part Name],$A221,T_PlannedOrders[WeekIndex],68)=0,"",SUMIFS(T_PlannedOrders[EffectiveQty],T_PlannedOrders[Part Name],$A221,T_PlannedOrders[WeekIndex],68)&amp;" ("&amp;TEXT(SUMPRODUCT(MAX((T_PlannedOrders[Part Name]=$A221)*(T_PlannedOrders[WeekIndex]=68)*(T_PlannedOrders[EffectiveQty]&gt;0)*T_PlannedOrders[Order_Month])),"m月")&amp;"発注)")</f>
        <v/>
      </c>
      <c r="BT339">
        <f>IF(SUMIFS(T_PlannedOrders[EffectiveQty],T_PlannedOrders[Part Name],$A221,T_PlannedOrders[WeekIndex],69)=0,"",SUMIFS(T_PlannedOrders[EffectiveQty],T_PlannedOrders[Part Name],$A221,T_PlannedOrders[WeekIndex],69)&amp;" ("&amp;TEXT(SUMPRODUCT(MAX((T_PlannedOrders[Part Name]=$A221)*(T_PlannedOrders[WeekIndex]=69)*(T_PlannedOrders[EffectiveQty]&gt;0)*T_PlannedOrders[Order_Month])),"m月")&amp;"発注)")</f>
        <v/>
      </c>
      <c r="BU339">
        <f>IF(SUMIFS(T_PlannedOrders[EffectiveQty],T_PlannedOrders[Part Name],$A221,T_PlannedOrders[WeekIndex],70)=0,"",SUMIFS(T_PlannedOrders[EffectiveQty],T_PlannedOrders[Part Name],$A221,T_PlannedOrders[WeekIndex],70)&amp;" ("&amp;TEXT(SUMPRODUCT(MAX((T_PlannedOrders[Part Name]=$A221)*(T_PlannedOrders[WeekIndex]=70)*(T_PlannedOrders[EffectiveQty]&gt;0)*T_PlannedOrders[Order_Month])),"m月")&amp;"発注)")</f>
        <v/>
      </c>
      <c r="BV339">
        <f>IF(SUMIFS(T_PlannedOrders[EffectiveQty],T_PlannedOrders[Part Name],$A221,T_PlannedOrders[WeekIndex],71)=0,"",SUMIFS(T_PlannedOrders[EffectiveQty],T_PlannedOrders[Part Name],$A221,T_PlannedOrders[WeekIndex],71)&amp;" ("&amp;TEXT(SUMPRODUCT(MAX((T_PlannedOrders[Part Name]=$A221)*(T_PlannedOrders[WeekIndex]=71)*(T_PlannedOrders[EffectiveQty]&gt;0)*T_PlannedOrders[Order_Month])),"m月")&amp;"発注)")</f>
        <v/>
      </c>
      <c r="BW339">
        <f>IF(SUMIFS(T_PlannedOrders[EffectiveQty],T_PlannedOrders[Part Name],$A221,T_PlannedOrders[WeekIndex],72)=0,"",SUMIFS(T_PlannedOrders[EffectiveQty],T_PlannedOrders[Part Name],$A221,T_PlannedOrders[WeekIndex],72)&amp;" ("&amp;TEXT(SUMPRODUCT(MAX((T_PlannedOrders[Part Name]=$A221)*(T_PlannedOrders[WeekIndex]=72)*(T_PlannedOrders[EffectiveQty]&gt;0)*T_PlannedOrders[Order_Month])),"m月")&amp;"発注)")</f>
        <v/>
      </c>
      <c r="BX339">
        <f>IF(SUMIFS(T_PlannedOrders[EffectiveQty],T_PlannedOrders[Part Name],$A221,T_PlannedOrders[WeekIndex],73)=0,"",SUMIFS(T_PlannedOrders[EffectiveQty],T_PlannedOrders[Part Name],$A221,T_PlannedOrders[WeekIndex],73)&amp;" ("&amp;TEXT(SUMPRODUCT(MAX((T_PlannedOrders[Part Name]=$A221)*(T_PlannedOrders[WeekIndex]=73)*(T_PlannedOrders[EffectiveQty]&gt;0)*T_PlannedOrders[Order_Month])),"m月")&amp;"発注)")</f>
        <v/>
      </c>
      <c r="BY339">
        <f>IF(SUMIFS(T_PlannedOrders[EffectiveQty],T_PlannedOrders[Part Name],$A221,T_PlannedOrders[WeekIndex],74)=0,"",SUMIFS(T_PlannedOrders[EffectiveQty],T_PlannedOrders[Part Name],$A221,T_PlannedOrders[WeekIndex],74)&amp;" ("&amp;TEXT(SUMPRODUCT(MAX((T_PlannedOrders[Part Name]=$A221)*(T_PlannedOrders[WeekIndex]=74)*(T_PlannedOrders[EffectiveQty]&gt;0)*T_PlannedOrders[Order_Month])),"m月")&amp;"発注)")</f>
        <v/>
      </c>
      <c r="BZ339">
        <f>IF(SUMIFS(T_PlannedOrders[EffectiveQty],T_PlannedOrders[Part Name],$A221,T_PlannedOrders[WeekIndex],75)=0,"",SUMIFS(T_PlannedOrders[EffectiveQty],T_PlannedOrders[Part Name],$A221,T_PlannedOrders[WeekIndex],75)&amp;" ("&amp;TEXT(SUMPRODUCT(MAX((T_PlannedOrders[Part Name]=$A221)*(T_PlannedOrders[WeekIndex]=75)*(T_PlannedOrders[EffectiveQty]&gt;0)*T_PlannedOrders[Order_Month])),"m月")&amp;"発注)")</f>
        <v/>
      </c>
      <c r="CA339">
        <f>IF(SUMIFS(T_PlannedOrders[EffectiveQty],T_PlannedOrders[Part Name],$A221,T_PlannedOrders[WeekIndex],76)=0,"",SUMIFS(T_PlannedOrders[EffectiveQty],T_PlannedOrders[Part Name],$A221,T_PlannedOrders[WeekIndex],76)&amp;" ("&amp;TEXT(SUMPRODUCT(MAX((T_PlannedOrders[Part Name]=$A221)*(T_PlannedOrders[WeekIndex]=76)*(T_PlannedOrders[EffectiveQty]&gt;0)*T_PlannedOrders[Order_Month])),"m月")&amp;"発注)")</f>
        <v/>
      </c>
      <c r="CB339">
        <f>IF(SUMIFS(T_PlannedOrders[EffectiveQty],T_PlannedOrders[Part Name],$A221,T_PlannedOrders[WeekIndex],77)=0,"",SUMIFS(T_PlannedOrders[EffectiveQty],T_PlannedOrders[Part Name],$A221,T_PlannedOrders[WeekIndex],77)&amp;" ("&amp;TEXT(SUMPRODUCT(MAX((T_PlannedOrders[Part Name]=$A221)*(T_PlannedOrders[WeekIndex]=77)*(T_PlannedOrders[EffectiveQty]&gt;0)*T_PlannedOrders[Order_Month])),"m月")&amp;"発注)")</f>
        <v/>
      </c>
      <c r="CC339">
        <f>IF(SUMIFS(T_PlannedOrders[EffectiveQty],T_PlannedOrders[Part Name],$A221,T_PlannedOrders[WeekIndex],78)=0,"",SUMIFS(T_PlannedOrders[EffectiveQty],T_PlannedOrders[Part Name],$A221,T_PlannedOrders[WeekIndex],78)&amp;" ("&amp;TEXT(SUMPRODUCT(MAX((T_PlannedOrders[Part Name]=$A221)*(T_PlannedOrders[WeekIndex]=78)*(T_PlannedOrders[EffectiveQty]&gt;0)*T_PlannedOrders[Order_Month])),"m月")&amp;"発注)")</f>
        <v/>
      </c>
      <c r="CD339">
        <f>IF(SUMIFS(T_PlannedOrders[EffectiveQty],T_PlannedOrders[Part Name],$A221,T_PlannedOrders[WeekIndex],79)=0,"",SUMIFS(T_PlannedOrders[EffectiveQty],T_PlannedOrders[Part Name],$A221,T_PlannedOrders[WeekIndex],79)&amp;" ("&amp;TEXT(SUMPRODUCT(MAX((T_PlannedOrders[Part Name]=$A221)*(T_PlannedOrders[WeekIndex]=79)*(T_PlannedOrders[EffectiveQty]&gt;0)*T_PlannedOrders[Order_Month])),"m月")&amp;"発注)")</f>
        <v/>
      </c>
      <c r="CE339">
        <f>IF(SUMIFS(T_PlannedOrders[EffectiveQty],T_PlannedOrders[Part Name],$A221,T_PlannedOrders[WeekIndex],80)=0,"",SUMIFS(T_PlannedOrders[EffectiveQty],T_PlannedOrders[Part Name],$A221,T_PlannedOrders[WeekIndex],80)&amp;" ("&amp;TEXT(SUMPRODUCT(MAX((T_PlannedOrders[Part Name]=$A221)*(T_PlannedOrders[WeekIndex]=80)*(T_PlannedOrders[EffectiveQty]&gt;0)*T_PlannedOrders[Order_Month])),"m月")&amp;"発注)")</f>
        <v/>
      </c>
      <c r="CF339">
        <f>IF(SUMIFS(T_PlannedOrders[EffectiveQty],T_PlannedOrders[Part Name],$A221,T_PlannedOrders[WeekIndex],81)=0,"",SUMIFS(T_PlannedOrders[EffectiveQty],T_PlannedOrders[Part Name],$A221,T_PlannedOrders[WeekIndex],81)&amp;" ("&amp;TEXT(SUMPRODUCT(MAX((T_PlannedOrders[Part Name]=$A221)*(T_PlannedOrders[WeekIndex]=81)*(T_PlannedOrders[EffectiveQty]&gt;0)*T_PlannedOrders[Order_Month])),"m月")&amp;"発注)")</f>
        <v/>
      </c>
      <c r="CG339">
        <f>IF(SUMIFS(T_PlannedOrders[EffectiveQty],T_PlannedOrders[Part Name],$A221,T_PlannedOrders[WeekIndex],82)=0,"",SUMIFS(T_PlannedOrders[EffectiveQty],T_PlannedOrders[Part Name],$A221,T_PlannedOrders[WeekIndex],82)&amp;" ("&amp;TEXT(SUMPRODUCT(MAX((T_PlannedOrders[Part Name]=$A221)*(T_PlannedOrders[WeekIndex]=82)*(T_PlannedOrders[EffectiveQty]&gt;0)*T_PlannedOrders[Order_Month])),"m月")&amp;"発注)")</f>
        <v/>
      </c>
      <c r="CH339">
        <f>IF(SUMIFS(T_PlannedOrders[EffectiveQty],T_PlannedOrders[Part Name],$A221,T_PlannedOrders[WeekIndex],83)=0,"",SUMIFS(T_PlannedOrders[EffectiveQty],T_PlannedOrders[Part Name],$A221,T_PlannedOrders[WeekIndex],83)&amp;" ("&amp;TEXT(SUMPRODUCT(MAX((T_PlannedOrders[Part Name]=$A221)*(T_PlannedOrders[WeekIndex]=83)*(T_PlannedOrders[EffectiveQty]&gt;0)*T_PlannedOrders[Order_Month])),"m月")&amp;"発注)")</f>
        <v/>
      </c>
      <c r="CI339">
        <f>IF(SUMIFS(T_PlannedOrders[EffectiveQty],T_PlannedOrders[Part Name],$A221,T_PlannedOrders[WeekIndex],84)=0,"",SUMIFS(T_PlannedOrders[EffectiveQty],T_PlannedOrders[Part Name],$A221,T_PlannedOrders[WeekIndex],84)&amp;" ("&amp;TEXT(SUMPRODUCT(MAX((T_PlannedOrders[Part Name]=$A221)*(T_PlannedOrders[WeekIndex]=84)*(T_PlannedOrders[EffectiveQty]&gt;0)*T_PlannedOrders[Order_Month])),"m月")&amp;"発注)")</f>
        <v/>
      </c>
      <c r="CJ339">
        <f>IF(SUMIFS(T_PlannedOrders[EffectiveQty],T_PlannedOrders[Part Name],$A221,T_PlannedOrders[WeekIndex],85)=0,"",SUMIFS(T_PlannedOrders[EffectiveQty],T_PlannedOrders[Part Name],$A221,T_PlannedOrders[WeekIndex],85)&amp;" ("&amp;TEXT(SUMPRODUCT(MAX((T_PlannedOrders[Part Name]=$A221)*(T_PlannedOrders[WeekIndex]=85)*(T_PlannedOrders[EffectiveQty]&gt;0)*T_PlannedOrders[Order_Month])),"m月")&amp;"発注)")</f>
        <v/>
      </c>
      <c r="CK339">
        <f>IF(SUMIFS(T_PlannedOrders[EffectiveQty],T_PlannedOrders[Part Name],$A221,T_PlannedOrders[WeekIndex],86)=0,"",SUMIFS(T_PlannedOrders[EffectiveQty],T_PlannedOrders[Part Name],$A221,T_PlannedOrders[WeekIndex],86)&amp;" ("&amp;TEXT(SUMPRODUCT(MAX((T_PlannedOrders[Part Name]=$A221)*(T_PlannedOrders[WeekIndex]=86)*(T_PlannedOrders[EffectiveQty]&gt;0)*T_PlannedOrders[Order_Month])),"m月")&amp;"発注)")</f>
        <v/>
      </c>
      <c r="CL339">
        <f>IF(SUMIFS(T_PlannedOrders[EffectiveQty],T_PlannedOrders[Part Name],$A221,T_PlannedOrders[WeekIndex],87)=0,"",SUMIFS(T_PlannedOrders[EffectiveQty],T_PlannedOrders[Part Name],$A221,T_PlannedOrders[WeekIndex],87)&amp;" ("&amp;TEXT(SUMPRODUCT(MAX((T_PlannedOrders[Part Name]=$A221)*(T_PlannedOrders[WeekIndex]=87)*(T_PlannedOrders[EffectiveQty]&gt;0)*T_PlannedOrders[Order_Month])),"m月")&amp;"発注)")</f>
        <v/>
      </c>
      <c r="CM339">
        <f>IF(SUMIFS(T_PlannedOrders[EffectiveQty],T_PlannedOrders[Part Name],$A221,T_PlannedOrders[WeekIndex],88)=0,"",SUMIFS(T_PlannedOrders[EffectiveQty],T_PlannedOrders[Part Name],$A221,T_PlannedOrders[WeekIndex],88)&amp;" ("&amp;TEXT(SUMPRODUCT(MAX((T_PlannedOrders[Part Name]=$A221)*(T_PlannedOrders[WeekIndex]=88)*(T_PlannedOrders[EffectiveQty]&gt;0)*T_PlannedOrders[Order_Month])),"m月")&amp;"発注)")</f>
        <v/>
      </c>
      <c r="CN339">
        <f>IF(SUMIFS(T_PlannedOrders[EffectiveQty],T_PlannedOrders[Part Name],$A221,T_PlannedOrders[WeekIndex],89)=0,"",SUMIFS(T_PlannedOrders[EffectiveQty],T_PlannedOrders[Part Name],$A221,T_PlannedOrders[WeekIndex],89)&amp;" ("&amp;TEXT(SUMPRODUCT(MAX((T_PlannedOrders[Part Name]=$A221)*(T_PlannedOrders[WeekIndex]=89)*(T_PlannedOrders[EffectiveQty]&gt;0)*T_PlannedOrders[Order_Month])),"m月")&amp;"発注)")</f>
        <v/>
      </c>
      <c r="CO339">
        <f>IF(SUMIFS(T_PlannedOrders[EffectiveQty],T_PlannedOrders[Part Name],$A221,T_PlannedOrders[WeekIndex],90)=0,"",SUMIFS(T_PlannedOrders[EffectiveQty],T_PlannedOrders[Part Name],$A221,T_PlannedOrders[WeekIndex],90)&amp;" ("&amp;TEXT(SUMPRODUCT(MAX((T_PlannedOrders[Part Name]=$A221)*(T_PlannedOrders[WeekIndex]=90)*(T_PlannedOrders[EffectiveQty]&gt;0)*T_PlannedOrders[Order_Month])),"m月")&amp;"発注)")</f>
        <v/>
      </c>
      <c r="CP339">
        <f>IF(SUMIFS(T_PlannedOrders[EffectiveQty],T_PlannedOrders[Part Name],$A221,T_PlannedOrders[WeekIndex],91)=0,"",SUMIFS(T_PlannedOrders[EffectiveQty],T_PlannedOrders[Part Name],$A221,T_PlannedOrders[WeekIndex],91)&amp;" ("&amp;TEXT(SUMPRODUCT(MAX((T_PlannedOrders[Part Name]=$A221)*(T_PlannedOrders[WeekIndex]=91)*(T_PlannedOrders[EffectiveQty]&gt;0)*T_PlannedOrders[Order_Month])),"m月")&amp;"発注)")</f>
        <v/>
      </c>
      <c r="CQ339">
        <f>IF(SUMIFS(T_PlannedOrders[EffectiveQty],T_PlannedOrders[Part Name],$A221,T_PlannedOrders[WeekIndex],92)=0,"",SUMIFS(T_PlannedOrders[EffectiveQty],T_PlannedOrders[Part Name],$A221,T_PlannedOrders[WeekIndex],92)&amp;" ("&amp;TEXT(SUMPRODUCT(MAX((T_PlannedOrders[Part Name]=$A221)*(T_PlannedOrders[WeekIndex]=92)*(T_PlannedOrders[EffectiveQty]&gt;0)*T_PlannedOrders[Order_Month])),"m月")&amp;"発注)")</f>
        <v/>
      </c>
      <c r="CR339">
        <f>IF(SUMIFS(T_PlannedOrders[EffectiveQty],T_PlannedOrders[Part Name],$A221,T_PlannedOrders[WeekIndex],93)=0,"",SUMIFS(T_PlannedOrders[EffectiveQty],T_PlannedOrders[Part Name],$A221,T_PlannedOrders[WeekIndex],93)&amp;" ("&amp;TEXT(SUMPRODUCT(MAX((T_PlannedOrders[Part Name]=$A221)*(T_PlannedOrders[WeekIndex]=93)*(T_PlannedOrders[EffectiveQty]&gt;0)*T_PlannedOrders[Order_Month])),"m月")&amp;"発注)")</f>
        <v/>
      </c>
      <c r="CS339">
        <f>IF(SUMIFS(T_PlannedOrders[EffectiveQty],T_PlannedOrders[Part Name],$A221,T_PlannedOrders[WeekIndex],94)=0,"",SUMIFS(T_PlannedOrders[EffectiveQty],T_PlannedOrders[Part Name],$A221,T_PlannedOrders[WeekIndex],94)&amp;" ("&amp;TEXT(SUMPRODUCT(MAX((T_PlannedOrders[Part Name]=$A221)*(T_PlannedOrders[WeekIndex]=94)*(T_PlannedOrders[EffectiveQty]&gt;0)*T_PlannedOrders[Order_Month])),"m月")&amp;"発注)")</f>
        <v/>
      </c>
      <c r="CT339">
        <f>IF(SUMIFS(T_PlannedOrders[EffectiveQty],T_PlannedOrders[Part Name],$A221,T_PlannedOrders[WeekIndex],95)=0,"",SUMIFS(T_PlannedOrders[EffectiveQty],T_PlannedOrders[Part Name],$A221,T_PlannedOrders[WeekIndex],95)&amp;" ("&amp;TEXT(SUMPRODUCT(MAX((T_PlannedOrders[Part Name]=$A221)*(T_PlannedOrders[WeekIndex]=95)*(T_PlannedOrders[EffectiveQty]&gt;0)*T_PlannedOrders[Order_Month])),"m月")&amp;"発注)")</f>
        <v/>
      </c>
      <c r="CU339">
        <f>IF(SUMIFS(T_PlannedOrders[EffectiveQty],T_PlannedOrders[Part Name],$A221,T_PlannedOrders[WeekIndex],96)=0,"",SUMIFS(T_PlannedOrders[EffectiveQty],T_PlannedOrders[Part Name],$A221,T_PlannedOrders[WeekIndex],96)&amp;" ("&amp;TEXT(SUMPRODUCT(MAX((T_PlannedOrders[Part Name]=$A221)*(T_PlannedOrders[WeekIndex]=96)*(T_PlannedOrders[EffectiveQty]&gt;0)*T_PlannedOrders[Order_Month])),"m月")&amp;"発注)")</f>
        <v/>
      </c>
      <c r="CV339">
        <f>IF(SUMIFS(T_PlannedOrders[EffectiveQty],T_PlannedOrders[Part Name],$A221,T_PlannedOrders[WeekIndex],97)=0,"",SUMIFS(T_PlannedOrders[EffectiveQty],T_PlannedOrders[Part Name],$A221,T_PlannedOrders[WeekIndex],97)&amp;" ("&amp;TEXT(SUMPRODUCT(MAX((T_PlannedOrders[Part Name]=$A221)*(T_PlannedOrders[WeekIndex]=97)*(T_PlannedOrders[EffectiveQty]&gt;0)*T_PlannedOrders[Order_Month])),"m月")&amp;"発注)")</f>
        <v/>
      </c>
      <c r="CW339">
        <f>IF(SUMIFS(T_PlannedOrders[EffectiveQty],T_PlannedOrders[Part Name],$A221,T_PlannedOrders[WeekIndex],98)=0,"",SUMIFS(T_PlannedOrders[EffectiveQty],T_PlannedOrders[Part Name],$A221,T_PlannedOrders[WeekIndex],98)&amp;" ("&amp;TEXT(SUMPRODUCT(MAX((T_PlannedOrders[Part Name]=$A221)*(T_PlannedOrders[WeekIndex]=98)*(T_PlannedOrders[EffectiveQty]&gt;0)*T_PlannedOrders[Order_Month])),"m月")&amp;"発注)")</f>
        <v/>
      </c>
      <c r="CX339">
        <f>IF(SUMIFS(T_PlannedOrders[EffectiveQty],T_PlannedOrders[Part Name],$A221,T_PlannedOrders[WeekIndex],99)=0,"",SUMIFS(T_PlannedOrders[EffectiveQty],T_PlannedOrders[Part Name],$A221,T_PlannedOrders[WeekIndex],99)&amp;" ("&amp;TEXT(SUMPRODUCT(MAX((T_PlannedOrders[Part Name]=$A221)*(T_PlannedOrders[WeekIndex]=99)*(T_PlannedOrders[EffectiveQty]&gt;0)*T_PlannedOrders[Order_Month])),"m月")&amp;"発注)")</f>
        <v/>
      </c>
      <c r="CY339">
        <f>IF(SUMIFS(T_PlannedOrders[EffectiveQty],T_PlannedOrders[Part Name],$A221,T_PlannedOrders[WeekIndex],100)=0,"",SUMIFS(T_PlannedOrders[EffectiveQty],T_PlannedOrders[Part Name],$A221,T_PlannedOrders[WeekIndex],100)&amp;" ("&amp;TEXT(SUMPRODUCT(MAX((T_PlannedOrders[Part Name]=$A221)*(T_PlannedOrders[WeekIndex]=100)*(T_PlannedOrders[EffectiveQty]&gt;0)*T_PlannedOrders[Order_Month])),"m月")&amp;"発注)")</f>
        <v/>
      </c>
      <c r="CZ339">
        <f>IF(SUMIFS(T_PlannedOrders[EffectiveQty],T_PlannedOrders[Part Name],$A221,T_PlannedOrders[WeekIndex],101)=0,"",SUMIFS(T_PlannedOrders[EffectiveQty],T_PlannedOrders[Part Name],$A221,T_PlannedOrders[WeekIndex],101)&amp;" ("&amp;TEXT(SUMPRODUCT(MAX((T_PlannedOrders[Part Name]=$A221)*(T_PlannedOrders[WeekIndex]=101)*(T_PlannedOrders[EffectiveQty]&gt;0)*T_PlannedOrders[Order_Month])),"m月")&amp;"発注)")</f>
        <v/>
      </c>
      <c r="DA339">
        <f>IF(SUMIFS(T_PlannedOrders[EffectiveQty],T_PlannedOrders[Part Name],$A221,T_PlannedOrders[WeekIndex],102)=0,"",SUMIFS(T_PlannedOrders[EffectiveQty],T_PlannedOrders[Part Name],$A221,T_PlannedOrders[WeekIndex],102)&amp;" ("&amp;TEXT(SUMPRODUCT(MAX((T_PlannedOrders[Part Name]=$A221)*(T_PlannedOrders[WeekIndex]=102)*(T_PlannedOrders[EffectiveQty]&gt;0)*T_PlannedOrders[Order_Month])),"m月")&amp;"発注)")</f>
        <v/>
      </c>
      <c r="DB339">
        <f>IF(SUMIFS(T_PlannedOrders[EffectiveQty],T_PlannedOrders[Part Name],$A221,T_PlannedOrders[WeekIndex],103)=0,"",SUMIFS(T_PlannedOrders[EffectiveQty],T_PlannedOrders[Part Name],$A221,T_PlannedOrders[WeekIndex],103)&amp;" ("&amp;TEXT(SUMPRODUCT(MAX((T_PlannedOrders[Part Name]=$A221)*(T_PlannedOrders[WeekIndex]=103)*(T_PlannedOrders[EffectiveQty]&gt;0)*T_PlannedOrders[Order_Month])),"m月")&amp;"発注)")</f>
        <v/>
      </c>
      <c r="DC339">
        <f>IF(SUMIFS(T_PlannedOrders[EffectiveQty],T_PlannedOrders[Part Name],$A221,T_PlannedOrders[WeekIndex],104)=0,"",SUMIFS(T_PlannedOrders[EffectiveQty],T_PlannedOrders[Part Name],$A221,T_PlannedOrders[WeekIndex],104)&amp;" ("&amp;TEXT(SUMPRODUCT(MAX((T_PlannedOrders[Part Name]=$A221)*(T_PlannedOrders[WeekIndex]=104)*(T_PlannedOrders[EffectiveQty]&gt;0)*T_PlannedOrders[Order_Month])),"m月")&amp;"発注)")</f>
        <v/>
      </c>
    </row>
    <row r="340">
      <c r="B340" s="4" t="inlineStr">
        <is>
          <t>合計在庫(週末時点,kg)</t>
        </is>
      </c>
      <c r="D340">
        <f>'Grid_Stock'!B10</f>
        <v/>
      </c>
      <c r="E340">
        <f>'Grid_Stock'!C10</f>
        <v/>
      </c>
      <c r="F340">
        <f>'Grid_Stock'!D10</f>
        <v/>
      </c>
      <c r="G340">
        <f>'Grid_Stock'!E10</f>
        <v/>
      </c>
      <c r="H340">
        <f>'Grid_Stock'!F10</f>
        <v/>
      </c>
      <c r="I340">
        <f>'Grid_Stock'!G10</f>
        <v/>
      </c>
      <c r="J340">
        <f>'Grid_Stock'!H10</f>
        <v/>
      </c>
      <c r="K340">
        <f>'Grid_Stock'!I10</f>
        <v/>
      </c>
      <c r="L340">
        <f>'Grid_Stock'!J10</f>
        <v/>
      </c>
      <c r="M340">
        <f>'Grid_Stock'!K10</f>
        <v/>
      </c>
      <c r="N340">
        <f>'Grid_Stock'!L10</f>
        <v/>
      </c>
      <c r="O340">
        <f>'Grid_Stock'!M10</f>
        <v/>
      </c>
      <c r="P340">
        <f>'Grid_Stock'!N10</f>
        <v/>
      </c>
      <c r="Q340">
        <f>'Grid_Stock'!O10</f>
        <v/>
      </c>
      <c r="R340">
        <f>'Grid_Stock'!P10</f>
        <v/>
      </c>
      <c r="S340">
        <f>'Grid_Stock'!Q10</f>
        <v/>
      </c>
      <c r="T340">
        <f>'Grid_Stock'!R10</f>
        <v/>
      </c>
      <c r="U340">
        <f>'Grid_Stock'!S10</f>
        <v/>
      </c>
      <c r="V340">
        <f>'Grid_Stock'!T10</f>
        <v/>
      </c>
      <c r="W340">
        <f>'Grid_Stock'!U10</f>
        <v/>
      </c>
      <c r="X340">
        <f>'Grid_Stock'!V10</f>
        <v/>
      </c>
      <c r="Y340">
        <f>'Grid_Stock'!W10</f>
        <v/>
      </c>
      <c r="Z340">
        <f>'Grid_Stock'!X10</f>
        <v/>
      </c>
      <c r="AA340">
        <f>'Grid_Stock'!Y10</f>
        <v/>
      </c>
      <c r="AB340">
        <f>'Grid_Stock'!Z10</f>
        <v/>
      </c>
      <c r="AC340">
        <f>'Grid_Stock'!AA10</f>
        <v/>
      </c>
      <c r="AD340">
        <f>'Grid_Stock'!AB10</f>
        <v/>
      </c>
      <c r="AE340">
        <f>'Grid_Stock'!AC10</f>
        <v/>
      </c>
      <c r="AF340">
        <f>'Grid_Stock'!AD10</f>
        <v/>
      </c>
      <c r="AG340">
        <f>'Grid_Stock'!AE10</f>
        <v/>
      </c>
      <c r="AH340">
        <f>'Grid_Stock'!AF10</f>
        <v/>
      </c>
      <c r="AI340">
        <f>'Grid_Stock'!AG10</f>
        <v/>
      </c>
      <c r="AJ340">
        <f>'Grid_Stock'!AH10</f>
        <v/>
      </c>
      <c r="AK340">
        <f>'Grid_Stock'!AI10</f>
        <v/>
      </c>
      <c r="AL340">
        <f>'Grid_Stock'!AJ10</f>
        <v/>
      </c>
      <c r="AM340">
        <f>'Grid_Stock'!AK10</f>
        <v/>
      </c>
      <c r="AN340">
        <f>'Grid_Stock'!AL10</f>
        <v/>
      </c>
      <c r="AO340">
        <f>'Grid_Stock'!AM10</f>
        <v/>
      </c>
      <c r="AP340">
        <f>'Grid_Stock'!AN10</f>
        <v/>
      </c>
      <c r="AQ340">
        <f>'Grid_Stock'!AO10</f>
        <v/>
      </c>
      <c r="AR340">
        <f>'Grid_Stock'!AP10</f>
        <v/>
      </c>
      <c r="AS340">
        <f>'Grid_Stock'!AQ10</f>
        <v/>
      </c>
      <c r="AT340">
        <f>'Grid_Stock'!AR10</f>
        <v/>
      </c>
      <c r="AU340">
        <f>'Grid_Stock'!AS10</f>
        <v/>
      </c>
      <c r="AV340">
        <f>'Grid_Stock'!AT10</f>
        <v/>
      </c>
      <c r="AW340">
        <f>'Grid_Stock'!AU10</f>
        <v/>
      </c>
      <c r="AX340">
        <f>'Grid_Stock'!AV10</f>
        <v/>
      </c>
      <c r="AY340">
        <f>'Grid_Stock'!AW10</f>
        <v/>
      </c>
      <c r="AZ340">
        <f>'Grid_Stock'!AX10</f>
        <v/>
      </c>
      <c r="BA340">
        <f>'Grid_Stock'!AY10</f>
        <v/>
      </c>
      <c r="BB340">
        <f>'Grid_Stock'!AZ10</f>
        <v/>
      </c>
      <c r="BC340">
        <f>'Grid_Stock'!BA10</f>
        <v/>
      </c>
      <c r="BD340">
        <f>'Grid_Stock'!BB10</f>
        <v/>
      </c>
      <c r="BE340">
        <f>'Grid_Stock'!BC10</f>
        <v/>
      </c>
      <c r="BF340">
        <f>'Grid_Stock'!BD10</f>
        <v/>
      </c>
      <c r="BG340">
        <f>'Grid_Stock'!BE10</f>
        <v/>
      </c>
      <c r="BH340">
        <f>'Grid_Stock'!BF10</f>
        <v/>
      </c>
      <c r="BI340">
        <f>'Grid_Stock'!BG10</f>
        <v/>
      </c>
      <c r="BJ340">
        <f>'Grid_Stock'!BH10</f>
        <v/>
      </c>
      <c r="BK340">
        <f>'Grid_Stock'!BI10</f>
        <v/>
      </c>
      <c r="BL340">
        <f>'Grid_Stock'!BJ10</f>
        <v/>
      </c>
      <c r="BM340">
        <f>'Grid_Stock'!BK10</f>
        <v/>
      </c>
      <c r="BN340">
        <f>'Grid_Stock'!BL10</f>
        <v/>
      </c>
      <c r="BO340">
        <f>'Grid_Stock'!BM10</f>
        <v/>
      </c>
      <c r="BP340">
        <f>'Grid_Stock'!BN10</f>
        <v/>
      </c>
      <c r="BQ340">
        <f>'Grid_Stock'!BO10</f>
        <v/>
      </c>
      <c r="BR340">
        <f>'Grid_Stock'!BP10</f>
        <v/>
      </c>
      <c r="BS340">
        <f>'Grid_Stock'!BQ10</f>
        <v/>
      </c>
      <c r="BT340">
        <f>'Grid_Stock'!BR10</f>
        <v/>
      </c>
      <c r="BU340">
        <f>'Grid_Stock'!BS10</f>
        <v/>
      </c>
      <c r="BV340">
        <f>'Grid_Stock'!BT10</f>
        <v/>
      </c>
      <c r="BW340">
        <f>'Grid_Stock'!BU10</f>
        <v/>
      </c>
      <c r="BX340">
        <f>'Grid_Stock'!BV10</f>
        <v/>
      </c>
      <c r="BY340">
        <f>'Grid_Stock'!BW10</f>
        <v/>
      </c>
      <c r="BZ340">
        <f>'Grid_Stock'!BX10</f>
        <v/>
      </c>
      <c r="CA340">
        <f>'Grid_Stock'!BY10</f>
        <v/>
      </c>
      <c r="CB340">
        <f>'Grid_Stock'!BZ10</f>
        <v/>
      </c>
      <c r="CC340">
        <f>'Grid_Stock'!CA10</f>
        <v/>
      </c>
      <c r="CD340">
        <f>'Grid_Stock'!CB10</f>
        <v/>
      </c>
      <c r="CE340">
        <f>'Grid_Stock'!CC10</f>
        <v/>
      </c>
      <c r="CF340">
        <f>'Grid_Stock'!CD10</f>
        <v/>
      </c>
      <c r="CG340">
        <f>'Grid_Stock'!CE10</f>
        <v/>
      </c>
      <c r="CH340">
        <f>'Grid_Stock'!CF10</f>
        <v/>
      </c>
      <c r="CI340">
        <f>'Grid_Stock'!CG10</f>
        <v/>
      </c>
      <c r="CJ340">
        <f>'Grid_Stock'!CH10</f>
        <v/>
      </c>
      <c r="CK340">
        <f>'Grid_Stock'!CI10</f>
        <v/>
      </c>
      <c r="CL340">
        <f>'Grid_Stock'!CJ10</f>
        <v/>
      </c>
      <c r="CM340">
        <f>'Grid_Stock'!CK10</f>
        <v/>
      </c>
      <c r="CN340">
        <f>'Grid_Stock'!CL10</f>
        <v/>
      </c>
      <c r="CO340">
        <f>'Grid_Stock'!CM10</f>
        <v/>
      </c>
      <c r="CP340">
        <f>'Grid_Stock'!CN10</f>
        <v/>
      </c>
      <c r="CQ340">
        <f>'Grid_Stock'!CO10</f>
        <v/>
      </c>
      <c r="CR340">
        <f>'Grid_Stock'!CP10</f>
        <v/>
      </c>
      <c r="CS340">
        <f>'Grid_Stock'!CQ10</f>
        <v/>
      </c>
      <c r="CT340">
        <f>'Grid_Stock'!CR10</f>
        <v/>
      </c>
      <c r="CU340">
        <f>'Grid_Stock'!CS10</f>
        <v/>
      </c>
      <c r="CV340">
        <f>'Grid_Stock'!CT10</f>
        <v/>
      </c>
      <c r="CW340">
        <f>'Grid_Stock'!CU10</f>
        <v/>
      </c>
      <c r="CX340">
        <f>'Grid_Stock'!CV10</f>
        <v/>
      </c>
      <c r="CY340">
        <f>'Grid_Stock'!CW10</f>
        <v/>
      </c>
      <c r="CZ340">
        <f>'Grid_Stock'!CX10</f>
        <v/>
      </c>
      <c r="DA340">
        <f>'Grid_Stock'!CY10</f>
        <v/>
      </c>
      <c r="DB340">
        <f>'Grid_Stock'!CZ10</f>
        <v/>
      </c>
      <c r="DC340">
        <f>'Grid_Stock'!DA10</f>
        <v/>
      </c>
    </row>
    <row r="341">
      <c r="B341" s="16" t="inlineStr">
        <is>
          <t>（発注の目安はDashboardの基準在庫[下限/上限]と色分けを参照）</t>
        </is>
      </c>
    </row>
    <row r="343">
      <c r="A343" s="14" t="inlineStr">
        <is>
          <t>CHEM-1400</t>
        </is>
      </c>
      <c r="B343" s="14" t="inlineStr">
        <is>
          <t>DISPAL 23N4-80</t>
        </is>
      </c>
      <c r="C343" s="15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14" t="n"/>
      <c r="AH343" s="14" t="n"/>
      <c r="AI343" s="14" t="n"/>
      <c r="AJ343" s="14" t="n"/>
      <c r="AK343" s="14" t="n"/>
      <c r="AL343" s="14" t="n"/>
      <c r="AM343" s="14" t="n"/>
      <c r="AN343" s="14" t="n"/>
      <c r="AO343" s="14" t="n"/>
      <c r="AP343" s="14" t="n"/>
      <c r="AQ343" s="14" t="n"/>
      <c r="AR343" s="14" t="n"/>
      <c r="AS343" s="14" t="n"/>
      <c r="AT343" s="14" t="n"/>
      <c r="AU343" s="14" t="n"/>
      <c r="AV343" s="14" t="n"/>
      <c r="AW343" s="14" t="n"/>
      <c r="AX343" s="14" t="n"/>
      <c r="AY343" s="14" t="n"/>
      <c r="AZ343" s="14" t="n"/>
      <c r="BA343" s="14" t="n"/>
      <c r="BB343" s="14" t="n"/>
      <c r="BC343" s="14" t="n"/>
      <c r="BD343" s="14" t="n"/>
      <c r="BE343" s="14" t="n"/>
      <c r="BF343" s="14" t="n"/>
      <c r="BG343" s="14" t="n"/>
      <c r="BH343" s="14" t="n"/>
      <c r="BI343" s="14" t="n"/>
      <c r="BJ343" s="14" t="n"/>
      <c r="BK343" s="14" t="n"/>
      <c r="BL343" s="14" t="n"/>
      <c r="BM343" s="14" t="n"/>
      <c r="BN343" s="14" t="n"/>
      <c r="BO343" s="14" t="n"/>
      <c r="BP343" s="14" t="n"/>
      <c r="BQ343" s="14" t="n"/>
      <c r="BR343" s="14" t="n"/>
      <c r="BS343" s="14" t="n"/>
      <c r="BT343" s="14" t="n"/>
      <c r="BU343" s="14" t="n"/>
      <c r="BV343" s="14" t="n"/>
      <c r="BW343" s="14" t="n"/>
      <c r="BX343" s="14" t="n"/>
      <c r="BY343" s="14" t="n"/>
      <c r="BZ343" s="14" t="n"/>
      <c r="CA343" s="14" t="n"/>
      <c r="CB343" s="14" t="n"/>
      <c r="CC343" s="14" t="n"/>
      <c r="CD343" s="14" t="n"/>
      <c r="CE343" s="14" t="n"/>
      <c r="CF343" s="14" t="n"/>
      <c r="CG343" s="14" t="n"/>
      <c r="CH343" s="14" t="n"/>
      <c r="CI343" s="14" t="n"/>
      <c r="CJ343" s="14" t="n"/>
      <c r="CK343" s="14" t="n"/>
      <c r="CL343" s="14" t="n"/>
      <c r="CM343" s="14" t="n"/>
      <c r="CN343" s="14" t="n"/>
      <c r="CO343" s="14" t="n"/>
      <c r="CP343" s="14" t="n"/>
      <c r="CQ343" s="14" t="n"/>
      <c r="CR343" s="14" t="n"/>
      <c r="CS343" s="14" t="n"/>
      <c r="CT343" s="14" t="n"/>
      <c r="CU343" s="14" t="n"/>
      <c r="CV343" s="14" t="n"/>
      <c r="CW343" s="14" t="n"/>
      <c r="CX343" s="14" t="n"/>
      <c r="CY343" s="14" t="n"/>
      <c r="CZ343" s="14" t="n"/>
      <c r="DA343" s="14" t="n"/>
      <c r="DB343" s="14" t="n"/>
      <c r="DC343" s="14" t="n"/>
    </row>
    <row r="344">
      <c r="B344" t="inlineStr">
        <is>
          <t>TSP-050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7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TSP-078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7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TSP-105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7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TSP-199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7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TSP-205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7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TSP-206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7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TSP-218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7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TSP-219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7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TSP-225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7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TSP-360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7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TSP-367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7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Name],$A343)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TSP-369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7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Name],$A343)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7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Name],$A343)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7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Name],$A343)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7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Name],$A343)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7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Name],$A343)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t="inlineStr">
        <is>
          <t>TSP-544</t>
        </is>
      </c>
      <c r="C376" t="inlineStr">
        <is>
          <t>No. of batches</t>
        </is>
      </c>
      <c r="D376">
        <f>IFERROR(INDEX(PP_Grid[#Data],$DD376,2),0)</f>
        <v/>
      </c>
      <c r="E376">
        <f>IFERROR(INDEX(PP_Grid[#Data],$DD376,3),0)</f>
        <v/>
      </c>
      <c r="F376">
        <f>IFERROR(INDEX(PP_Grid[#Data],$DD376,4),0)</f>
        <v/>
      </c>
      <c r="G376">
        <f>IFERROR(INDEX(PP_Grid[#Data],$DD376,5),0)</f>
        <v/>
      </c>
      <c r="H376">
        <f>IFERROR(INDEX(PP_Grid[#Data],$DD376,6),0)</f>
        <v/>
      </c>
      <c r="I376">
        <f>IFERROR(INDEX(PP_Grid[#Data],$DD376,7),0)</f>
        <v/>
      </c>
      <c r="J376">
        <f>IFERROR(INDEX(PP_Grid[#Data],$DD376,8),0)</f>
        <v/>
      </c>
      <c r="K376">
        <f>IFERROR(INDEX(PP_Grid[#Data],$DD376,9),0)</f>
        <v/>
      </c>
      <c r="L376">
        <f>IFERROR(INDEX(PP_Grid[#Data],$DD376,10),0)</f>
        <v/>
      </c>
      <c r="M376">
        <f>IFERROR(INDEX(PP_Grid[#Data],$DD376,11),0)</f>
        <v/>
      </c>
      <c r="N376">
        <f>IFERROR(INDEX(PP_Grid[#Data],$DD376,12),0)</f>
        <v/>
      </c>
      <c r="O376">
        <f>IFERROR(INDEX(PP_Grid[#Data],$DD376,13),0)</f>
        <v/>
      </c>
      <c r="P376">
        <f>IFERROR(INDEX(PP_Grid[#Data],$DD376,14),0)</f>
        <v/>
      </c>
      <c r="Q376">
        <f>IFERROR(INDEX(PP_Grid[#Data],$DD376,15),0)</f>
        <v/>
      </c>
      <c r="R376">
        <f>IFERROR(INDEX(PP_Grid[#Data],$DD376,16),0)</f>
        <v/>
      </c>
      <c r="S376">
        <f>IFERROR(INDEX(PP_Grid[#Data],$DD376,17),0)</f>
        <v/>
      </c>
      <c r="T376">
        <f>IFERROR(INDEX(PP_Grid[#Data],$DD376,18),0)</f>
        <v/>
      </c>
      <c r="U376">
        <f>IFERROR(INDEX(PP_Grid[#Data],$DD376,19),0)</f>
        <v/>
      </c>
      <c r="V376">
        <f>IFERROR(INDEX(PP_Grid[#Data],$DD376,20),0)</f>
        <v/>
      </c>
      <c r="W376">
        <f>IFERROR(INDEX(PP_Grid[#Data],$DD376,21),0)</f>
        <v/>
      </c>
      <c r="X376">
        <f>IFERROR(INDEX(PP_Grid[#Data],$DD376,22),0)</f>
        <v/>
      </c>
      <c r="Y376">
        <f>IFERROR(INDEX(PP_Grid[#Data],$DD376,23),0)</f>
        <v/>
      </c>
      <c r="Z376">
        <f>IFERROR(INDEX(PP_Grid[#Data],$DD376,24),0)</f>
        <v/>
      </c>
      <c r="AA376">
        <f>IFERROR(INDEX(PP_Grid[#Data],$DD376,25),0)</f>
        <v/>
      </c>
      <c r="AB376">
        <f>IFERROR(INDEX(PP_Grid[#Data],$DD376,26),0)</f>
        <v/>
      </c>
      <c r="AC376">
        <f>IFERROR(INDEX(PP_Grid[#Data],$DD376,27),0)</f>
        <v/>
      </c>
      <c r="AD376">
        <f>IFERROR(INDEX(PP_Grid[#Data],$DD376,28),0)</f>
        <v/>
      </c>
      <c r="AE376">
        <f>IFERROR(INDEX(PP_Grid[#Data],$DD376,29),0)</f>
        <v/>
      </c>
      <c r="AF376">
        <f>IFERROR(INDEX(PP_Grid[#Data],$DD376,30),0)</f>
        <v/>
      </c>
      <c r="AG376">
        <f>IFERROR(INDEX(PP_Grid[#Data],$DD376,31),0)</f>
        <v/>
      </c>
      <c r="AH376">
        <f>IFERROR(INDEX(PP_Grid[#Data],$DD376,32),0)</f>
        <v/>
      </c>
      <c r="AI376">
        <f>IFERROR(INDEX(PP_Grid[#Data],$DD376,33),0)</f>
        <v/>
      </c>
      <c r="AJ376">
        <f>IFERROR(INDEX(PP_Grid[#Data],$DD376,34),0)</f>
        <v/>
      </c>
      <c r="AK376">
        <f>IFERROR(INDEX(PP_Grid[#Data],$DD376,35),0)</f>
        <v/>
      </c>
      <c r="AL376">
        <f>IFERROR(INDEX(PP_Grid[#Data],$DD376,36),0)</f>
        <v/>
      </c>
      <c r="AM376">
        <f>IFERROR(INDEX(PP_Grid[#Data],$DD376,37),0)</f>
        <v/>
      </c>
      <c r="AN376">
        <f>IFERROR(INDEX(PP_Grid[#Data],$DD376,38),0)</f>
        <v/>
      </c>
      <c r="AO376">
        <f>IFERROR(INDEX(PP_Grid[#Data],$DD376,39),0)</f>
        <v/>
      </c>
      <c r="AP376">
        <f>IFERROR(INDEX(PP_Grid[#Data],$DD376,40),0)</f>
        <v/>
      </c>
      <c r="AQ376">
        <f>IFERROR(INDEX(PP_Grid[#Data],$DD376,41),0)</f>
        <v/>
      </c>
      <c r="AR376">
        <f>IFERROR(INDEX(PP_Grid[#Data],$DD376,42),0)</f>
        <v/>
      </c>
      <c r="AS376">
        <f>IFERROR(INDEX(PP_Grid[#Data],$DD376,43),0)</f>
        <v/>
      </c>
      <c r="AT376">
        <f>IFERROR(INDEX(PP_Grid[#Data],$DD376,44),0)</f>
        <v/>
      </c>
      <c r="AU376">
        <f>IFERROR(INDEX(PP_Grid[#Data],$DD376,45),0)</f>
        <v/>
      </c>
      <c r="AV376">
        <f>IFERROR(INDEX(PP_Grid[#Data],$DD376,46),0)</f>
        <v/>
      </c>
      <c r="AW376">
        <f>IFERROR(INDEX(PP_Grid[#Data],$DD376,47),0)</f>
        <v/>
      </c>
      <c r="AX376">
        <f>IFERROR(INDEX(PP_Grid[#Data],$DD376,48),0)</f>
        <v/>
      </c>
      <c r="AY376">
        <f>IFERROR(INDEX(PP_Grid[#Data],$DD376,49),0)</f>
        <v/>
      </c>
      <c r="AZ376">
        <f>IFERROR(INDEX(PP_Grid[#Data],$DD376,50),0)</f>
        <v/>
      </c>
      <c r="BA376">
        <f>IFERROR(INDEX(PP_Grid[#Data],$DD376,51),0)</f>
        <v/>
      </c>
      <c r="BB376">
        <f>IFERROR(INDEX(PP_Grid[#Data],$DD376,52),0)</f>
        <v/>
      </c>
      <c r="BC376">
        <f>IFERROR(INDEX(PP_Grid[#Data],$DD376,53),0)</f>
        <v/>
      </c>
      <c r="BD376">
        <f>IFERROR(INDEX(PP_Grid[#Data],$DD376,54),0)</f>
        <v/>
      </c>
      <c r="BE376">
        <f>IFERROR(INDEX(PP_Grid[#Data],$DD376,55),0)</f>
        <v/>
      </c>
      <c r="BF376">
        <f>IFERROR(INDEX(PP_Grid[#Data],$DD376,56),0)</f>
        <v/>
      </c>
      <c r="BG376">
        <f>IFERROR(INDEX(PP_Grid[#Data],$DD376,57),0)</f>
        <v/>
      </c>
      <c r="BH376">
        <f>IFERROR(INDEX(PP_Grid[#Data],$DD376,58),0)</f>
        <v/>
      </c>
      <c r="BI376">
        <f>IFERROR(INDEX(PP_Grid[#Data],$DD376,59),0)</f>
        <v/>
      </c>
      <c r="BJ376">
        <f>IFERROR(INDEX(PP_Grid[#Data],$DD376,60),0)</f>
        <v/>
      </c>
      <c r="BK376">
        <f>IFERROR(INDEX(PP_Grid[#Data],$DD376,61),0)</f>
        <v/>
      </c>
      <c r="BL376">
        <f>IFERROR(INDEX(PP_Grid[#Data],$DD376,62),0)</f>
        <v/>
      </c>
      <c r="BM376">
        <f>IFERROR(INDEX(PP_Grid[#Data],$DD376,63),0)</f>
        <v/>
      </c>
      <c r="BN376">
        <f>IFERROR(INDEX(PP_Grid[#Data],$DD376,64),0)</f>
        <v/>
      </c>
      <c r="BO376">
        <f>IFERROR(INDEX(PP_Grid[#Data],$DD376,65),0)</f>
        <v/>
      </c>
      <c r="BP376">
        <f>IFERROR(INDEX(PP_Grid[#Data],$DD376,66),0)</f>
        <v/>
      </c>
      <c r="BQ376">
        <f>IFERROR(INDEX(PP_Grid[#Data],$DD376,67),0)</f>
        <v/>
      </c>
      <c r="BR376">
        <f>IFERROR(INDEX(PP_Grid[#Data],$DD376,68),0)</f>
        <v/>
      </c>
      <c r="BS376">
        <f>IFERROR(INDEX(PP_Grid[#Data],$DD376,69),0)</f>
        <v/>
      </c>
      <c r="BT376">
        <f>IFERROR(INDEX(PP_Grid[#Data],$DD376,70),0)</f>
        <v/>
      </c>
      <c r="BU376">
        <f>IFERROR(INDEX(PP_Grid[#Data],$DD376,71),0)</f>
        <v/>
      </c>
      <c r="BV376">
        <f>IFERROR(INDEX(PP_Grid[#Data],$DD376,72),0)</f>
        <v/>
      </c>
      <c r="BW376">
        <f>IFERROR(INDEX(PP_Grid[#Data],$DD376,73),0)</f>
        <v/>
      </c>
      <c r="BX376">
        <f>IFERROR(INDEX(PP_Grid[#Data],$DD376,74),0)</f>
        <v/>
      </c>
      <c r="BY376">
        <f>IFERROR(INDEX(PP_Grid[#Data],$DD376,75),0)</f>
        <v/>
      </c>
      <c r="BZ376">
        <f>IFERROR(INDEX(PP_Grid[#Data],$DD376,76),0)</f>
        <v/>
      </c>
      <c r="CA376">
        <f>IFERROR(INDEX(PP_Grid[#Data],$DD376,77),0)</f>
        <v/>
      </c>
      <c r="CB376">
        <f>IFERROR(INDEX(PP_Grid[#Data],$DD376,78),0)</f>
        <v/>
      </c>
      <c r="CC376">
        <f>IFERROR(INDEX(PP_Grid[#Data],$DD376,79),0)</f>
        <v/>
      </c>
      <c r="CD376">
        <f>IFERROR(INDEX(PP_Grid[#Data],$DD376,80),0)</f>
        <v/>
      </c>
      <c r="CE376">
        <f>IFERROR(INDEX(PP_Grid[#Data],$DD376,81),0)</f>
        <v/>
      </c>
      <c r="CF376">
        <f>IFERROR(INDEX(PP_Grid[#Data],$DD376,82),0)</f>
        <v/>
      </c>
      <c r="CG376">
        <f>IFERROR(INDEX(PP_Grid[#Data],$DD376,83),0)</f>
        <v/>
      </c>
      <c r="CH376">
        <f>IFERROR(INDEX(PP_Grid[#Data],$DD376,84),0)</f>
        <v/>
      </c>
      <c r="CI376">
        <f>IFERROR(INDEX(PP_Grid[#Data],$DD376,85),0)</f>
        <v/>
      </c>
      <c r="CJ376">
        <f>IFERROR(INDEX(PP_Grid[#Data],$DD376,86),0)</f>
        <v/>
      </c>
      <c r="CK376">
        <f>IFERROR(INDEX(PP_Grid[#Data],$DD376,87),0)</f>
        <v/>
      </c>
      <c r="CL376">
        <f>IFERROR(INDEX(PP_Grid[#Data],$DD376,88),0)</f>
        <v/>
      </c>
      <c r="CM376">
        <f>IFERROR(INDEX(PP_Grid[#Data],$DD376,89),0)</f>
        <v/>
      </c>
      <c r="CN376">
        <f>IFERROR(INDEX(PP_Grid[#Data],$DD376,90),0)</f>
        <v/>
      </c>
      <c r="CO376">
        <f>IFERROR(INDEX(PP_Grid[#Data],$DD376,91),0)</f>
        <v/>
      </c>
      <c r="CP376">
        <f>IFERROR(INDEX(PP_Grid[#Data],$DD376,92),0)</f>
        <v/>
      </c>
      <c r="CQ376">
        <f>IFERROR(INDEX(PP_Grid[#Data],$DD376,93),0)</f>
        <v/>
      </c>
      <c r="CR376">
        <f>IFERROR(INDEX(PP_Grid[#Data],$DD376,94),0)</f>
        <v/>
      </c>
      <c r="CS376">
        <f>IFERROR(INDEX(PP_Grid[#Data],$DD376,95),0)</f>
        <v/>
      </c>
      <c r="CT376">
        <f>IFERROR(INDEX(PP_Grid[#Data],$DD376,96),0)</f>
        <v/>
      </c>
      <c r="CU376">
        <f>IFERROR(INDEX(PP_Grid[#Data],$DD376,97),0)</f>
        <v/>
      </c>
      <c r="CV376">
        <f>IFERROR(INDEX(PP_Grid[#Data],$DD376,98),0)</f>
        <v/>
      </c>
      <c r="CW376">
        <f>IFERROR(INDEX(PP_Grid[#Data],$DD376,99),0)</f>
        <v/>
      </c>
      <c r="CX376">
        <f>IFERROR(INDEX(PP_Grid[#Data],$DD376,100),0)</f>
        <v/>
      </c>
      <c r="CY376">
        <f>IFERROR(INDEX(PP_Grid[#Data],$DD376,101),0)</f>
        <v/>
      </c>
      <c r="CZ376">
        <f>IFERROR(INDEX(PP_Grid[#Data],$DD376,102),0)</f>
        <v/>
      </c>
      <c r="DA376">
        <f>IFERROR(INDEX(PP_Grid[#Data],$DD376,103),0)</f>
        <v/>
      </c>
      <c r="DB376">
        <f>IFERROR(INDEX(PP_Grid[#Data],$DD376,104),0)</f>
        <v/>
      </c>
      <c r="DC376">
        <f>IFERROR(INDEX(PP_Grid[#Data],$DD376,105),0)</f>
        <v/>
      </c>
      <c r="DD376" s="7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SUMIFS(M_BOM[RM_Qty_Per_Batch],M_BOM[Intermediate],$B376,M_BOM[Part Name],$A343)</f>
        <v/>
      </c>
      <c r="D377">
        <f>$C377*D376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</row>
    <row r="378">
      <c r="B378" t="inlineStr">
        <is>
          <t>TSP-558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7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Name],$A343)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TSP-618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7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Name],$A343)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TSP-620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7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Name],$A343)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TSP-623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7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Name],$A343)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TSP-655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7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Name],$A343)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TSP-656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7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Name],$A343)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TSP-710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7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Name],$A343)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TSP-828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7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Name],$A343)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TSP-903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7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Name],$A343)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TSP-959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7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Name],$A343)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TSP-966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7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Name],$A343)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TSP-1449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7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Name],$A343)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VSP-567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7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Name],$A343)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VSP-600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7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Name],$A343)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VSP-601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7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Name],$A343)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VSP-602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7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Name],$A343)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VSP-603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7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Name],$A343)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VSP-604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7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Name],$A343)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VSP-605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7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Name],$A343)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VSP-606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7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Name],$A343)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VSP-607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7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Name],$A343)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VSP-738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7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Name],$A343)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VSP-739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7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Name],$A343)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VSP-740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7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Name],$A343)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VSP-746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7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Name],$A343)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VSP-820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7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Name],$A343)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VSP-822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7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Name],$A343)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VSP-869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7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Name],$A343)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VSP-870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7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Name],$A343)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VSP-910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7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Name],$A343)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VSP-989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7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Name],$A343)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VSP-990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7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Name],$A343)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VSZ-745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7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Name],$A343)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TSP-1499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7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Name],$A343)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s="4" t="inlineStr">
        <is>
          <t>合計使用量(kg)/週</t>
        </is>
      </c>
      <c r="D446">
        <f>'Grid_Requirement'!B15</f>
        <v/>
      </c>
      <c r="E446">
        <f>'Grid_Requirement'!C15</f>
        <v/>
      </c>
      <c r="F446">
        <f>'Grid_Requirement'!D15</f>
        <v/>
      </c>
      <c r="G446">
        <f>'Grid_Requirement'!E15</f>
        <v/>
      </c>
      <c r="H446">
        <f>'Grid_Requirement'!F15</f>
        <v/>
      </c>
      <c r="I446">
        <f>'Grid_Requirement'!G15</f>
        <v/>
      </c>
      <c r="J446">
        <f>'Grid_Requirement'!H15</f>
        <v/>
      </c>
      <c r="K446">
        <f>'Grid_Requirement'!I15</f>
        <v/>
      </c>
      <c r="L446">
        <f>'Grid_Requirement'!J15</f>
        <v/>
      </c>
      <c r="M446">
        <f>'Grid_Requirement'!K15</f>
        <v/>
      </c>
      <c r="N446">
        <f>'Grid_Requirement'!L15</f>
        <v/>
      </c>
      <c r="O446">
        <f>'Grid_Requirement'!M15</f>
        <v/>
      </c>
      <c r="P446">
        <f>'Grid_Requirement'!N15</f>
        <v/>
      </c>
      <c r="Q446">
        <f>'Grid_Requirement'!O15</f>
        <v/>
      </c>
      <c r="R446">
        <f>'Grid_Requirement'!P15</f>
        <v/>
      </c>
      <c r="S446">
        <f>'Grid_Requirement'!Q15</f>
        <v/>
      </c>
      <c r="T446">
        <f>'Grid_Requirement'!R15</f>
        <v/>
      </c>
      <c r="U446">
        <f>'Grid_Requirement'!S15</f>
        <v/>
      </c>
      <c r="V446">
        <f>'Grid_Requirement'!T15</f>
        <v/>
      </c>
      <c r="W446">
        <f>'Grid_Requirement'!U15</f>
        <v/>
      </c>
      <c r="X446">
        <f>'Grid_Requirement'!V15</f>
        <v/>
      </c>
      <c r="Y446">
        <f>'Grid_Requirement'!W15</f>
        <v/>
      </c>
      <c r="Z446">
        <f>'Grid_Requirement'!X15</f>
        <v/>
      </c>
      <c r="AA446">
        <f>'Grid_Requirement'!Y15</f>
        <v/>
      </c>
      <c r="AB446">
        <f>'Grid_Requirement'!Z15</f>
        <v/>
      </c>
      <c r="AC446">
        <f>'Grid_Requirement'!AA15</f>
        <v/>
      </c>
      <c r="AD446">
        <f>'Grid_Requirement'!AB15</f>
        <v/>
      </c>
      <c r="AE446">
        <f>'Grid_Requirement'!AC15</f>
        <v/>
      </c>
      <c r="AF446">
        <f>'Grid_Requirement'!AD15</f>
        <v/>
      </c>
      <c r="AG446">
        <f>'Grid_Requirement'!AE15</f>
        <v/>
      </c>
      <c r="AH446">
        <f>'Grid_Requirement'!AF15</f>
        <v/>
      </c>
      <c r="AI446">
        <f>'Grid_Requirement'!AG15</f>
        <v/>
      </c>
      <c r="AJ446">
        <f>'Grid_Requirement'!AH15</f>
        <v/>
      </c>
      <c r="AK446">
        <f>'Grid_Requirement'!AI15</f>
        <v/>
      </c>
      <c r="AL446">
        <f>'Grid_Requirement'!AJ15</f>
        <v/>
      </c>
      <c r="AM446">
        <f>'Grid_Requirement'!AK15</f>
        <v/>
      </c>
      <c r="AN446">
        <f>'Grid_Requirement'!AL15</f>
        <v/>
      </c>
      <c r="AO446">
        <f>'Grid_Requirement'!AM15</f>
        <v/>
      </c>
      <c r="AP446">
        <f>'Grid_Requirement'!AN15</f>
        <v/>
      </c>
      <c r="AQ446">
        <f>'Grid_Requirement'!AO15</f>
        <v/>
      </c>
      <c r="AR446">
        <f>'Grid_Requirement'!AP15</f>
        <v/>
      </c>
      <c r="AS446">
        <f>'Grid_Requirement'!AQ15</f>
        <v/>
      </c>
      <c r="AT446">
        <f>'Grid_Requirement'!AR15</f>
        <v/>
      </c>
      <c r="AU446">
        <f>'Grid_Requirement'!AS15</f>
        <v/>
      </c>
      <c r="AV446">
        <f>'Grid_Requirement'!AT15</f>
        <v/>
      </c>
      <c r="AW446">
        <f>'Grid_Requirement'!AU15</f>
        <v/>
      </c>
      <c r="AX446">
        <f>'Grid_Requirement'!AV15</f>
        <v/>
      </c>
      <c r="AY446">
        <f>'Grid_Requirement'!AW15</f>
        <v/>
      </c>
      <c r="AZ446">
        <f>'Grid_Requirement'!AX15</f>
        <v/>
      </c>
      <c r="BA446">
        <f>'Grid_Requirement'!AY15</f>
        <v/>
      </c>
      <c r="BB446">
        <f>'Grid_Requirement'!AZ15</f>
        <v/>
      </c>
      <c r="BC446">
        <f>'Grid_Requirement'!BA15</f>
        <v/>
      </c>
      <c r="BD446">
        <f>'Grid_Requirement'!BB15</f>
        <v/>
      </c>
      <c r="BE446">
        <f>'Grid_Requirement'!BC15</f>
        <v/>
      </c>
      <c r="BF446">
        <f>'Grid_Requirement'!BD15</f>
        <v/>
      </c>
      <c r="BG446">
        <f>'Grid_Requirement'!BE15</f>
        <v/>
      </c>
      <c r="BH446">
        <f>'Grid_Requirement'!BF15</f>
        <v/>
      </c>
      <c r="BI446">
        <f>'Grid_Requirement'!BG15</f>
        <v/>
      </c>
      <c r="BJ446">
        <f>'Grid_Requirement'!BH15</f>
        <v/>
      </c>
      <c r="BK446">
        <f>'Grid_Requirement'!BI15</f>
        <v/>
      </c>
      <c r="BL446">
        <f>'Grid_Requirement'!BJ15</f>
        <v/>
      </c>
      <c r="BM446">
        <f>'Grid_Requirement'!BK15</f>
        <v/>
      </c>
      <c r="BN446">
        <f>'Grid_Requirement'!BL15</f>
        <v/>
      </c>
      <c r="BO446">
        <f>'Grid_Requirement'!BM15</f>
        <v/>
      </c>
      <c r="BP446">
        <f>'Grid_Requirement'!BN15</f>
        <v/>
      </c>
      <c r="BQ446">
        <f>'Grid_Requirement'!BO15</f>
        <v/>
      </c>
      <c r="BR446">
        <f>'Grid_Requirement'!BP15</f>
        <v/>
      </c>
      <c r="BS446">
        <f>'Grid_Requirement'!BQ15</f>
        <v/>
      </c>
      <c r="BT446">
        <f>'Grid_Requirement'!BR15</f>
        <v/>
      </c>
      <c r="BU446">
        <f>'Grid_Requirement'!BS15</f>
        <v/>
      </c>
      <c r="BV446">
        <f>'Grid_Requirement'!BT15</f>
        <v/>
      </c>
      <c r="BW446">
        <f>'Grid_Requirement'!BU15</f>
        <v/>
      </c>
      <c r="BX446">
        <f>'Grid_Requirement'!BV15</f>
        <v/>
      </c>
      <c r="BY446">
        <f>'Grid_Requirement'!BW15</f>
        <v/>
      </c>
      <c r="BZ446">
        <f>'Grid_Requirement'!BX15</f>
        <v/>
      </c>
      <c r="CA446">
        <f>'Grid_Requirement'!BY15</f>
        <v/>
      </c>
      <c r="CB446">
        <f>'Grid_Requirement'!BZ15</f>
        <v/>
      </c>
      <c r="CC446">
        <f>'Grid_Requirement'!CA15</f>
        <v/>
      </c>
      <c r="CD446">
        <f>'Grid_Requirement'!CB15</f>
        <v/>
      </c>
      <c r="CE446">
        <f>'Grid_Requirement'!CC15</f>
        <v/>
      </c>
      <c r="CF446">
        <f>'Grid_Requirement'!CD15</f>
        <v/>
      </c>
      <c r="CG446">
        <f>'Grid_Requirement'!CE15</f>
        <v/>
      </c>
      <c r="CH446">
        <f>'Grid_Requirement'!CF15</f>
        <v/>
      </c>
      <c r="CI446">
        <f>'Grid_Requirement'!CG15</f>
        <v/>
      </c>
      <c r="CJ446">
        <f>'Grid_Requirement'!CH15</f>
        <v/>
      </c>
      <c r="CK446">
        <f>'Grid_Requirement'!CI15</f>
        <v/>
      </c>
      <c r="CL446">
        <f>'Grid_Requirement'!CJ15</f>
        <v/>
      </c>
      <c r="CM446">
        <f>'Grid_Requirement'!CK15</f>
        <v/>
      </c>
      <c r="CN446">
        <f>'Grid_Requirement'!CL15</f>
        <v/>
      </c>
      <c r="CO446">
        <f>'Grid_Requirement'!CM15</f>
        <v/>
      </c>
      <c r="CP446">
        <f>'Grid_Requirement'!CN15</f>
        <v/>
      </c>
      <c r="CQ446">
        <f>'Grid_Requirement'!CO15</f>
        <v/>
      </c>
      <c r="CR446">
        <f>'Grid_Requirement'!CP15</f>
        <v/>
      </c>
      <c r="CS446">
        <f>'Grid_Requirement'!CQ15</f>
        <v/>
      </c>
      <c r="CT446">
        <f>'Grid_Requirement'!CR15</f>
        <v/>
      </c>
      <c r="CU446">
        <f>'Grid_Requirement'!CS15</f>
        <v/>
      </c>
      <c r="CV446">
        <f>'Grid_Requirement'!CT15</f>
        <v/>
      </c>
      <c r="CW446">
        <f>'Grid_Requirement'!CU15</f>
        <v/>
      </c>
      <c r="CX446">
        <f>'Grid_Requirement'!CV15</f>
        <v/>
      </c>
      <c r="CY446">
        <f>'Grid_Requirement'!CW15</f>
        <v/>
      </c>
      <c r="CZ446">
        <f>'Grid_Requirement'!CX15</f>
        <v/>
      </c>
      <c r="DA446">
        <f>'Grid_Requirement'!CY15</f>
        <v/>
      </c>
      <c r="DB446">
        <f>'Grid_Requirement'!CZ15</f>
        <v/>
      </c>
      <c r="DC446">
        <f>'Grid_Requirement'!DA15</f>
        <v/>
      </c>
    </row>
    <row r="447">
      <c r="B447" t="inlineStr">
        <is>
          <t>TTAF在庫(実績,kg)</t>
        </is>
      </c>
      <c r="D447">
        <f>'T_TTAFStock'!B19</f>
        <v/>
      </c>
      <c r="E447">
        <f>'T_TTAFStock'!C19</f>
        <v/>
      </c>
      <c r="F447">
        <f>'T_TTAFStock'!D19</f>
        <v/>
      </c>
      <c r="G447">
        <f>'T_TTAFStock'!E19</f>
        <v/>
      </c>
      <c r="H447">
        <f>'T_TTAFStock'!F19</f>
        <v/>
      </c>
      <c r="I447">
        <f>'T_TTAFStock'!G19</f>
        <v/>
      </c>
      <c r="J447">
        <f>'T_TTAFStock'!H19</f>
        <v/>
      </c>
      <c r="K447">
        <f>'T_TTAFStock'!I19</f>
        <v/>
      </c>
      <c r="L447">
        <f>'T_TTAFStock'!J19</f>
        <v/>
      </c>
      <c r="M447">
        <f>'T_TTAFStock'!K19</f>
        <v/>
      </c>
      <c r="N447">
        <f>'T_TTAFStock'!L19</f>
        <v/>
      </c>
      <c r="O447">
        <f>'T_TTAFStock'!M19</f>
        <v/>
      </c>
      <c r="P447">
        <f>'T_TTAFStock'!N19</f>
        <v/>
      </c>
      <c r="Q447">
        <f>'T_TTAFStock'!O19</f>
        <v/>
      </c>
      <c r="R447">
        <f>'T_TTAFStock'!P19</f>
        <v/>
      </c>
      <c r="S447">
        <f>'T_TTAFStock'!Q19</f>
        <v/>
      </c>
      <c r="T447">
        <f>'T_TTAFStock'!R19</f>
        <v/>
      </c>
      <c r="U447">
        <f>'T_TTAFStock'!S19</f>
        <v/>
      </c>
      <c r="V447">
        <f>'T_TTAFStock'!T19</f>
        <v/>
      </c>
      <c r="W447">
        <f>'T_TTAFStock'!U19</f>
        <v/>
      </c>
      <c r="X447">
        <f>'T_TTAFStock'!V19</f>
        <v/>
      </c>
      <c r="Y447">
        <f>'T_TTAFStock'!W19</f>
        <v/>
      </c>
      <c r="Z447">
        <f>'T_TTAFStock'!X19</f>
        <v/>
      </c>
      <c r="AA447">
        <f>'T_TTAFStock'!Y19</f>
        <v/>
      </c>
      <c r="AB447">
        <f>'T_TTAFStock'!Z19</f>
        <v/>
      </c>
      <c r="AC447">
        <f>'T_TTAFStock'!AA19</f>
        <v/>
      </c>
      <c r="AD447">
        <f>'T_TTAFStock'!AB19</f>
        <v/>
      </c>
      <c r="AE447">
        <f>'T_TTAFStock'!AC19</f>
        <v/>
      </c>
      <c r="AF447">
        <f>'T_TTAFStock'!AD19</f>
        <v/>
      </c>
      <c r="AG447">
        <f>'T_TTAFStock'!AE19</f>
        <v/>
      </c>
      <c r="AH447">
        <f>'T_TTAFStock'!AF19</f>
        <v/>
      </c>
      <c r="AI447">
        <f>'T_TTAFStock'!AG19</f>
        <v/>
      </c>
      <c r="AJ447">
        <f>'T_TTAFStock'!AH19</f>
        <v/>
      </c>
      <c r="AK447">
        <f>'T_TTAFStock'!AI19</f>
        <v/>
      </c>
      <c r="AL447">
        <f>'T_TTAFStock'!AJ19</f>
        <v/>
      </c>
      <c r="AM447">
        <f>'T_TTAFStock'!AK19</f>
        <v/>
      </c>
      <c r="AN447">
        <f>'T_TTAFStock'!AL19</f>
        <v/>
      </c>
      <c r="AO447">
        <f>'T_TTAFStock'!AM19</f>
        <v/>
      </c>
      <c r="AP447">
        <f>'T_TTAFStock'!AN19</f>
        <v/>
      </c>
      <c r="AQ447">
        <f>'T_TTAFStock'!AO19</f>
        <v/>
      </c>
      <c r="AR447">
        <f>'T_TTAFStock'!AP19</f>
        <v/>
      </c>
      <c r="AS447">
        <f>'T_TTAFStock'!AQ19</f>
        <v/>
      </c>
      <c r="AT447">
        <f>'T_TTAFStock'!AR19</f>
        <v/>
      </c>
      <c r="AU447">
        <f>'T_TTAFStock'!AS19</f>
        <v/>
      </c>
      <c r="AV447">
        <f>'T_TTAFStock'!AT19</f>
        <v/>
      </c>
      <c r="AW447">
        <f>'T_TTAFStock'!AU19</f>
        <v/>
      </c>
      <c r="AX447">
        <f>'T_TTAFStock'!AV19</f>
        <v/>
      </c>
      <c r="AY447">
        <f>'T_TTAFStock'!AW19</f>
        <v/>
      </c>
      <c r="AZ447">
        <f>'T_TTAFStock'!AX19</f>
        <v/>
      </c>
      <c r="BA447">
        <f>'T_TTAFStock'!AY19</f>
        <v/>
      </c>
      <c r="BB447">
        <f>'T_TTAFStock'!AZ19</f>
        <v/>
      </c>
      <c r="BC447">
        <f>'T_TTAFStock'!BA19</f>
        <v/>
      </c>
      <c r="BD447">
        <f>'T_TTAFStock'!BB19</f>
        <v/>
      </c>
      <c r="BE447">
        <f>'T_TTAFStock'!BC19</f>
        <v/>
      </c>
      <c r="BF447">
        <f>'T_TTAFStock'!BD19</f>
        <v/>
      </c>
      <c r="BG447">
        <f>'T_TTAFStock'!BE19</f>
        <v/>
      </c>
      <c r="BH447">
        <f>'T_TTAFStock'!BF19</f>
        <v/>
      </c>
      <c r="BI447">
        <f>'T_TTAFStock'!BG19</f>
        <v/>
      </c>
      <c r="BJ447">
        <f>'T_TTAFStock'!BH19</f>
        <v/>
      </c>
      <c r="BK447">
        <f>'T_TTAFStock'!BI19</f>
        <v/>
      </c>
      <c r="BL447">
        <f>'T_TTAFStock'!BJ19</f>
        <v/>
      </c>
      <c r="BM447">
        <f>'T_TTAFStock'!BK19</f>
        <v/>
      </c>
      <c r="BN447">
        <f>'T_TTAFStock'!BL19</f>
        <v/>
      </c>
      <c r="BO447">
        <f>'T_TTAFStock'!BM19</f>
        <v/>
      </c>
      <c r="BP447">
        <f>'T_TTAFStock'!BN19</f>
        <v/>
      </c>
      <c r="BQ447">
        <f>'T_TTAFStock'!BO19</f>
        <v/>
      </c>
      <c r="BR447">
        <f>'T_TTAFStock'!BP19</f>
        <v/>
      </c>
      <c r="BS447">
        <f>'T_TTAFStock'!BQ19</f>
        <v/>
      </c>
      <c r="BT447">
        <f>'T_TTAFStock'!BR19</f>
        <v/>
      </c>
      <c r="BU447">
        <f>'T_TTAFStock'!BS19</f>
        <v/>
      </c>
      <c r="BV447">
        <f>'T_TTAFStock'!BT19</f>
        <v/>
      </c>
      <c r="BW447">
        <f>'T_TTAFStock'!BU19</f>
        <v/>
      </c>
      <c r="BX447">
        <f>'T_TTAFStock'!BV19</f>
        <v/>
      </c>
      <c r="BY447">
        <f>'T_TTAFStock'!BW19</f>
        <v/>
      </c>
      <c r="BZ447">
        <f>'T_TTAFStock'!BX19</f>
        <v/>
      </c>
      <c r="CA447">
        <f>'T_TTAFStock'!BY19</f>
        <v/>
      </c>
      <c r="CB447">
        <f>'T_TTAFStock'!BZ19</f>
        <v/>
      </c>
      <c r="CC447">
        <f>'T_TTAFStock'!CA19</f>
        <v/>
      </c>
      <c r="CD447">
        <f>'T_TTAFStock'!CB19</f>
        <v/>
      </c>
      <c r="CE447">
        <f>'T_TTAFStock'!CC19</f>
        <v/>
      </c>
      <c r="CF447">
        <f>'T_TTAFStock'!CD19</f>
        <v/>
      </c>
      <c r="CG447">
        <f>'T_TTAFStock'!CE19</f>
        <v/>
      </c>
      <c r="CH447">
        <f>'T_TTAFStock'!CF19</f>
        <v/>
      </c>
      <c r="CI447">
        <f>'T_TTAFStock'!CG19</f>
        <v/>
      </c>
      <c r="CJ447">
        <f>'T_TTAFStock'!CH19</f>
        <v/>
      </c>
      <c r="CK447">
        <f>'T_TTAFStock'!CI19</f>
        <v/>
      </c>
      <c r="CL447">
        <f>'T_TTAFStock'!CJ19</f>
        <v/>
      </c>
      <c r="CM447">
        <f>'T_TTAFStock'!CK19</f>
        <v/>
      </c>
      <c r="CN447">
        <f>'T_TTAFStock'!CL19</f>
        <v/>
      </c>
      <c r="CO447">
        <f>'T_TTAFStock'!CM19</f>
        <v/>
      </c>
      <c r="CP447">
        <f>'T_TTAFStock'!CN19</f>
        <v/>
      </c>
      <c r="CQ447">
        <f>'T_TTAFStock'!CO19</f>
        <v/>
      </c>
      <c r="CR447">
        <f>'T_TTAFStock'!CP19</f>
        <v/>
      </c>
      <c r="CS447">
        <f>'T_TTAFStock'!CQ19</f>
        <v/>
      </c>
      <c r="CT447">
        <f>'T_TTAFStock'!CR19</f>
        <v/>
      </c>
      <c r="CU447">
        <f>'T_TTAFStock'!CS19</f>
        <v/>
      </c>
      <c r="CV447">
        <f>'T_TTAFStock'!CT19</f>
        <v/>
      </c>
      <c r="CW447">
        <f>'T_TTAFStock'!CU19</f>
        <v/>
      </c>
      <c r="CX447">
        <f>'T_TTAFStock'!CV19</f>
        <v/>
      </c>
      <c r="CY447">
        <f>'T_TTAFStock'!CW19</f>
        <v/>
      </c>
      <c r="CZ447">
        <f>'T_TTAFStock'!CX19</f>
        <v/>
      </c>
      <c r="DA447">
        <f>'T_TTAFStock'!CY19</f>
        <v/>
      </c>
      <c r="DB447">
        <f>'T_TTAFStock'!CZ19</f>
        <v/>
      </c>
      <c r="DC447">
        <f>'T_TTAFStock'!DA19</f>
        <v/>
      </c>
    </row>
    <row r="448">
      <c r="B448" t="inlineStr">
        <is>
          <t>自社在庫(実績,kg)</t>
        </is>
      </c>
      <c r="D448">
        <f>'T_SelfStock'!B19</f>
        <v/>
      </c>
      <c r="E448">
        <f>'T_SelfStock'!C19</f>
        <v/>
      </c>
      <c r="F448">
        <f>'T_SelfStock'!D19</f>
        <v/>
      </c>
      <c r="G448">
        <f>'T_SelfStock'!E19</f>
        <v/>
      </c>
      <c r="H448">
        <f>'T_SelfStock'!F19</f>
        <v/>
      </c>
      <c r="I448">
        <f>'T_SelfStock'!G19</f>
        <v/>
      </c>
      <c r="J448">
        <f>'T_SelfStock'!H19</f>
        <v/>
      </c>
      <c r="K448">
        <f>'T_SelfStock'!I19</f>
        <v/>
      </c>
      <c r="L448">
        <f>'T_SelfStock'!J19</f>
        <v/>
      </c>
      <c r="M448">
        <f>'T_SelfStock'!K19</f>
        <v/>
      </c>
      <c r="N448">
        <f>'T_SelfStock'!L19</f>
        <v/>
      </c>
      <c r="O448">
        <f>'T_SelfStock'!M19</f>
        <v/>
      </c>
      <c r="P448">
        <f>'T_SelfStock'!N19</f>
        <v/>
      </c>
      <c r="Q448">
        <f>'T_SelfStock'!O19</f>
        <v/>
      </c>
      <c r="R448">
        <f>'T_SelfStock'!P19</f>
        <v/>
      </c>
      <c r="S448">
        <f>'T_SelfStock'!Q19</f>
        <v/>
      </c>
      <c r="T448">
        <f>'T_SelfStock'!R19</f>
        <v/>
      </c>
      <c r="U448">
        <f>'T_SelfStock'!S19</f>
        <v/>
      </c>
      <c r="V448">
        <f>'T_SelfStock'!T19</f>
        <v/>
      </c>
      <c r="W448">
        <f>'T_SelfStock'!U19</f>
        <v/>
      </c>
      <c r="X448">
        <f>'T_SelfStock'!V19</f>
        <v/>
      </c>
      <c r="Y448">
        <f>'T_SelfStock'!W19</f>
        <v/>
      </c>
      <c r="Z448">
        <f>'T_SelfStock'!X19</f>
        <v/>
      </c>
      <c r="AA448">
        <f>'T_SelfStock'!Y19</f>
        <v/>
      </c>
      <c r="AB448">
        <f>'T_SelfStock'!Z19</f>
        <v/>
      </c>
      <c r="AC448">
        <f>'T_SelfStock'!AA19</f>
        <v/>
      </c>
      <c r="AD448">
        <f>'T_SelfStock'!AB19</f>
        <v/>
      </c>
      <c r="AE448">
        <f>'T_SelfStock'!AC19</f>
        <v/>
      </c>
      <c r="AF448">
        <f>'T_SelfStock'!AD19</f>
        <v/>
      </c>
      <c r="AG448">
        <f>'T_SelfStock'!AE19</f>
        <v/>
      </c>
      <c r="AH448">
        <f>'T_SelfStock'!AF19</f>
        <v/>
      </c>
      <c r="AI448">
        <f>'T_SelfStock'!AG19</f>
        <v/>
      </c>
      <c r="AJ448">
        <f>'T_SelfStock'!AH19</f>
        <v/>
      </c>
      <c r="AK448">
        <f>'T_SelfStock'!AI19</f>
        <v/>
      </c>
      <c r="AL448">
        <f>'T_SelfStock'!AJ19</f>
        <v/>
      </c>
      <c r="AM448">
        <f>'T_SelfStock'!AK19</f>
        <v/>
      </c>
      <c r="AN448">
        <f>'T_SelfStock'!AL19</f>
        <v/>
      </c>
      <c r="AO448">
        <f>'T_SelfStock'!AM19</f>
        <v/>
      </c>
      <c r="AP448">
        <f>'T_SelfStock'!AN19</f>
        <v/>
      </c>
      <c r="AQ448">
        <f>'T_SelfStock'!AO19</f>
        <v/>
      </c>
      <c r="AR448">
        <f>'T_SelfStock'!AP19</f>
        <v/>
      </c>
      <c r="AS448">
        <f>'T_SelfStock'!AQ19</f>
        <v/>
      </c>
      <c r="AT448">
        <f>'T_SelfStock'!AR19</f>
        <v/>
      </c>
      <c r="AU448">
        <f>'T_SelfStock'!AS19</f>
        <v/>
      </c>
      <c r="AV448">
        <f>'T_SelfStock'!AT19</f>
        <v/>
      </c>
      <c r="AW448">
        <f>'T_SelfStock'!AU19</f>
        <v/>
      </c>
      <c r="AX448">
        <f>'T_SelfStock'!AV19</f>
        <v/>
      </c>
      <c r="AY448">
        <f>'T_SelfStock'!AW19</f>
        <v/>
      </c>
      <c r="AZ448">
        <f>'T_SelfStock'!AX19</f>
        <v/>
      </c>
      <c r="BA448">
        <f>'T_SelfStock'!AY19</f>
        <v/>
      </c>
      <c r="BB448">
        <f>'T_SelfStock'!AZ19</f>
        <v/>
      </c>
      <c r="BC448">
        <f>'T_SelfStock'!BA19</f>
        <v/>
      </c>
      <c r="BD448">
        <f>'T_SelfStock'!BB19</f>
        <v/>
      </c>
      <c r="BE448">
        <f>'T_SelfStock'!BC19</f>
        <v/>
      </c>
      <c r="BF448">
        <f>'T_SelfStock'!BD19</f>
        <v/>
      </c>
      <c r="BG448">
        <f>'T_SelfStock'!BE19</f>
        <v/>
      </c>
      <c r="BH448">
        <f>'T_SelfStock'!BF19</f>
        <v/>
      </c>
      <c r="BI448">
        <f>'T_SelfStock'!BG19</f>
        <v/>
      </c>
      <c r="BJ448">
        <f>'T_SelfStock'!BH19</f>
        <v/>
      </c>
      <c r="BK448">
        <f>'T_SelfStock'!BI19</f>
        <v/>
      </c>
      <c r="BL448">
        <f>'T_SelfStock'!BJ19</f>
        <v/>
      </c>
      <c r="BM448">
        <f>'T_SelfStock'!BK19</f>
        <v/>
      </c>
      <c r="BN448">
        <f>'T_SelfStock'!BL19</f>
        <v/>
      </c>
      <c r="BO448">
        <f>'T_SelfStock'!BM19</f>
        <v/>
      </c>
      <c r="BP448">
        <f>'T_SelfStock'!BN19</f>
        <v/>
      </c>
      <c r="BQ448">
        <f>'T_SelfStock'!BO19</f>
        <v/>
      </c>
      <c r="BR448">
        <f>'T_SelfStock'!BP19</f>
        <v/>
      </c>
      <c r="BS448">
        <f>'T_SelfStock'!BQ19</f>
        <v/>
      </c>
      <c r="BT448">
        <f>'T_SelfStock'!BR19</f>
        <v/>
      </c>
      <c r="BU448">
        <f>'T_SelfStock'!BS19</f>
        <v/>
      </c>
      <c r="BV448">
        <f>'T_SelfStock'!BT19</f>
        <v/>
      </c>
      <c r="BW448">
        <f>'T_SelfStock'!BU19</f>
        <v/>
      </c>
      <c r="BX448">
        <f>'T_SelfStock'!BV19</f>
        <v/>
      </c>
      <c r="BY448">
        <f>'T_SelfStock'!BW19</f>
        <v/>
      </c>
      <c r="BZ448">
        <f>'T_SelfStock'!BX19</f>
        <v/>
      </c>
      <c r="CA448">
        <f>'T_SelfStock'!BY19</f>
        <v/>
      </c>
      <c r="CB448">
        <f>'T_SelfStock'!BZ19</f>
        <v/>
      </c>
      <c r="CC448">
        <f>'T_SelfStock'!CA19</f>
        <v/>
      </c>
      <c r="CD448">
        <f>'T_SelfStock'!CB19</f>
        <v/>
      </c>
      <c r="CE448">
        <f>'T_SelfStock'!CC19</f>
        <v/>
      </c>
      <c r="CF448">
        <f>'T_SelfStock'!CD19</f>
        <v/>
      </c>
      <c r="CG448">
        <f>'T_SelfStock'!CE19</f>
        <v/>
      </c>
      <c r="CH448">
        <f>'T_SelfStock'!CF19</f>
        <v/>
      </c>
      <c r="CI448">
        <f>'T_SelfStock'!CG19</f>
        <v/>
      </c>
      <c r="CJ448">
        <f>'T_SelfStock'!CH19</f>
        <v/>
      </c>
      <c r="CK448">
        <f>'T_SelfStock'!CI19</f>
        <v/>
      </c>
      <c r="CL448">
        <f>'T_SelfStock'!CJ19</f>
        <v/>
      </c>
      <c r="CM448">
        <f>'T_SelfStock'!CK19</f>
        <v/>
      </c>
      <c r="CN448">
        <f>'T_SelfStock'!CL19</f>
        <v/>
      </c>
      <c r="CO448">
        <f>'T_SelfStock'!CM19</f>
        <v/>
      </c>
      <c r="CP448">
        <f>'T_SelfStock'!CN19</f>
        <v/>
      </c>
      <c r="CQ448">
        <f>'T_SelfStock'!CO19</f>
        <v/>
      </c>
      <c r="CR448">
        <f>'T_SelfStock'!CP19</f>
        <v/>
      </c>
      <c r="CS448">
        <f>'T_SelfStock'!CQ19</f>
        <v/>
      </c>
      <c r="CT448">
        <f>'T_SelfStock'!CR19</f>
        <v/>
      </c>
      <c r="CU448">
        <f>'T_SelfStock'!CS19</f>
        <v/>
      </c>
      <c r="CV448">
        <f>'T_SelfStock'!CT19</f>
        <v/>
      </c>
      <c r="CW448">
        <f>'T_SelfStock'!CU19</f>
        <v/>
      </c>
      <c r="CX448">
        <f>'T_SelfStock'!CV19</f>
        <v/>
      </c>
      <c r="CY448">
        <f>'T_SelfStock'!CW19</f>
        <v/>
      </c>
      <c r="CZ448">
        <f>'T_SelfStock'!CX19</f>
        <v/>
      </c>
      <c r="DA448">
        <f>'T_SelfStock'!CY19</f>
        <v/>
      </c>
      <c r="DB448">
        <f>'T_SelfStock'!CZ19</f>
        <v/>
      </c>
      <c r="DC448">
        <f>'T_SelfStock'!DA19</f>
        <v/>
      </c>
    </row>
    <row r="449">
      <c r="B449" t="inlineStr">
        <is>
          <t>Order(発注予定,kg)</t>
        </is>
      </c>
      <c r="D449">
        <f>IF(SUMIFS(T_PlannedOrders[EffectiveQty],T_PlannedOrders[Part Name],$A343,T_PlannedOrders[WeekIndex],1)=0,"",SUMIFS(T_PlannedOrders[EffectiveQty],T_PlannedOrders[Part Name],$A343,T_PlannedOrders[WeekIndex],1)&amp;" ("&amp;TEXT(SUMPRODUCT(MAX((T_PlannedOrders[Part Name]=$A343)*(T_PlannedOrders[WeekIndex]=1)*(T_PlannedOrders[EffectiveQty]&gt;0)*T_PlannedOrders[Order_Month])),"m月")&amp;"発注)")</f>
        <v/>
      </c>
      <c r="E449">
        <f>IF(SUMIFS(T_PlannedOrders[EffectiveQty],T_PlannedOrders[Part Name],$A343,T_PlannedOrders[WeekIndex],2)=0,"",SUMIFS(T_PlannedOrders[EffectiveQty],T_PlannedOrders[Part Name],$A343,T_PlannedOrders[WeekIndex],2)&amp;" ("&amp;TEXT(SUMPRODUCT(MAX((T_PlannedOrders[Part Name]=$A343)*(T_PlannedOrders[WeekIndex]=2)*(T_PlannedOrders[EffectiveQty]&gt;0)*T_PlannedOrders[Order_Month])),"m月")&amp;"発注)")</f>
        <v/>
      </c>
      <c r="F449">
        <f>IF(SUMIFS(T_PlannedOrders[EffectiveQty],T_PlannedOrders[Part Name],$A343,T_PlannedOrders[WeekIndex],3)=0,"",SUMIFS(T_PlannedOrders[EffectiveQty],T_PlannedOrders[Part Name],$A343,T_PlannedOrders[WeekIndex],3)&amp;" ("&amp;TEXT(SUMPRODUCT(MAX((T_PlannedOrders[Part Name]=$A343)*(T_PlannedOrders[WeekIndex]=3)*(T_PlannedOrders[EffectiveQty]&gt;0)*T_PlannedOrders[Order_Month])),"m月")&amp;"発注)")</f>
        <v/>
      </c>
      <c r="G449">
        <f>IF(SUMIFS(T_PlannedOrders[EffectiveQty],T_PlannedOrders[Part Name],$A343,T_PlannedOrders[WeekIndex],4)=0,"",SUMIFS(T_PlannedOrders[EffectiveQty],T_PlannedOrders[Part Name],$A343,T_PlannedOrders[WeekIndex],4)&amp;" ("&amp;TEXT(SUMPRODUCT(MAX((T_PlannedOrders[Part Name]=$A343)*(T_PlannedOrders[WeekIndex]=4)*(T_PlannedOrders[EffectiveQty]&gt;0)*T_PlannedOrders[Order_Month])),"m月")&amp;"発注)")</f>
        <v/>
      </c>
      <c r="H449">
        <f>IF(SUMIFS(T_PlannedOrders[EffectiveQty],T_PlannedOrders[Part Name],$A343,T_PlannedOrders[WeekIndex],5)=0,"",SUMIFS(T_PlannedOrders[EffectiveQty],T_PlannedOrders[Part Name],$A343,T_PlannedOrders[WeekIndex],5)&amp;" ("&amp;TEXT(SUMPRODUCT(MAX((T_PlannedOrders[Part Name]=$A343)*(T_PlannedOrders[WeekIndex]=5)*(T_PlannedOrders[EffectiveQty]&gt;0)*T_PlannedOrders[Order_Month])),"m月")&amp;"発注)")</f>
        <v/>
      </c>
      <c r="I449">
        <f>IF(SUMIFS(T_PlannedOrders[EffectiveQty],T_PlannedOrders[Part Name],$A343,T_PlannedOrders[WeekIndex],6)=0,"",SUMIFS(T_PlannedOrders[EffectiveQty],T_PlannedOrders[Part Name],$A343,T_PlannedOrders[WeekIndex],6)&amp;" ("&amp;TEXT(SUMPRODUCT(MAX((T_PlannedOrders[Part Name]=$A343)*(T_PlannedOrders[WeekIndex]=6)*(T_PlannedOrders[EffectiveQty]&gt;0)*T_PlannedOrders[Order_Month])),"m月")&amp;"発注)")</f>
        <v/>
      </c>
      <c r="J449">
        <f>IF(SUMIFS(T_PlannedOrders[EffectiveQty],T_PlannedOrders[Part Name],$A343,T_PlannedOrders[WeekIndex],7)=0,"",SUMIFS(T_PlannedOrders[EffectiveQty],T_PlannedOrders[Part Name],$A343,T_PlannedOrders[WeekIndex],7)&amp;" ("&amp;TEXT(SUMPRODUCT(MAX((T_PlannedOrders[Part Name]=$A343)*(T_PlannedOrders[WeekIndex]=7)*(T_PlannedOrders[EffectiveQty]&gt;0)*T_PlannedOrders[Order_Month])),"m月")&amp;"発注)")</f>
        <v/>
      </c>
      <c r="K449">
        <f>IF(SUMIFS(T_PlannedOrders[EffectiveQty],T_PlannedOrders[Part Name],$A343,T_PlannedOrders[WeekIndex],8)=0,"",SUMIFS(T_PlannedOrders[EffectiveQty],T_PlannedOrders[Part Name],$A343,T_PlannedOrders[WeekIndex],8)&amp;" ("&amp;TEXT(SUMPRODUCT(MAX((T_PlannedOrders[Part Name]=$A343)*(T_PlannedOrders[WeekIndex]=8)*(T_PlannedOrders[EffectiveQty]&gt;0)*T_PlannedOrders[Order_Month])),"m月")&amp;"発注)")</f>
        <v/>
      </c>
      <c r="L449">
        <f>IF(SUMIFS(T_PlannedOrders[EffectiveQty],T_PlannedOrders[Part Name],$A343,T_PlannedOrders[WeekIndex],9)=0,"",SUMIFS(T_PlannedOrders[EffectiveQty],T_PlannedOrders[Part Name],$A343,T_PlannedOrders[WeekIndex],9)&amp;" ("&amp;TEXT(SUMPRODUCT(MAX((T_PlannedOrders[Part Name]=$A343)*(T_PlannedOrders[WeekIndex]=9)*(T_PlannedOrders[EffectiveQty]&gt;0)*T_PlannedOrders[Order_Month])),"m月")&amp;"発注)")</f>
        <v/>
      </c>
      <c r="M449">
        <f>IF(SUMIFS(T_PlannedOrders[EffectiveQty],T_PlannedOrders[Part Name],$A343,T_PlannedOrders[WeekIndex],10)=0,"",SUMIFS(T_PlannedOrders[EffectiveQty],T_PlannedOrders[Part Name],$A343,T_PlannedOrders[WeekIndex],10)&amp;" ("&amp;TEXT(SUMPRODUCT(MAX((T_PlannedOrders[Part Name]=$A343)*(T_PlannedOrders[WeekIndex]=10)*(T_PlannedOrders[EffectiveQty]&gt;0)*T_PlannedOrders[Order_Month])),"m月")&amp;"発注)")</f>
        <v/>
      </c>
      <c r="N449">
        <f>IF(SUMIFS(T_PlannedOrders[EffectiveQty],T_PlannedOrders[Part Name],$A343,T_PlannedOrders[WeekIndex],11)=0,"",SUMIFS(T_PlannedOrders[EffectiveQty],T_PlannedOrders[Part Name],$A343,T_PlannedOrders[WeekIndex],11)&amp;" ("&amp;TEXT(SUMPRODUCT(MAX((T_PlannedOrders[Part Name]=$A343)*(T_PlannedOrders[WeekIndex]=11)*(T_PlannedOrders[EffectiveQty]&gt;0)*T_PlannedOrders[Order_Month])),"m月")&amp;"発注)")</f>
        <v/>
      </c>
      <c r="O449">
        <f>IF(SUMIFS(T_PlannedOrders[EffectiveQty],T_PlannedOrders[Part Name],$A343,T_PlannedOrders[WeekIndex],12)=0,"",SUMIFS(T_PlannedOrders[EffectiveQty],T_PlannedOrders[Part Name],$A343,T_PlannedOrders[WeekIndex],12)&amp;" ("&amp;TEXT(SUMPRODUCT(MAX((T_PlannedOrders[Part Name]=$A343)*(T_PlannedOrders[WeekIndex]=12)*(T_PlannedOrders[EffectiveQty]&gt;0)*T_PlannedOrders[Order_Month])),"m月")&amp;"発注)")</f>
        <v/>
      </c>
      <c r="P449">
        <f>IF(SUMIFS(T_PlannedOrders[EffectiveQty],T_PlannedOrders[Part Name],$A343,T_PlannedOrders[WeekIndex],13)=0,"",SUMIFS(T_PlannedOrders[EffectiveQty],T_PlannedOrders[Part Name],$A343,T_PlannedOrders[WeekIndex],13)&amp;" ("&amp;TEXT(SUMPRODUCT(MAX((T_PlannedOrders[Part Name]=$A343)*(T_PlannedOrders[WeekIndex]=13)*(T_PlannedOrders[EffectiveQty]&gt;0)*T_PlannedOrders[Order_Month])),"m月")&amp;"発注)")</f>
        <v/>
      </c>
      <c r="Q449">
        <f>IF(SUMIFS(T_PlannedOrders[EffectiveQty],T_PlannedOrders[Part Name],$A343,T_PlannedOrders[WeekIndex],14)=0,"",SUMIFS(T_PlannedOrders[EffectiveQty],T_PlannedOrders[Part Name],$A343,T_PlannedOrders[WeekIndex],14)&amp;" ("&amp;TEXT(SUMPRODUCT(MAX((T_PlannedOrders[Part Name]=$A343)*(T_PlannedOrders[WeekIndex]=14)*(T_PlannedOrders[EffectiveQty]&gt;0)*T_PlannedOrders[Order_Month])),"m月")&amp;"発注)")</f>
        <v/>
      </c>
      <c r="R449">
        <f>IF(SUMIFS(T_PlannedOrders[EffectiveQty],T_PlannedOrders[Part Name],$A343,T_PlannedOrders[WeekIndex],15)=0,"",SUMIFS(T_PlannedOrders[EffectiveQty],T_PlannedOrders[Part Name],$A343,T_PlannedOrders[WeekIndex],15)&amp;" ("&amp;TEXT(SUMPRODUCT(MAX((T_PlannedOrders[Part Name]=$A343)*(T_PlannedOrders[WeekIndex]=15)*(T_PlannedOrders[EffectiveQty]&gt;0)*T_PlannedOrders[Order_Month])),"m月")&amp;"発注)")</f>
        <v/>
      </c>
      <c r="S449">
        <f>IF(SUMIFS(T_PlannedOrders[EffectiveQty],T_PlannedOrders[Part Name],$A343,T_PlannedOrders[WeekIndex],16)=0,"",SUMIFS(T_PlannedOrders[EffectiveQty],T_PlannedOrders[Part Name],$A343,T_PlannedOrders[WeekIndex],16)&amp;" ("&amp;TEXT(SUMPRODUCT(MAX((T_PlannedOrders[Part Name]=$A343)*(T_PlannedOrders[WeekIndex]=16)*(T_PlannedOrders[EffectiveQty]&gt;0)*T_PlannedOrders[Order_Month])),"m月")&amp;"発注)")</f>
        <v/>
      </c>
      <c r="T449">
        <f>IF(SUMIFS(T_PlannedOrders[EffectiveQty],T_PlannedOrders[Part Name],$A343,T_PlannedOrders[WeekIndex],17)=0,"",SUMIFS(T_PlannedOrders[EffectiveQty],T_PlannedOrders[Part Name],$A343,T_PlannedOrders[WeekIndex],17)&amp;" ("&amp;TEXT(SUMPRODUCT(MAX((T_PlannedOrders[Part Name]=$A343)*(T_PlannedOrders[WeekIndex]=17)*(T_PlannedOrders[EffectiveQty]&gt;0)*T_PlannedOrders[Order_Month])),"m月")&amp;"発注)")</f>
        <v/>
      </c>
      <c r="U449">
        <f>IF(SUMIFS(T_PlannedOrders[EffectiveQty],T_PlannedOrders[Part Name],$A343,T_PlannedOrders[WeekIndex],18)=0,"",SUMIFS(T_PlannedOrders[EffectiveQty],T_PlannedOrders[Part Name],$A343,T_PlannedOrders[WeekIndex],18)&amp;" ("&amp;TEXT(SUMPRODUCT(MAX((T_PlannedOrders[Part Name]=$A343)*(T_PlannedOrders[WeekIndex]=18)*(T_PlannedOrders[EffectiveQty]&gt;0)*T_PlannedOrders[Order_Month])),"m月")&amp;"発注)")</f>
        <v/>
      </c>
      <c r="V449">
        <f>IF(SUMIFS(T_PlannedOrders[EffectiveQty],T_PlannedOrders[Part Name],$A343,T_PlannedOrders[WeekIndex],19)=0,"",SUMIFS(T_PlannedOrders[EffectiveQty],T_PlannedOrders[Part Name],$A343,T_PlannedOrders[WeekIndex],19)&amp;" ("&amp;TEXT(SUMPRODUCT(MAX((T_PlannedOrders[Part Name]=$A343)*(T_PlannedOrders[WeekIndex]=19)*(T_PlannedOrders[EffectiveQty]&gt;0)*T_PlannedOrders[Order_Month])),"m月")&amp;"発注)")</f>
        <v/>
      </c>
      <c r="W449">
        <f>IF(SUMIFS(T_PlannedOrders[EffectiveQty],T_PlannedOrders[Part Name],$A343,T_PlannedOrders[WeekIndex],20)=0,"",SUMIFS(T_PlannedOrders[EffectiveQty],T_PlannedOrders[Part Name],$A343,T_PlannedOrders[WeekIndex],20)&amp;" ("&amp;TEXT(SUMPRODUCT(MAX((T_PlannedOrders[Part Name]=$A343)*(T_PlannedOrders[WeekIndex]=20)*(T_PlannedOrders[EffectiveQty]&gt;0)*T_PlannedOrders[Order_Month])),"m月")&amp;"発注)")</f>
        <v/>
      </c>
      <c r="X449">
        <f>IF(SUMIFS(T_PlannedOrders[EffectiveQty],T_PlannedOrders[Part Name],$A343,T_PlannedOrders[WeekIndex],21)=0,"",SUMIFS(T_PlannedOrders[EffectiveQty],T_PlannedOrders[Part Name],$A343,T_PlannedOrders[WeekIndex],21)&amp;" ("&amp;TEXT(SUMPRODUCT(MAX((T_PlannedOrders[Part Name]=$A343)*(T_PlannedOrders[WeekIndex]=21)*(T_PlannedOrders[EffectiveQty]&gt;0)*T_PlannedOrders[Order_Month])),"m月")&amp;"発注)")</f>
        <v/>
      </c>
      <c r="Y449">
        <f>IF(SUMIFS(T_PlannedOrders[EffectiveQty],T_PlannedOrders[Part Name],$A343,T_PlannedOrders[WeekIndex],22)=0,"",SUMIFS(T_PlannedOrders[EffectiveQty],T_PlannedOrders[Part Name],$A343,T_PlannedOrders[WeekIndex],22)&amp;" ("&amp;TEXT(SUMPRODUCT(MAX((T_PlannedOrders[Part Name]=$A343)*(T_PlannedOrders[WeekIndex]=22)*(T_PlannedOrders[EffectiveQty]&gt;0)*T_PlannedOrders[Order_Month])),"m月")&amp;"発注)")</f>
        <v/>
      </c>
      <c r="Z449">
        <f>IF(SUMIFS(T_PlannedOrders[EffectiveQty],T_PlannedOrders[Part Name],$A343,T_PlannedOrders[WeekIndex],23)=0,"",SUMIFS(T_PlannedOrders[EffectiveQty],T_PlannedOrders[Part Name],$A343,T_PlannedOrders[WeekIndex],23)&amp;" ("&amp;TEXT(SUMPRODUCT(MAX((T_PlannedOrders[Part Name]=$A343)*(T_PlannedOrders[WeekIndex]=23)*(T_PlannedOrders[EffectiveQty]&gt;0)*T_PlannedOrders[Order_Month])),"m月")&amp;"発注)")</f>
        <v/>
      </c>
      <c r="AA449">
        <f>IF(SUMIFS(T_PlannedOrders[EffectiveQty],T_PlannedOrders[Part Name],$A343,T_PlannedOrders[WeekIndex],24)=0,"",SUMIFS(T_PlannedOrders[EffectiveQty],T_PlannedOrders[Part Name],$A343,T_PlannedOrders[WeekIndex],24)&amp;" ("&amp;TEXT(SUMPRODUCT(MAX((T_PlannedOrders[Part Name]=$A343)*(T_PlannedOrders[WeekIndex]=24)*(T_PlannedOrders[EffectiveQty]&gt;0)*T_PlannedOrders[Order_Month])),"m月")&amp;"発注)")</f>
        <v/>
      </c>
      <c r="AB449">
        <f>IF(SUMIFS(T_PlannedOrders[EffectiveQty],T_PlannedOrders[Part Name],$A343,T_PlannedOrders[WeekIndex],25)=0,"",SUMIFS(T_PlannedOrders[EffectiveQty],T_PlannedOrders[Part Name],$A343,T_PlannedOrders[WeekIndex],25)&amp;" ("&amp;TEXT(SUMPRODUCT(MAX((T_PlannedOrders[Part Name]=$A343)*(T_PlannedOrders[WeekIndex]=25)*(T_PlannedOrders[EffectiveQty]&gt;0)*T_PlannedOrders[Order_Month])),"m月")&amp;"発注)")</f>
        <v/>
      </c>
      <c r="AC449">
        <f>IF(SUMIFS(T_PlannedOrders[EffectiveQty],T_PlannedOrders[Part Name],$A343,T_PlannedOrders[WeekIndex],26)=0,"",SUMIFS(T_PlannedOrders[EffectiveQty],T_PlannedOrders[Part Name],$A343,T_PlannedOrders[WeekIndex],26)&amp;" ("&amp;TEXT(SUMPRODUCT(MAX((T_PlannedOrders[Part Name]=$A343)*(T_PlannedOrders[WeekIndex]=26)*(T_PlannedOrders[EffectiveQty]&gt;0)*T_PlannedOrders[Order_Month])),"m月")&amp;"発注)")</f>
        <v/>
      </c>
      <c r="AD449">
        <f>IF(SUMIFS(T_PlannedOrders[EffectiveQty],T_PlannedOrders[Part Name],$A343,T_PlannedOrders[WeekIndex],27)=0,"",SUMIFS(T_PlannedOrders[EffectiveQty],T_PlannedOrders[Part Name],$A343,T_PlannedOrders[WeekIndex],27)&amp;" ("&amp;TEXT(SUMPRODUCT(MAX((T_PlannedOrders[Part Name]=$A343)*(T_PlannedOrders[WeekIndex]=27)*(T_PlannedOrders[EffectiveQty]&gt;0)*T_PlannedOrders[Order_Month])),"m月")&amp;"発注)")</f>
        <v/>
      </c>
      <c r="AE449">
        <f>IF(SUMIFS(T_PlannedOrders[EffectiveQty],T_PlannedOrders[Part Name],$A343,T_PlannedOrders[WeekIndex],28)=0,"",SUMIFS(T_PlannedOrders[EffectiveQty],T_PlannedOrders[Part Name],$A343,T_PlannedOrders[WeekIndex],28)&amp;" ("&amp;TEXT(SUMPRODUCT(MAX((T_PlannedOrders[Part Name]=$A343)*(T_PlannedOrders[WeekIndex]=28)*(T_PlannedOrders[EffectiveQty]&gt;0)*T_PlannedOrders[Order_Month])),"m月")&amp;"発注)")</f>
        <v/>
      </c>
      <c r="AF449">
        <f>IF(SUMIFS(T_PlannedOrders[EffectiveQty],T_PlannedOrders[Part Name],$A343,T_PlannedOrders[WeekIndex],29)=0,"",SUMIFS(T_PlannedOrders[EffectiveQty],T_PlannedOrders[Part Name],$A343,T_PlannedOrders[WeekIndex],29)&amp;" ("&amp;TEXT(SUMPRODUCT(MAX((T_PlannedOrders[Part Name]=$A343)*(T_PlannedOrders[WeekIndex]=29)*(T_PlannedOrders[EffectiveQty]&gt;0)*T_PlannedOrders[Order_Month])),"m月")&amp;"発注)")</f>
        <v/>
      </c>
      <c r="AG449">
        <f>IF(SUMIFS(T_PlannedOrders[EffectiveQty],T_PlannedOrders[Part Name],$A343,T_PlannedOrders[WeekIndex],30)=0,"",SUMIFS(T_PlannedOrders[EffectiveQty],T_PlannedOrders[Part Name],$A343,T_PlannedOrders[WeekIndex],30)&amp;" ("&amp;TEXT(SUMPRODUCT(MAX((T_PlannedOrders[Part Name]=$A343)*(T_PlannedOrders[WeekIndex]=30)*(T_PlannedOrders[EffectiveQty]&gt;0)*T_PlannedOrders[Order_Month])),"m月")&amp;"発注)")</f>
        <v/>
      </c>
      <c r="AH449">
        <f>IF(SUMIFS(T_PlannedOrders[EffectiveQty],T_PlannedOrders[Part Name],$A343,T_PlannedOrders[WeekIndex],31)=0,"",SUMIFS(T_PlannedOrders[EffectiveQty],T_PlannedOrders[Part Name],$A343,T_PlannedOrders[WeekIndex],31)&amp;" ("&amp;TEXT(SUMPRODUCT(MAX((T_PlannedOrders[Part Name]=$A343)*(T_PlannedOrders[WeekIndex]=31)*(T_PlannedOrders[EffectiveQty]&gt;0)*T_PlannedOrders[Order_Month])),"m月")&amp;"発注)")</f>
        <v/>
      </c>
      <c r="AI449">
        <f>IF(SUMIFS(T_PlannedOrders[EffectiveQty],T_PlannedOrders[Part Name],$A343,T_PlannedOrders[WeekIndex],32)=0,"",SUMIFS(T_PlannedOrders[EffectiveQty],T_PlannedOrders[Part Name],$A343,T_PlannedOrders[WeekIndex],32)&amp;" ("&amp;TEXT(SUMPRODUCT(MAX((T_PlannedOrders[Part Name]=$A343)*(T_PlannedOrders[WeekIndex]=32)*(T_PlannedOrders[EffectiveQty]&gt;0)*T_PlannedOrders[Order_Month])),"m月")&amp;"発注)")</f>
        <v/>
      </c>
      <c r="AJ449">
        <f>IF(SUMIFS(T_PlannedOrders[EffectiveQty],T_PlannedOrders[Part Name],$A343,T_PlannedOrders[WeekIndex],33)=0,"",SUMIFS(T_PlannedOrders[EffectiveQty],T_PlannedOrders[Part Name],$A343,T_PlannedOrders[WeekIndex],33)&amp;" ("&amp;TEXT(SUMPRODUCT(MAX((T_PlannedOrders[Part Name]=$A343)*(T_PlannedOrders[WeekIndex]=33)*(T_PlannedOrders[EffectiveQty]&gt;0)*T_PlannedOrders[Order_Month])),"m月")&amp;"発注)")</f>
        <v/>
      </c>
      <c r="AK449">
        <f>IF(SUMIFS(T_PlannedOrders[EffectiveQty],T_PlannedOrders[Part Name],$A343,T_PlannedOrders[WeekIndex],34)=0,"",SUMIFS(T_PlannedOrders[EffectiveQty],T_PlannedOrders[Part Name],$A343,T_PlannedOrders[WeekIndex],34)&amp;" ("&amp;TEXT(SUMPRODUCT(MAX((T_PlannedOrders[Part Name]=$A343)*(T_PlannedOrders[WeekIndex]=34)*(T_PlannedOrders[EffectiveQty]&gt;0)*T_PlannedOrders[Order_Month])),"m月")&amp;"発注)")</f>
        <v/>
      </c>
      <c r="AL449">
        <f>IF(SUMIFS(T_PlannedOrders[EffectiveQty],T_PlannedOrders[Part Name],$A343,T_PlannedOrders[WeekIndex],35)=0,"",SUMIFS(T_PlannedOrders[EffectiveQty],T_PlannedOrders[Part Name],$A343,T_PlannedOrders[WeekIndex],35)&amp;" ("&amp;TEXT(SUMPRODUCT(MAX((T_PlannedOrders[Part Name]=$A343)*(T_PlannedOrders[WeekIndex]=35)*(T_PlannedOrders[EffectiveQty]&gt;0)*T_PlannedOrders[Order_Month])),"m月")&amp;"発注)")</f>
        <v/>
      </c>
      <c r="AM449">
        <f>IF(SUMIFS(T_PlannedOrders[EffectiveQty],T_PlannedOrders[Part Name],$A343,T_PlannedOrders[WeekIndex],36)=0,"",SUMIFS(T_PlannedOrders[EffectiveQty],T_PlannedOrders[Part Name],$A343,T_PlannedOrders[WeekIndex],36)&amp;" ("&amp;TEXT(SUMPRODUCT(MAX((T_PlannedOrders[Part Name]=$A343)*(T_PlannedOrders[WeekIndex]=36)*(T_PlannedOrders[EffectiveQty]&gt;0)*T_PlannedOrders[Order_Month])),"m月")&amp;"発注)")</f>
        <v/>
      </c>
      <c r="AN449">
        <f>IF(SUMIFS(T_PlannedOrders[EffectiveQty],T_PlannedOrders[Part Name],$A343,T_PlannedOrders[WeekIndex],37)=0,"",SUMIFS(T_PlannedOrders[EffectiveQty],T_PlannedOrders[Part Name],$A343,T_PlannedOrders[WeekIndex],37)&amp;" ("&amp;TEXT(SUMPRODUCT(MAX((T_PlannedOrders[Part Name]=$A343)*(T_PlannedOrders[WeekIndex]=37)*(T_PlannedOrders[EffectiveQty]&gt;0)*T_PlannedOrders[Order_Month])),"m月")&amp;"発注)")</f>
        <v/>
      </c>
      <c r="AO449">
        <f>IF(SUMIFS(T_PlannedOrders[EffectiveQty],T_PlannedOrders[Part Name],$A343,T_PlannedOrders[WeekIndex],38)=0,"",SUMIFS(T_PlannedOrders[EffectiveQty],T_PlannedOrders[Part Name],$A343,T_PlannedOrders[WeekIndex],38)&amp;" ("&amp;TEXT(SUMPRODUCT(MAX((T_PlannedOrders[Part Name]=$A343)*(T_PlannedOrders[WeekIndex]=38)*(T_PlannedOrders[EffectiveQty]&gt;0)*T_PlannedOrders[Order_Month])),"m月")&amp;"発注)")</f>
        <v/>
      </c>
      <c r="AP449">
        <f>IF(SUMIFS(T_PlannedOrders[EffectiveQty],T_PlannedOrders[Part Name],$A343,T_PlannedOrders[WeekIndex],39)=0,"",SUMIFS(T_PlannedOrders[EffectiveQty],T_PlannedOrders[Part Name],$A343,T_PlannedOrders[WeekIndex],39)&amp;" ("&amp;TEXT(SUMPRODUCT(MAX((T_PlannedOrders[Part Name]=$A343)*(T_PlannedOrders[WeekIndex]=39)*(T_PlannedOrders[EffectiveQty]&gt;0)*T_PlannedOrders[Order_Month])),"m月")&amp;"発注)")</f>
        <v/>
      </c>
      <c r="AQ449">
        <f>IF(SUMIFS(T_PlannedOrders[EffectiveQty],T_PlannedOrders[Part Name],$A343,T_PlannedOrders[WeekIndex],40)=0,"",SUMIFS(T_PlannedOrders[EffectiveQty],T_PlannedOrders[Part Name],$A343,T_PlannedOrders[WeekIndex],40)&amp;" ("&amp;TEXT(SUMPRODUCT(MAX((T_PlannedOrders[Part Name]=$A343)*(T_PlannedOrders[WeekIndex]=40)*(T_PlannedOrders[EffectiveQty]&gt;0)*T_PlannedOrders[Order_Month])),"m月")&amp;"発注)")</f>
        <v/>
      </c>
      <c r="AR449">
        <f>IF(SUMIFS(T_PlannedOrders[EffectiveQty],T_PlannedOrders[Part Name],$A343,T_PlannedOrders[WeekIndex],41)=0,"",SUMIFS(T_PlannedOrders[EffectiveQty],T_PlannedOrders[Part Name],$A343,T_PlannedOrders[WeekIndex],41)&amp;" ("&amp;TEXT(SUMPRODUCT(MAX((T_PlannedOrders[Part Name]=$A343)*(T_PlannedOrders[WeekIndex]=41)*(T_PlannedOrders[EffectiveQty]&gt;0)*T_PlannedOrders[Order_Month])),"m月")&amp;"発注)")</f>
        <v/>
      </c>
      <c r="AS449">
        <f>IF(SUMIFS(T_PlannedOrders[EffectiveQty],T_PlannedOrders[Part Name],$A343,T_PlannedOrders[WeekIndex],42)=0,"",SUMIFS(T_PlannedOrders[EffectiveQty],T_PlannedOrders[Part Name],$A343,T_PlannedOrders[WeekIndex],42)&amp;" ("&amp;TEXT(SUMPRODUCT(MAX((T_PlannedOrders[Part Name]=$A343)*(T_PlannedOrders[WeekIndex]=42)*(T_PlannedOrders[EffectiveQty]&gt;0)*T_PlannedOrders[Order_Month])),"m月")&amp;"発注)")</f>
        <v/>
      </c>
      <c r="AT449">
        <f>IF(SUMIFS(T_PlannedOrders[EffectiveQty],T_PlannedOrders[Part Name],$A343,T_PlannedOrders[WeekIndex],43)=0,"",SUMIFS(T_PlannedOrders[EffectiveQty],T_PlannedOrders[Part Name],$A343,T_PlannedOrders[WeekIndex],43)&amp;" ("&amp;TEXT(SUMPRODUCT(MAX((T_PlannedOrders[Part Name]=$A343)*(T_PlannedOrders[WeekIndex]=43)*(T_PlannedOrders[EffectiveQty]&gt;0)*T_PlannedOrders[Order_Month])),"m月")&amp;"発注)")</f>
        <v/>
      </c>
      <c r="AU449">
        <f>IF(SUMIFS(T_PlannedOrders[EffectiveQty],T_PlannedOrders[Part Name],$A343,T_PlannedOrders[WeekIndex],44)=0,"",SUMIFS(T_PlannedOrders[EffectiveQty],T_PlannedOrders[Part Name],$A343,T_PlannedOrders[WeekIndex],44)&amp;" ("&amp;TEXT(SUMPRODUCT(MAX((T_PlannedOrders[Part Name]=$A343)*(T_PlannedOrders[WeekIndex]=44)*(T_PlannedOrders[EffectiveQty]&gt;0)*T_PlannedOrders[Order_Month])),"m月")&amp;"発注)")</f>
        <v/>
      </c>
      <c r="AV449">
        <f>IF(SUMIFS(T_PlannedOrders[EffectiveQty],T_PlannedOrders[Part Name],$A343,T_PlannedOrders[WeekIndex],45)=0,"",SUMIFS(T_PlannedOrders[EffectiveQty],T_PlannedOrders[Part Name],$A343,T_PlannedOrders[WeekIndex],45)&amp;" ("&amp;TEXT(SUMPRODUCT(MAX((T_PlannedOrders[Part Name]=$A343)*(T_PlannedOrders[WeekIndex]=45)*(T_PlannedOrders[EffectiveQty]&gt;0)*T_PlannedOrders[Order_Month])),"m月")&amp;"発注)")</f>
        <v/>
      </c>
      <c r="AW449">
        <f>IF(SUMIFS(T_PlannedOrders[EffectiveQty],T_PlannedOrders[Part Name],$A343,T_PlannedOrders[WeekIndex],46)=0,"",SUMIFS(T_PlannedOrders[EffectiveQty],T_PlannedOrders[Part Name],$A343,T_PlannedOrders[WeekIndex],46)&amp;" ("&amp;TEXT(SUMPRODUCT(MAX((T_PlannedOrders[Part Name]=$A343)*(T_PlannedOrders[WeekIndex]=46)*(T_PlannedOrders[EffectiveQty]&gt;0)*T_PlannedOrders[Order_Month])),"m月")&amp;"発注)")</f>
        <v/>
      </c>
      <c r="AX449">
        <f>IF(SUMIFS(T_PlannedOrders[EffectiveQty],T_PlannedOrders[Part Name],$A343,T_PlannedOrders[WeekIndex],47)=0,"",SUMIFS(T_PlannedOrders[EffectiveQty],T_PlannedOrders[Part Name],$A343,T_PlannedOrders[WeekIndex],47)&amp;" ("&amp;TEXT(SUMPRODUCT(MAX((T_PlannedOrders[Part Name]=$A343)*(T_PlannedOrders[WeekIndex]=47)*(T_PlannedOrders[EffectiveQty]&gt;0)*T_PlannedOrders[Order_Month])),"m月")&amp;"発注)")</f>
        <v/>
      </c>
      <c r="AY449">
        <f>IF(SUMIFS(T_PlannedOrders[EffectiveQty],T_PlannedOrders[Part Name],$A343,T_PlannedOrders[WeekIndex],48)=0,"",SUMIFS(T_PlannedOrders[EffectiveQty],T_PlannedOrders[Part Name],$A343,T_PlannedOrders[WeekIndex],48)&amp;" ("&amp;TEXT(SUMPRODUCT(MAX((T_PlannedOrders[Part Name]=$A343)*(T_PlannedOrders[WeekIndex]=48)*(T_PlannedOrders[EffectiveQty]&gt;0)*T_PlannedOrders[Order_Month])),"m月")&amp;"発注)")</f>
        <v/>
      </c>
      <c r="AZ449">
        <f>IF(SUMIFS(T_PlannedOrders[EffectiveQty],T_PlannedOrders[Part Name],$A343,T_PlannedOrders[WeekIndex],49)=0,"",SUMIFS(T_PlannedOrders[EffectiveQty],T_PlannedOrders[Part Name],$A343,T_PlannedOrders[WeekIndex],49)&amp;" ("&amp;TEXT(SUMPRODUCT(MAX((T_PlannedOrders[Part Name]=$A343)*(T_PlannedOrders[WeekIndex]=49)*(T_PlannedOrders[EffectiveQty]&gt;0)*T_PlannedOrders[Order_Month])),"m月")&amp;"発注)")</f>
        <v/>
      </c>
      <c r="BA449">
        <f>IF(SUMIFS(T_PlannedOrders[EffectiveQty],T_PlannedOrders[Part Name],$A343,T_PlannedOrders[WeekIndex],50)=0,"",SUMIFS(T_PlannedOrders[EffectiveQty],T_PlannedOrders[Part Name],$A343,T_PlannedOrders[WeekIndex],50)&amp;" ("&amp;TEXT(SUMPRODUCT(MAX((T_PlannedOrders[Part Name]=$A343)*(T_PlannedOrders[WeekIndex]=50)*(T_PlannedOrders[EffectiveQty]&gt;0)*T_PlannedOrders[Order_Month])),"m月")&amp;"発注)")</f>
        <v/>
      </c>
      <c r="BB449">
        <f>IF(SUMIFS(T_PlannedOrders[EffectiveQty],T_PlannedOrders[Part Name],$A343,T_PlannedOrders[WeekIndex],51)=0,"",SUMIFS(T_PlannedOrders[EffectiveQty],T_PlannedOrders[Part Name],$A343,T_PlannedOrders[WeekIndex],51)&amp;" ("&amp;TEXT(SUMPRODUCT(MAX((T_PlannedOrders[Part Name]=$A343)*(T_PlannedOrders[WeekIndex]=51)*(T_PlannedOrders[EffectiveQty]&gt;0)*T_PlannedOrders[Order_Month])),"m月")&amp;"発注)")</f>
        <v/>
      </c>
      <c r="BC449">
        <f>IF(SUMIFS(T_PlannedOrders[EffectiveQty],T_PlannedOrders[Part Name],$A343,T_PlannedOrders[WeekIndex],52)=0,"",SUMIFS(T_PlannedOrders[EffectiveQty],T_PlannedOrders[Part Name],$A343,T_PlannedOrders[WeekIndex],52)&amp;" ("&amp;TEXT(SUMPRODUCT(MAX((T_PlannedOrders[Part Name]=$A343)*(T_PlannedOrders[WeekIndex]=52)*(T_PlannedOrders[EffectiveQty]&gt;0)*T_PlannedOrders[Order_Month])),"m月")&amp;"発注)")</f>
        <v/>
      </c>
      <c r="BD449">
        <f>IF(SUMIFS(T_PlannedOrders[EffectiveQty],T_PlannedOrders[Part Name],$A343,T_PlannedOrders[WeekIndex],53)=0,"",SUMIFS(T_PlannedOrders[EffectiveQty],T_PlannedOrders[Part Name],$A343,T_PlannedOrders[WeekIndex],53)&amp;" ("&amp;TEXT(SUMPRODUCT(MAX((T_PlannedOrders[Part Name]=$A343)*(T_PlannedOrders[WeekIndex]=53)*(T_PlannedOrders[EffectiveQty]&gt;0)*T_PlannedOrders[Order_Month])),"m月")&amp;"発注)")</f>
        <v/>
      </c>
      <c r="BE449">
        <f>IF(SUMIFS(T_PlannedOrders[EffectiveQty],T_PlannedOrders[Part Name],$A343,T_PlannedOrders[WeekIndex],54)=0,"",SUMIFS(T_PlannedOrders[EffectiveQty],T_PlannedOrders[Part Name],$A343,T_PlannedOrders[WeekIndex],54)&amp;" ("&amp;TEXT(SUMPRODUCT(MAX((T_PlannedOrders[Part Name]=$A343)*(T_PlannedOrders[WeekIndex]=54)*(T_PlannedOrders[EffectiveQty]&gt;0)*T_PlannedOrders[Order_Month])),"m月")&amp;"発注)")</f>
        <v/>
      </c>
      <c r="BF449">
        <f>IF(SUMIFS(T_PlannedOrders[EffectiveQty],T_PlannedOrders[Part Name],$A343,T_PlannedOrders[WeekIndex],55)=0,"",SUMIFS(T_PlannedOrders[EffectiveQty],T_PlannedOrders[Part Name],$A343,T_PlannedOrders[WeekIndex],55)&amp;" ("&amp;TEXT(SUMPRODUCT(MAX((T_PlannedOrders[Part Name]=$A343)*(T_PlannedOrders[WeekIndex]=55)*(T_PlannedOrders[EffectiveQty]&gt;0)*T_PlannedOrders[Order_Month])),"m月")&amp;"発注)")</f>
        <v/>
      </c>
      <c r="BG449">
        <f>IF(SUMIFS(T_PlannedOrders[EffectiveQty],T_PlannedOrders[Part Name],$A343,T_PlannedOrders[WeekIndex],56)=0,"",SUMIFS(T_PlannedOrders[EffectiveQty],T_PlannedOrders[Part Name],$A343,T_PlannedOrders[WeekIndex],56)&amp;" ("&amp;TEXT(SUMPRODUCT(MAX((T_PlannedOrders[Part Name]=$A343)*(T_PlannedOrders[WeekIndex]=56)*(T_PlannedOrders[EffectiveQty]&gt;0)*T_PlannedOrders[Order_Month])),"m月")&amp;"発注)")</f>
        <v/>
      </c>
      <c r="BH449">
        <f>IF(SUMIFS(T_PlannedOrders[EffectiveQty],T_PlannedOrders[Part Name],$A343,T_PlannedOrders[WeekIndex],57)=0,"",SUMIFS(T_PlannedOrders[EffectiveQty],T_PlannedOrders[Part Name],$A343,T_PlannedOrders[WeekIndex],57)&amp;" ("&amp;TEXT(SUMPRODUCT(MAX((T_PlannedOrders[Part Name]=$A343)*(T_PlannedOrders[WeekIndex]=57)*(T_PlannedOrders[EffectiveQty]&gt;0)*T_PlannedOrders[Order_Month])),"m月")&amp;"発注)")</f>
        <v/>
      </c>
      <c r="BI449">
        <f>IF(SUMIFS(T_PlannedOrders[EffectiveQty],T_PlannedOrders[Part Name],$A343,T_PlannedOrders[WeekIndex],58)=0,"",SUMIFS(T_PlannedOrders[EffectiveQty],T_PlannedOrders[Part Name],$A343,T_PlannedOrders[WeekIndex],58)&amp;" ("&amp;TEXT(SUMPRODUCT(MAX((T_PlannedOrders[Part Name]=$A343)*(T_PlannedOrders[WeekIndex]=58)*(T_PlannedOrders[EffectiveQty]&gt;0)*T_PlannedOrders[Order_Month])),"m月")&amp;"発注)")</f>
        <v/>
      </c>
      <c r="BJ449">
        <f>IF(SUMIFS(T_PlannedOrders[EffectiveQty],T_PlannedOrders[Part Name],$A343,T_PlannedOrders[WeekIndex],59)=0,"",SUMIFS(T_PlannedOrders[EffectiveQty],T_PlannedOrders[Part Name],$A343,T_PlannedOrders[WeekIndex],59)&amp;" ("&amp;TEXT(SUMPRODUCT(MAX((T_PlannedOrders[Part Name]=$A343)*(T_PlannedOrders[WeekIndex]=59)*(T_PlannedOrders[EffectiveQty]&gt;0)*T_PlannedOrders[Order_Month])),"m月")&amp;"発注)")</f>
        <v/>
      </c>
      <c r="BK449">
        <f>IF(SUMIFS(T_PlannedOrders[EffectiveQty],T_PlannedOrders[Part Name],$A343,T_PlannedOrders[WeekIndex],60)=0,"",SUMIFS(T_PlannedOrders[EffectiveQty],T_PlannedOrders[Part Name],$A343,T_PlannedOrders[WeekIndex],60)&amp;" ("&amp;TEXT(SUMPRODUCT(MAX((T_PlannedOrders[Part Name]=$A343)*(T_PlannedOrders[WeekIndex]=60)*(T_PlannedOrders[EffectiveQty]&gt;0)*T_PlannedOrders[Order_Month])),"m月")&amp;"発注)")</f>
        <v/>
      </c>
      <c r="BL449">
        <f>IF(SUMIFS(T_PlannedOrders[EffectiveQty],T_PlannedOrders[Part Name],$A343,T_PlannedOrders[WeekIndex],61)=0,"",SUMIFS(T_PlannedOrders[EffectiveQty],T_PlannedOrders[Part Name],$A343,T_PlannedOrders[WeekIndex],61)&amp;" ("&amp;TEXT(SUMPRODUCT(MAX((T_PlannedOrders[Part Name]=$A343)*(T_PlannedOrders[WeekIndex]=61)*(T_PlannedOrders[EffectiveQty]&gt;0)*T_PlannedOrders[Order_Month])),"m月")&amp;"発注)")</f>
        <v/>
      </c>
      <c r="BM449">
        <f>IF(SUMIFS(T_PlannedOrders[EffectiveQty],T_PlannedOrders[Part Name],$A343,T_PlannedOrders[WeekIndex],62)=0,"",SUMIFS(T_PlannedOrders[EffectiveQty],T_PlannedOrders[Part Name],$A343,T_PlannedOrders[WeekIndex],62)&amp;" ("&amp;TEXT(SUMPRODUCT(MAX((T_PlannedOrders[Part Name]=$A343)*(T_PlannedOrders[WeekIndex]=62)*(T_PlannedOrders[EffectiveQty]&gt;0)*T_PlannedOrders[Order_Month])),"m月")&amp;"発注)")</f>
        <v/>
      </c>
      <c r="BN449">
        <f>IF(SUMIFS(T_PlannedOrders[EffectiveQty],T_PlannedOrders[Part Name],$A343,T_PlannedOrders[WeekIndex],63)=0,"",SUMIFS(T_PlannedOrders[EffectiveQty],T_PlannedOrders[Part Name],$A343,T_PlannedOrders[WeekIndex],63)&amp;" ("&amp;TEXT(SUMPRODUCT(MAX((T_PlannedOrders[Part Name]=$A343)*(T_PlannedOrders[WeekIndex]=63)*(T_PlannedOrders[EffectiveQty]&gt;0)*T_PlannedOrders[Order_Month])),"m月")&amp;"発注)")</f>
        <v/>
      </c>
      <c r="BO449">
        <f>IF(SUMIFS(T_PlannedOrders[EffectiveQty],T_PlannedOrders[Part Name],$A343,T_PlannedOrders[WeekIndex],64)=0,"",SUMIFS(T_PlannedOrders[EffectiveQty],T_PlannedOrders[Part Name],$A343,T_PlannedOrders[WeekIndex],64)&amp;" ("&amp;TEXT(SUMPRODUCT(MAX((T_PlannedOrders[Part Name]=$A343)*(T_PlannedOrders[WeekIndex]=64)*(T_PlannedOrders[EffectiveQty]&gt;0)*T_PlannedOrders[Order_Month])),"m月")&amp;"発注)")</f>
        <v/>
      </c>
      <c r="BP449">
        <f>IF(SUMIFS(T_PlannedOrders[EffectiveQty],T_PlannedOrders[Part Name],$A343,T_PlannedOrders[WeekIndex],65)=0,"",SUMIFS(T_PlannedOrders[EffectiveQty],T_PlannedOrders[Part Name],$A343,T_PlannedOrders[WeekIndex],65)&amp;" ("&amp;TEXT(SUMPRODUCT(MAX((T_PlannedOrders[Part Name]=$A343)*(T_PlannedOrders[WeekIndex]=65)*(T_PlannedOrders[EffectiveQty]&gt;0)*T_PlannedOrders[Order_Month])),"m月")&amp;"発注)")</f>
        <v/>
      </c>
      <c r="BQ449">
        <f>IF(SUMIFS(T_PlannedOrders[EffectiveQty],T_PlannedOrders[Part Name],$A343,T_PlannedOrders[WeekIndex],66)=0,"",SUMIFS(T_PlannedOrders[EffectiveQty],T_PlannedOrders[Part Name],$A343,T_PlannedOrders[WeekIndex],66)&amp;" ("&amp;TEXT(SUMPRODUCT(MAX((T_PlannedOrders[Part Name]=$A343)*(T_PlannedOrders[WeekIndex]=66)*(T_PlannedOrders[EffectiveQty]&gt;0)*T_PlannedOrders[Order_Month])),"m月")&amp;"発注)")</f>
        <v/>
      </c>
      <c r="BR449">
        <f>IF(SUMIFS(T_PlannedOrders[EffectiveQty],T_PlannedOrders[Part Name],$A343,T_PlannedOrders[WeekIndex],67)=0,"",SUMIFS(T_PlannedOrders[EffectiveQty],T_PlannedOrders[Part Name],$A343,T_PlannedOrders[WeekIndex],67)&amp;" ("&amp;TEXT(SUMPRODUCT(MAX((T_PlannedOrders[Part Name]=$A343)*(T_PlannedOrders[WeekIndex]=67)*(T_PlannedOrders[EffectiveQty]&gt;0)*T_PlannedOrders[Order_Month])),"m月")&amp;"発注)")</f>
        <v/>
      </c>
      <c r="BS449">
        <f>IF(SUMIFS(T_PlannedOrders[EffectiveQty],T_PlannedOrders[Part Name],$A343,T_PlannedOrders[WeekIndex],68)=0,"",SUMIFS(T_PlannedOrders[EffectiveQty],T_PlannedOrders[Part Name],$A343,T_PlannedOrders[WeekIndex],68)&amp;" ("&amp;TEXT(SUMPRODUCT(MAX((T_PlannedOrders[Part Name]=$A343)*(T_PlannedOrders[WeekIndex]=68)*(T_PlannedOrders[EffectiveQty]&gt;0)*T_PlannedOrders[Order_Month])),"m月")&amp;"発注)")</f>
        <v/>
      </c>
      <c r="BT449">
        <f>IF(SUMIFS(T_PlannedOrders[EffectiveQty],T_PlannedOrders[Part Name],$A343,T_PlannedOrders[WeekIndex],69)=0,"",SUMIFS(T_PlannedOrders[EffectiveQty],T_PlannedOrders[Part Name],$A343,T_PlannedOrders[WeekIndex],69)&amp;" ("&amp;TEXT(SUMPRODUCT(MAX((T_PlannedOrders[Part Name]=$A343)*(T_PlannedOrders[WeekIndex]=69)*(T_PlannedOrders[EffectiveQty]&gt;0)*T_PlannedOrders[Order_Month])),"m月")&amp;"発注)")</f>
        <v/>
      </c>
      <c r="BU449">
        <f>IF(SUMIFS(T_PlannedOrders[EffectiveQty],T_PlannedOrders[Part Name],$A343,T_PlannedOrders[WeekIndex],70)=0,"",SUMIFS(T_PlannedOrders[EffectiveQty],T_PlannedOrders[Part Name],$A343,T_PlannedOrders[WeekIndex],70)&amp;" ("&amp;TEXT(SUMPRODUCT(MAX((T_PlannedOrders[Part Name]=$A343)*(T_PlannedOrders[WeekIndex]=70)*(T_PlannedOrders[EffectiveQty]&gt;0)*T_PlannedOrders[Order_Month])),"m月")&amp;"発注)")</f>
        <v/>
      </c>
      <c r="BV449">
        <f>IF(SUMIFS(T_PlannedOrders[EffectiveQty],T_PlannedOrders[Part Name],$A343,T_PlannedOrders[WeekIndex],71)=0,"",SUMIFS(T_PlannedOrders[EffectiveQty],T_PlannedOrders[Part Name],$A343,T_PlannedOrders[WeekIndex],71)&amp;" ("&amp;TEXT(SUMPRODUCT(MAX((T_PlannedOrders[Part Name]=$A343)*(T_PlannedOrders[WeekIndex]=71)*(T_PlannedOrders[EffectiveQty]&gt;0)*T_PlannedOrders[Order_Month])),"m月")&amp;"発注)")</f>
        <v/>
      </c>
      <c r="BW449">
        <f>IF(SUMIFS(T_PlannedOrders[EffectiveQty],T_PlannedOrders[Part Name],$A343,T_PlannedOrders[WeekIndex],72)=0,"",SUMIFS(T_PlannedOrders[EffectiveQty],T_PlannedOrders[Part Name],$A343,T_PlannedOrders[WeekIndex],72)&amp;" ("&amp;TEXT(SUMPRODUCT(MAX((T_PlannedOrders[Part Name]=$A343)*(T_PlannedOrders[WeekIndex]=72)*(T_PlannedOrders[EffectiveQty]&gt;0)*T_PlannedOrders[Order_Month])),"m月")&amp;"発注)")</f>
        <v/>
      </c>
      <c r="BX449">
        <f>IF(SUMIFS(T_PlannedOrders[EffectiveQty],T_PlannedOrders[Part Name],$A343,T_PlannedOrders[WeekIndex],73)=0,"",SUMIFS(T_PlannedOrders[EffectiveQty],T_PlannedOrders[Part Name],$A343,T_PlannedOrders[WeekIndex],73)&amp;" ("&amp;TEXT(SUMPRODUCT(MAX((T_PlannedOrders[Part Name]=$A343)*(T_PlannedOrders[WeekIndex]=73)*(T_PlannedOrders[EffectiveQty]&gt;0)*T_PlannedOrders[Order_Month])),"m月")&amp;"発注)")</f>
        <v/>
      </c>
      <c r="BY449">
        <f>IF(SUMIFS(T_PlannedOrders[EffectiveQty],T_PlannedOrders[Part Name],$A343,T_PlannedOrders[WeekIndex],74)=0,"",SUMIFS(T_PlannedOrders[EffectiveQty],T_PlannedOrders[Part Name],$A343,T_PlannedOrders[WeekIndex],74)&amp;" ("&amp;TEXT(SUMPRODUCT(MAX((T_PlannedOrders[Part Name]=$A343)*(T_PlannedOrders[WeekIndex]=74)*(T_PlannedOrders[EffectiveQty]&gt;0)*T_PlannedOrders[Order_Month])),"m月")&amp;"発注)")</f>
        <v/>
      </c>
      <c r="BZ449">
        <f>IF(SUMIFS(T_PlannedOrders[EffectiveQty],T_PlannedOrders[Part Name],$A343,T_PlannedOrders[WeekIndex],75)=0,"",SUMIFS(T_PlannedOrders[EffectiveQty],T_PlannedOrders[Part Name],$A343,T_PlannedOrders[WeekIndex],75)&amp;" ("&amp;TEXT(SUMPRODUCT(MAX((T_PlannedOrders[Part Name]=$A343)*(T_PlannedOrders[WeekIndex]=75)*(T_PlannedOrders[EffectiveQty]&gt;0)*T_PlannedOrders[Order_Month])),"m月")&amp;"発注)")</f>
        <v/>
      </c>
      <c r="CA449">
        <f>IF(SUMIFS(T_PlannedOrders[EffectiveQty],T_PlannedOrders[Part Name],$A343,T_PlannedOrders[WeekIndex],76)=0,"",SUMIFS(T_PlannedOrders[EffectiveQty],T_PlannedOrders[Part Name],$A343,T_PlannedOrders[WeekIndex],76)&amp;" ("&amp;TEXT(SUMPRODUCT(MAX((T_PlannedOrders[Part Name]=$A343)*(T_PlannedOrders[WeekIndex]=76)*(T_PlannedOrders[EffectiveQty]&gt;0)*T_PlannedOrders[Order_Month])),"m月")&amp;"発注)")</f>
        <v/>
      </c>
      <c r="CB449">
        <f>IF(SUMIFS(T_PlannedOrders[EffectiveQty],T_PlannedOrders[Part Name],$A343,T_PlannedOrders[WeekIndex],77)=0,"",SUMIFS(T_PlannedOrders[EffectiveQty],T_PlannedOrders[Part Name],$A343,T_PlannedOrders[WeekIndex],77)&amp;" ("&amp;TEXT(SUMPRODUCT(MAX((T_PlannedOrders[Part Name]=$A343)*(T_PlannedOrders[WeekIndex]=77)*(T_PlannedOrders[EffectiveQty]&gt;0)*T_PlannedOrders[Order_Month])),"m月")&amp;"発注)")</f>
        <v/>
      </c>
      <c r="CC449">
        <f>IF(SUMIFS(T_PlannedOrders[EffectiveQty],T_PlannedOrders[Part Name],$A343,T_PlannedOrders[WeekIndex],78)=0,"",SUMIFS(T_PlannedOrders[EffectiveQty],T_PlannedOrders[Part Name],$A343,T_PlannedOrders[WeekIndex],78)&amp;" ("&amp;TEXT(SUMPRODUCT(MAX((T_PlannedOrders[Part Name]=$A343)*(T_PlannedOrders[WeekIndex]=78)*(T_PlannedOrders[EffectiveQty]&gt;0)*T_PlannedOrders[Order_Month])),"m月")&amp;"発注)")</f>
        <v/>
      </c>
      <c r="CD449">
        <f>IF(SUMIFS(T_PlannedOrders[EffectiveQty],T_PlannedOrders[Part Name],$A343,T_PlannedOrders[WeekIndex],79)=0,"",SUMIFS(T_PlannedOrders[EffectiveQty],T_PlannedOrders[Part Name],$A343,T_PlannedOrders[WeekIndex],79)&amp;" ("&amp;TEXT(SUMPRODUCT(MAX((T_PlannedOrders[Part Name]=$A343)*(T_PlannedOrders[WeekIndex]=79)*(T_PlannedOrders[EffectiveQty]&gt;0)*T_PlannedOrders[Order_Month])),"m月")&amp;"発注)")</f>
        <v/>
      </c>
      <c r="CE449">
        <f>IF(SUMIFS(T_PlannedOrders[EffectiveQty],T_PlannedOrders[Part Name],$A343,T_PlannedOrders[WeekIndex],80)=0,"",SUMIFS(T_PlannedOrders[EffectiveQty],T_PlannedOrders[Part Name],$A343,T_PlannedOrders[WeekIndex],80)&amp;" ("&amp;TEXT(SUMPRODUCT(MAX((T_PlannedOrders[Part Name]=$A343)*(T_PlannedOrders[WeekIndex]=80)*(T_PlannedOrders[EffectiveQty]&gt;0)*T_PlannedOrders[Order_Month])),"m月")&amp;"発注)")</f>
        <v/>
      </c>
      <c r="CF449">
        <f>IF(SUMIFS(T_PlannedOrders[EffectiveQty],T_PlannedOrders[Part Name],$A343,T_PlannedOrders[WeekIndex],81)=0,"",SUMIFS(T_PlannedOrders[EffectiveQty],T_PlannedOrders[Part Name],$A343,T_PlannedOrders[WeekIndex],81)&amp;" ("&amp;TEXT(SUMPRODUCT(MAX((T_PlannedOrders[Part Name]=$A343)*(T_PlannedOrders[WeekIndex]=81)*(T_PlannedOrders[EffectiveQty]&gt;0)*T_PlannedOrders[Order_Month])),"m月")&amp;"発注)")</f>
        <v/>
      </c>
      <c r="CG449">
        <f>IF(SUMIFS(T_PlannedOrders[EffectiveQty],T_PlannedOrders[Part Name],$A343,T_PlannedOrders[WeekIndex],82)=0,"",SUMIFS(T_PlannedOrders[EffectiveQty],T_PlannedOrders[Part Name],$A343,T_PlannedOrders[WeekIndex],82)&amp;" ("&amp;TEXT(SUMPRODUCT(MAX((T_PlannedOrders[Part Name]=$A343)*(T_PlannedOrders[WeekIndex]=82)*(T_PlannedOrders[EffectiveQty]&gt;0)*T_PlannedOrders[Order_Month])),"m月")&amp;"発注)")</f>
        <v/>
      </c>
      <c r="CH449">
        <f>IF(SUMIFS(T_PlannedOrders[EffectiveQty],T_PlannedOrders[Part Name],$A343,T_PlannedOrders[WeekIndex],83)=0,"",SUMIFS(T_PlannedOrders[EffectiveQty],T_PlannedOrders[Part Name],$A343,T_PlannedOrders[WeekIndex],83)&amp;" ("&amp;TEXT(SUMPRODUCT(MAX((T_PlannedOrders[Part Name]=$A343)*(T_PlannedOrders[WeekIndex]=83)*(T_PlannedOrders[EffectiveQty]&gt;0)*T_PlannedOrders[Order_Month])),"m月")&amp;"発注)")</f>
        <v/>
      </c>
      <c r="CI449">
        <f>IF(SUMIFS(T_PlannedOrders[EffectiveQty],T_PlannedOrders[Part Name],$A343,T_PlannedOrders[WeekIndex],84)=0,"",SUMIFS(T_PlannedOrders[EffectiveQty],T_PlannedOrders[Part Name],$A343,T_PlannedOrders[WeekIndex],84)&amp;" ("&amp;TEXT(SUMPRODUCT(MAX((T_PlannedOrders[Part Name]=$A343)*(T_PlannedOrders[WeekIndex]=84)*(T_PlannedOrders[EffectiveQty]&gt;0)*T_PlannedOrders[Order_Month])),"m月")&amp;"発注)")</f>
        <v/>
      </c>
      <c r="CJ449">
        <f>IF(SUMIFS(T_PlannedOrders[EffectiveQty],T_PlannedOrders[Part Name],$A343,T_PlannedOrders[WeekIndex],85)=0,"",SUMIFS(T_PlannedOrders[EffectiveQty],T_PlannedOrders[Part Name],$A343,T_PlannedOrders[WeekIndex],85)&amp;" ("&amp;TEXT(SUMPRODUCT(MAX((T_PlannedOrders[Part Name]=$A343)*(T_PlannedOrders[WeekIndex]=85)*(T_PlannedOrders[EffectiveQty]&gt;0)*T_PlannedOrders[Order_Month])),"m月")&amp;"発注)")</f>
        <v/>
      </c>
      <c r="CK449">
        <f>IF(SUMIFS(T_PlannedOrders[EffectiveQty],T_PlannedOrders[Part Name],$A343,T_PlannedOrders[WeekIndex],86)=0,"",SUMIFS(T_PlannedOrders[EffectiveQty],T_PlannedOrders[Part Name],$A343,T_PlannedOrders[WeekIndex],86)&amp;" ("&amp;TEXT(SUMPRODUCT(MAX((T_PlannedOrders[Part Name]=$A343)*(T_PlannedOrders[WeekIndex]=86)*(T_PlannedOrders[EffectiveQty]&gt;0)*T_PlannedOrders[Order_Month])),"m月")&amp;"発注)")</f>
        <v/>
      </c>
      <c r="CL449">
        <f>IF(SUMIFS(T_PlannedOrders[EffectiveQty],T_PlannedOrders[Part Name],$A343,T_PlannedOrders[WeekIndex],87)=0,"",SUMIFS(T_PlannedOrders[EffectiveQty],T_PlannedOrders[Part Name],$A343,T_PlannedOrders[WeekIndex],87)&amp;" ("&amp;TEXT(SUMPRODUCT(MAX((T_PlannedOrders[Part Name]=$A343)*(T_PlannedOrders[WeekIndex]=87)*(T_PlannedOrders[EffectiveQty]&gt;0)*T_PlannedOrders[Order_Month])),"m月")&amp;"発注)")</f>
        <v/>
      </c>
      <c r="CM449">
        <f>IF(SUMIFS(T_PlannedOrders[EffectiveQty],T_PlannedOrders[Part Name],$A343,T_PlannedOrders[WeekIndex],88)=0,"",SUMIFS(T_PlannedOrders[EffectiveQty],T_PlannedOrders[Part Name],$A343,T_PlannedOrders[WeekIndex],88)&amp;" ("&amp;TEXT(SUMPRODUCT(MAX((T_PlannedOrders[Part Name]=$A343)*(T_PlannedOrders[WeekIndex]=88)*(T_PlannedOrders[EffectiveQty]&gt;0)*T_PlannedOrders[Order_Month])),"m月")&amp;"発注)")</f>
        <v/>
      </c>
      <c r="CN449">
        <f>IF(SUMIFS(T_PlannedOrders[EffectiveQty],T_PlannedOrders[Part Name],$A343,T_PlannedOrders[WeekIndex],89)=0,"",SUMIFS(T_PlannedOrders[EffectiveQty],T_PlannedOrders[Part Name],$A343,T_PlannedOrders[WeekIndex],89)&amp;" ("&amp;TEXT(SUMPRODUCT(MAX((T_PlannedOrders[Part Name]=$A343)*(T_PlannedOrders[WeekIndex]=89)*(T_PlannedOrders[EffectiveQty]&gt;0)*T_PlannedOrders[Order_Month])),"m月")&amp;"発注)")</f>
        <v/>
      </c>
      <c r="CO449">
        <f>IF(SUMIFS(T_PlannedOrders[EffectiveQty],T_PlannedOrders[Part Name],$A343,T_PlannedOrders[WeekIndex],90)=0,"",SUMIFS(T_PlannedOrders[EffectiveQty],T_PlannedOrders[Part Name],$A343,T_PlannedOrders[WeekIndex],90)&amp;" ("&amp;TEXT(SUMPRODUCT(MAX((T_PlannedOrders[Part Name]=$A343)*(T_PlannedOrders[WeekIndex]=90)*(T_PlannedOrders[EffectiveQty]&gt;0)*T_PlannedOrders[Order_Month])),"m月")&amp;"発注)")</f>
        <v/>
      </c>
      <c r="CP449">
        <f>IF(SUMIFS(T_PlannedOrders[EffectiveQty],T_PlannedOrders[Part Name],$A343,T_PlannedOrders[WeekIndex],91)=0,"",SUMIFS(T_PlannedOrders[EffectiveQty],T_PlannedOrders[Part Name],$A343,T_PlannedOrders[WeekIndex],91)&amp;" ("&amp;TEXT(SUMPRODUCT(MAX((T_PlannedOrders[Part Name]=$A343)*(T_PlannedOrders[WeekIndex]=91)*(T_PlannedOrders[EffectiveQty]&gt;0)*T_PlannedOrders[Order_Month])),"m月")&amp;"発注)")</f>
        <v/>
      </c>
      <c r="CQ449">
        <f>IF(SUMIFS(T_PlannedOrders[EffectiveQty],T_PlannedOrders[Part Name],$A343,T_PlannedOrders[WeekIndex],92)=0,"",SUMIFS(T_PlannedOrders[EffectiveQty],T_PlannedOrders[Part Name],$A343,T_PlannedOrders[WeekIndex],92)&amp;" ("&amp;TEXT(SUMPRODUCT(MAX((T_PlannedOrders[Part Name]=$A343)*(T_PlannedOrders[WeekIndex]=92)*(T_PlannedOrders[EffectiveQty]&gt;0)*T_PlannedOrders[Order_Month])),"m月")&amp;"発注)")</f>
        <v/>
      </c>
      <c r="CR449">
        <f>IF(SUMIFS(T_PlannedOrders[EffectiveQty],T_PlannedOrders[Part Name],$A343,T_PlannedOrders[WeekIndex],93)=0,"",SUMIFS(T_PlannedOrders[EffectiveQty],T_PlannedOrders[Part Name],$A343,T_PlannedOrders[WeekIndex],93)&amp;" ("&amp;TEXT(SUMPRODUCT(MAX((T_PlannedOrders[Part Name]=$A343)*(T_PlannedOrders[WeekIndex]=93)*(T_PlannedOrders[EffectiveQty]&gt;0)*T_PlannedOrders[Order_Month])),"m月")&amp;"発注)")</f>
        <v/>
      </c>
      <c r="CS449">
        <f>IF(SUMIFS(T_PlannedOrders[EffectiveQty],T_PlannedOrders[Part Name],$A343,T_PlannedOrders[WeekIndex],94)=0,"",SUMIFS(T_PlannedOrders[EffectiveQty],T_PlannedOrders[Part Name],$A343,T_PlannedOrders[WeekIndex],94)&amp;" ("&amp;TEXT(SUMPRODUCT(MAX((T_PlannedOrders[Part Name]=$A343)*(T_PlannedOrders[WeekIndex]=94)*(T_PlannedOrders[EffectiveQty]&gt;0)*T_PlannedOrders[Order_Month])),"m月")&amp;"発注)")</f>
        <v/>
      </c>
      <c r="CT449">
        <f>IF(SUMIFS(T_PlannedOrders[EffectiveQty],T_PlannedOrders[Part Name],$A343,T_PlannedOrders[WeekIndex],95)=0,"",SUMIFS(T_PlannedOrders[EffectiveQty],T_PlannedOrders[Part Name],$A343,T_PlannedOrders[WeekIndex],95)&amp;" ("&amp;TEXT(SUMPRODUCT(MAX((T_PlannedOrders[Part Name]=$A343)*(T_PlannedOrders[WeekIndex]=95)*(T_PlannedOrders[EffectiveQty]&gt;0)*T_PlannedOrders[Order_Month])),"m月")&amp;"発注)")</f>
        <v/>
      </c>
      <c r="CU449">
        <f>IF(SUMIFS(T_PlannedOrders[EffectiveQty],T_PlannedOrders[Part Name],$A343,T_PlannedOrders[WeekIndex],96)=0,"",SUMIFS(T_PlannedOrders[EffectiveQty],T_PlannedOrders[Part Name],$A343,T_PlannedOrders[WeekIndex],96)&amp;" ("&amp;TEXT(SUMPRODUCT(MAX((T_PlannedOrders[Part Name]=$A343)*(T_PlannedOrders[WeekIndex]=96)*(T_PlannedOrders[EffectiveQty]&gt;0)*T_PlannedOrders[Order_Month])),"m月")&amp;"発注)")</f>
        <v/>
      </c>
      <c r="CV449">
        <f>IF(SUMIFS(T_PlannedOrders[EffectiveQty],T_PlannedOrders[Part Name],$A343,T_PlannedOrders[WeekIndex],97)=0,"",SUMIFS(T_PlannedOrders[EffectiveQty],T_PlannedOrders[Part Name],$A343,T_PlannedOrders[WeekIndex],97)&amp;" ("&amp;TEXT(SUMPRODUCT(MAX((T_PlannedOrders[Part Name]=$A343)*(T_PlannedOrders[WeekIndex]=97)*(T_PlannedOrders[EffectiveQty]&gt;0)*T_PlannedOrders[Order_Month])),"m月")&amp;"発注)")</f>
        <v/>
      </c>
      <c r="CW449">
        <f>IF(SUMIFS(T_PlannedOrders[EffectiveQty],T_PlannedOrders[Part Name],$A343,T_PlannedOrders[WeekIndex],98)=0,"",SUMIFS(T_PlannedOrders[EffectiveQty],T_PlannedOrders[Part Name],$A343,T_PlannedOrders[WeekIndex],98)&amp;" ("&amp;TEXT(SUMPRODUCT(MAX((T_PlannedOrders[Part Name]=$A343)*(T_PlannedOrders[WeekIndex]=98)*(T_PlannedOrders[EffectiveQty]&gt;0)*T_PlannedOrders[Order_Month])),"m月")&amp;"発注)")</f>
        <v/>
      </c>
      <c r="CX449">
        <f>IF(SUMIFS(T_PlannedOrders[EffectiveQty],T_PlannedOrders[Part Name],$A343,T_PlannedOrders[WeekIndex],99)=0,"",SUMIFS(T_PlannedOrders[EffectiveQty],T_PlannedOrders[Part Name],$A343,T_PlannedOrders[WeekIndex],99)&amp;" ("&amp;TEXT(SUMPRODUCT(MAX((T_PlannedOrders[Part Name]=$A343)*(T_PlannedOrders[WeekIndex]=99)*(T_PlannedOrders[EffectiveQty]&gt;0)*T_PlannedOrders[Order_Month])),"m月")&amp;"発注)")</f>
        <v/>
      </c>
      <c r="CY449">
        <f>IF(SUMIFS(T_PlannedOrders[EffectiveQty],T_PlannedOrders[Part Name],$A343,T_PlannedOrders[WeekIndex],100)=0,"",SUMIFS(T_PlannedOrders[EffectiveQty],T_PlannedOrders[Part Name],$A343,T_PlannedOrders[WeekIndex],100)&amp;" ("&amp;TEXT(SUMPRODUCT(MAX((T_PlannedOrders[Part Name]=$A343)*(T_PlannedOrders[WeekIndex]=100)*(T_PlannedOrders[EffectiveQty]&gt;0)*T_PlannedOrders[Order_Month])),"m月")&amp;"発注)")</f>
        <v/>
      </c>
      <c r="CZ449">
        <f>IF(SUMIFS(T_PlannedOrders[EffectiveQty],T_PlannedOrders[Part Name],$A343,T_PlannedOrders[WeekIndex],101)=0,"",SUMIFS(T_PlannedOrders[EffectiveQty],T_PlannedOrders[Part Name],$A343,T_PlannedOrders[WeekIndex],101)&amp;" ("&amp;TEXT(SUMPRODUCT(MAX((T_PlannedOrders[Part Name]=$A343)*(T_PlannedOrders[WeekIndex]=101)*(T_PlannedOrders[EffectiveQty]&gt;0)*T_PlannedOrders[Order_Month])),"m月")&amp;"発注)")</f>
        <v/>
      </c>
      <c r="DA449">
        <f>IF(SUMIFS(T_PlannedOrders[EffectiveQty],T_PlannedOrders[Part Name],$A343,T_PlannedOrders[WeekIndex],102)=0,"",SUMIFS(T_PlannedOrders[EffectiveQty],T_PlannedOrders[Part Name],$A343,T_PlannedOrders[WeekIndex],102)&amp;" ("&amp;TEXT(SUMPRODUCT(MAX((T_PlannedOrders[Part Name]=$A343)*(T_PlannedOrders[WeekIndex]=102)*(T_PlannedOrders[EffectiveQty]&gt;0)*T_PlannedOrders[Order_Month])),"m月")&amp;"発注)")</f>
        <v/>
      </c>
      <c r="DB449">
        <f>IF(SUMIFS(T_PlannedOrders[EffectiveQty],T_PlannedOrders[Part Name],$A343,T_PlannedOrders[WeekIndex],103)=0,"",SUMIFS(T_PlannedOrders[EffectiveQty],T_PlannedOrders[Part Name],$A343,T_PlannedOrders[WeekIndex],103)&amp;" ("&amp;TEXT(SUMPRODUCT(MAX((T_PlannedOrders[Part Name]=$A343)*(T_PlannedOrders[WeekIndex]=103)*(T_PlannedOrders[EffectiveQty]&gt;0)*T_PlannedOrders[Order_Month])),"m月")&amp;"発注)")</f>
        <v/>
      </c>
      <c r="DC449">
        <f>IF(SUMIFS(T_PlannedOrders[EffectiveQty],T_PlannedOrders[Part Name],$A343,T_PlannedOrders[WeekIndex],104)=0,"",SUMIFS(T_PlannedOrders[EffectiveQty],T_PlannedOrders[Part Name],$A343,T_PlannedOrders[WeekIndex],104)&amp;" ("&amp;TEXT(SUMPRODUCT(MAX((T_PlannedOrders[Part Name]=$A343)*(T_PlannedOrders[WeekIndex]=104)*(T_PlannedOrders[EffectiveQty]&gt;0)*T_PlannedOrders[Order_Month])),"m月")&amp;"発注)")</f>
        <v/>
      </c>
    </row>
    <row r="450">
      <c r="B450" s="4" t="inlineStr">
        <is>
          <t>合計在庫(週末時点,kg)</t>
        </is>
      </c>
      <c r="D450">
        <f>'Grid_Stock'!B15</f>
        <v/>
      </c>
      <c r="E450">
        <f>'Grid_Stock'!C15</f>
        <v/>
      </c>
      <c r="F450">
        <f>'Grid_Stock'!D15</f>
        <v/>
      </c>
      <c r="G450">
        <f>'Grid_Stock'!E15</f>
        <v/>
      </c>
      <c r="H450">
        <f>'Grid_Stock'!F15</f>
        <v/>
      </c>
      <c r="I450">
        <f>'Grid_Stock'!G15</f>
        <v/>
      </c>
      <c r="J450">
        <f>'Grid_Stock'!H15</f>
        <v/>
      </c>
      <c r="K450">
        <f>'Grid_Stock'!I15</f>
        <v/>
      </c>
      <c r="L450">
        <f>'Grid_Stock'!J15</f>
        <v/>
      </c>
      <c r="M450">
        <f>'Grid_Stock'!K15</f>
        <v/>
      </c>
      <c r="N450">
        <f>'Grid_Stock'!L15</f>
        <v/>
      </c>
      <c r="O450">
        <f>'Grid_Stock'!M15</f>
        <v/>
      </c>
      <c r="P450">
        <f>'Grid_Stock'!N15</f>
        <v/>
      </c>
      <c r="Q450">
        <f>'Grid_Stock'!O15</f>
        <v/>
      </c>
      <c r="R450">
        <f>'Grid_Stock'!P15</f>
        <v/>
      </c>
      <c r="S450">
        <f>'Grid_Stock'!Q15</f>
        <v/>
      </c>
      <c r="T450">
        <f>'Grid_Stock'!R15</f>
        <v/>
      </c>
      <c r="U450">
        <f>'Grid_Stock'!S15</f>
        <v/>
      </c>
      <c r="V450">
        <f>'Grid_Stock'!T15</f>
        <v/>
      </c>
      <c r="W450">
        <f>'Grid_Stock'!U15</f>
        <v/>
      </c>
      <c r="X450">
        <f>'Grid_Stock'!V15</f>
        <v/>
      </c>
      <c r="Y450">
        <f>'Grid_Stock'!W15</f>
        <v/>
      </c>
      <c r="Z450">
        <f>'Grid_Stock'!X15</f>
        <v/>
      </c>
      <c r="AA450">
        <f>'Grid_Stock'!Y15</f>
        <v/>
      </c>
      <c r="AB450">
        <f>'Grid_Stock'!Z15</f>
        <v/>
      </c>
      <c r="AC450">
        <f>'Grid_Stock'!AA15</f>
        <v/>
      </c>
      <c r="AD450">
        <f>'Grid_Stock'!AB15</f>
        <v/>
      </c>
      <c r="AE450">
        <f>'Grid_Stock'!AC15</f>
        <v/>
      </c>
      <c r="AF450">
        <f>'Grid_Stock'!AD15</f>
        <v/>
      </c>
      <c r="AG450">
        <f>'Grid_Stock'!AE15</f>
        <v/>
      </c>
      <c r="AH450">
        <f>'Grid_Stock'!AF15</f>
        <v/>
      </c>
      <c r="AI450">
        <f>'Grid_Stock'!AG15</f>
        <v/>
      </c>
      <c r="AJ450">
        <f>'Grid_Stock'!AH15</f>
        <v/>
      </c>
      <c r="AK450">
        <f>'Grid_Stock'!AI15</f>
        <v/>
      </c>
      <c r="AL450">
        <f>'Grid_Stock'!AJ15</f>
        <v/>
      </c>
      <c r="AM450">
        <f>'Grid_Stock'!AK15</f>
        <v/>
      </c>
      <c r="AN450">
        <f>'Grid_Stock'!AL15</f>
        <v/>
      </c>
      <c r="AO450">
        <f>'Grid_Stock'!AM15</f>
        <v/>
      </c>
      <c r="AP450">
        <f>'Grid_Stock'!AN15</f>
        <v/>
      </c>
      <c r="AQ450">
        <f>'Grid_Stock'!AO15</f>
        <v/>
      </c>
      <c r="AR450">
        <f>'Grid_Stock'!AP15</f>
        <v/>
      </c>
      <c r="AS450">
        <f>'Grid_Stock'!AQ15</f>
        <v/>
      </c>
      <c r="AT450">
        <f>'Grid_Stock'!AR15</f>
        <v/>
      </c>
      <c r="AU450">
        <f>'Grid_Stock'!AS15</f>
        <v/>
      </c>
      <c r="AV450">
        <f>'Grid_Stock'!AT15</f>
        <v/>
      </c>
      <c r="AW450">
        <f>'Grid_Stock'!AU15</f>
        <v/>
      </c>
      <c r="AX450">
        <f>'Grid_Stock'!AV15</f>
        <v/>
      </c>
      <c r="AY450">
        <f>'Grid_Stock'!AW15</f>
        <v/>
      </c>
      <c r="AZ450">
        <f>'Grid_Stock'!AX15</f>
        <v/>
      </c>
      <c r="BA450">
        <f>'Grid_Stock'!AY15</f>
        <v/>
      </c>
      <c r="BB450">
        <f>'Grid_Stock'!AZ15</f>
        <v/>
      </c>
      <c r="BC450">
        <f>'Grid_Stock'!BA15</f>
        <v/>
      </c>
      <c r="BD450">
        <f>'Grid_Stock'!BB15</f>
        <v/>
      </c>
      <c r="BE450">
        <f>'Grid_Stock'!BC15</f>
        <v/>
      </c>
      <c r="BF450">
        <f>'Grid_Stock'!BD15</f>
        <v/>
      </c>
      <c r="BG450">
        <f>'Grid_Stock'!BE15</f>
        <v/>
      </c>
      <c r="BH450">
        <f>'Grid_Stock'!BF15</f>
        <v/>
      </c>
      <c r="BI450">
        <f>'Grid_Stock'!BG15</f>
        <v/>
      </c>
      <c r="BJ450">
        <f>'Grid_Stock'!BH15</f>
        <v/>
      </c>
      <c r="BK450">
        <f>'Grid_Stock'!BI15</f>
        <v/>
      </c>
      <c r="BL450">
        <f>'Grid_Stock'!BJ15</f>
        <v/>
      </c>
      <c r="BM450">
        <f>'Grid_Stock'!BK15</f>
        <v/>
      </c>
      <c r="BN450">
        <f>'Grid_Stock'!BL15</f>
        <v/>
      </c>
      <c r="BO450">
        <f>'Grid_Stock'!BM15</f>
        <v/>
      </c>
      <c r="BP450">
        <f>'Grid_Stock'!BN15</f>
        <v/>
      </c>
      <c r="BQ450">
        <f>'Grid_Stock'!BO15</f>
        <v/>
      </c>
      <c r="BR450">
        <f>'Grid_Stock'!BP15</f>
        <v/>
      </c>
      <c r="BS450">
        <f>'Grid_Stock'!BQ15</f>
        <v/>
      </c>
      <c r="BT450">
        <f>'Grid_Stock'!BR15</f>
        <v/>
      </c>
      <c r="BU450">
        <f>'Grid_Stock'!BS15</f>
        <v/>
      </c>
      <c r="BV450">
        <f>'Grid_Stock'!BT15</f>
        <v/>
      </c>
      <c r="BW450">
        <f>'Grid_Stock'!BU15</f>
        <v/>
      </c>
      <c r="BX450">
        <f>'Grid_Stock'!BV15</f>
        <v/>
      </c>
      <c r="BY450">
        <f>'Grid_Stock'!BW15</f>
        <v/>
      </c>
      <c r="BZ450">
        <f>'Grid_Stock'!BX15</f>
        <v/>
      </c>
      <c r="CA450">
        <f>'Grid_Stock'!BY15</f>
        <v/>
      </c>
      <c r="CB450">
        <f>'Grid_Stock'!BZ15</f>
        <v/>
      </c>
      <c r="CC450">
        <f>'Grid_Stock'!CA15</f>
        <v/>
      </c>
      <c r="CD450">
        <f>'Grid_Stock'!CB15</f>
        <v/>
      </c>
      <c r="CE450">
        <f>'Grid_Stock'!CC15</f>
        <v/>
      </c>
      <c r="CF450">
        <f>'Grid_Stock'!CD15</f>
        <v/>
      </c>
      <c r="CG450">
        <f>'Grid_Stock'!CE15</f>
        <v/>
      </c>
      <c r="CH450">
        <f>'Grid_Stock'!CF15</f>
        <v/>
      </c>
      <c r="CI450">
        <f>'Grid_Stock'!CG15</f>
        <v/>
      </c>
      <c r="CJ450">
        <f>'Grid_Stock'!CH15</f>
        <v/>
      </c>
      <c r="CK450">
        <f>'Grid_Stock'!CI15</f>
        <v/>
      </c>
      <c r="CL450">
        <f>'Grid_Stock'!CJ15</f>
        <v/>
      </c>
      <c r="CM450">
        <f>'Grid_Stock'!CK15</f>
        <v/>
      </c>
      <c r="CN450">
        <f>'Grid_Stock'!CL15</f>
        <v/>
      </c>
      <c r="CO450">
        <f>'Grid_Stock'!CM15</f>
        <v/>
      </c>
      <c r="CP450">
        <f>'Grid_Stock'!CN15</f>
        <v/>
      </c>
      <c r="CQ450">
        <f>'Grid_Stock'!CO15</f>
        <v/>
      </c>
      <c r="CR450">
        <f>'Grid_Stock'!CP15</f>
        <v/>
      </c>
      <c r="CS450">
        <f>'Grid_Stock'!CQ15</f>
        <v/>
      </c>
      <c r="CT450">
        <f>'Grid_Stock'!CR15</f>
        <v/>
      </c>
      <c r="CU450">
        <f>'Grid_Stock'!CS15</f>
        <v/>
      </c>
      <c r="CV450">
        <f>'Grid_Stock'!CT15</f>
        <v/>
      </c>
      <c r="CW450">
        <f>'Grid_Stock'!CU15</f>
        <v/>
      </c>
      <c r="CX450">
        <f>'Grid_Stock'!CV15</f>
        <v/>
      </c>
      <c r="CY450">
        <f>'Grid_Stock'!CW15</f>
        <v/>
      </c>
      <c r="CZ450">
        <f>'Grid_Stock'!CX15</f>
        <v/>
      </c>
      <c r="DA450">
        <f>'Grid_Stock'!CY15</f>
        <v/>
      </c>
      <c r="DB450">
        <f>'Grid_Stock'!CZ15</f>
        <v/>
      </c>
      <c r="DC450">
        <f>'Grid_Stock'!DA15</f>
        <v/>
      </c>
    </row>
    <row r="451">
      <c r="B451" s="16" t="inlineStr">
        <is>
          <t>（発注の目安はDashboardの基準在庫[下限/上限]と色分けを参照）</t>
        </is>
      </c>
    </row>
    <row r="453">
      <c r="A453" s="14" t="inlineStr">
        <is>
          <t>CHEM-1430</t>
        </is>
      </c>
      <c r="B453" s="14" t="inlineStr">
        <is>
          <t>RCT22</t>
        </is>
      </c>
      <c r="C453" s="15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14" t="n"/>
      <c r="AH453" s="14" t="n"/>
      <c r="AI453" s="14" t="n"/>
      <c r="AJ453" s="14" t="n"/>
      <c r="AK453" s="14" t="n"/>
      <c r="AL453" s="14" t="n"/>
      <c r="AM453" s="14" t="n"/>
      <c r="AN453" s="14" t="n"/>
      <c r="AO453" s="14" t="n"/>
      <c r="AP453" s="14" t="n"/>
      <c r="AQ453" s="14" t="n"/>
      <c r="AR453" s="14" t="n"/>
      <c r="AS453" s="14" t="n"/>
      <c r="AT453" s="14" t="n"/>
      <c r="AU453" s="14" t="n"/>
      <c r="AV453" s="14" t="n"/>
      <c r="AW453" s="14" t="n"/>
      <c r="AX453" s="14" t="n"/>
      <c r="AY453" s="14" t="n"/>
      <c r="AZ453" s="14" t="n"/>
      <c r="BA453" s="14" t="n"/>
      <c r="BB453" s="14" t="n"/>
      <c r="BC453" s="14" t="n"/>
      <c r="BD453" s="14" t="n"/>
      <c r="BE453" s="14" t="n"/>
      <c r="BF453" s="14" t="n"/>
      <c r="BG453" s="14" t="n"/>
      <c r="BH453" s="14" t="n"/>
      <c r="BI453" s="14" t="n"/>
      <c r="BJ453" s="14" t="n"/>
      <c r="BK453" s="14" t="n"/>
      <c r="BL453" s="14" t="n"/>
      <c r="BM453" s="14" t="n"/>
      <c r="BN453" s="14" t="n"/>
      <c r="BO453" s="14" t="n"/>
      <c r="BP453" s="14" t="n"/>
      <c r="BQ453" s="14" t="n"/>
      <c r="BR453" s="14" t="n"/>
      <c r="BS453" s="14" t="n"/>
      <c r="BT453" s="14" t="n"/>
      <c r="BU453" s="14" t="n"/>
      <c r="BV453" s="14" t="n"/>
      <c r="BW453" s="14" t="n"/>
      <c r="BX453" s="14" t="n"/>
      <c r="BY453" s="14" t="n"/>
      <c r="BZ453" s="14" t="n"/>
      <c r="CA453" s="14" t="n"/>
      <c r="CB453" s="14" t="n"/>
      <c r="CC453" s="14" t="n"/>
      <c r="CD453" s="14" t="n"/>
      <c r="CE453" s="14" t="n"/>
      <c r="CF453" s="14" t="n"/>
      <c r="CG453" s="14" t="n"/>
      <c r="CH453" s="14" t="n"/>
      <c r="CI453" s="14" t="n"/>
      <c r="CJ453" s="14" t="n"/>
      <c r="CK453" s="14" t="n"/>
      <c r="CL453" s="14" t="n"/>
      <c r="CM453" s="14" t="n"/>
      <c r="CN453" s="14" t="n"/>
      <c r="CO453" s="14" t="n"/>
      <c r="CP453" s="14" t="n"/>
      <c r="CQ453" s="14" t="n"/>
      <c r="CR453" s="14" t="n"/>
      <c r="CS453" s="14" t="n"/>
      <c r="CT453" s="14" t="n"/>
      <c r="CU453" s="14" t="n"/>
      <c r="CV453" s="14" t="n"/>
      <c r="CW453" s="14" t="n"/>
      <c r="CX453" s="14" t="n"/>
      <c r="CY453" s="14" t="n"/>
      <c r="CZ453" s="14" t="n"/>
      <c r="DA453" s="14" t="n"/>
      <c r="DB453" s="14" t="n"/>
      <c r="DC453" s="14" t="n"/>
    </row>
    <row r="454">
      <c r="B454" t="inlineStr">
        <is>
          <t>TSP-050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Name],$A453)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TSP-078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Name],$A453)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TSP-080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Name],$A453)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TSP-088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Name],$A453)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TSP-089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Name],$A453)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TSP-105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7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Name],$A453)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TSP-225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7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Name],$A453)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s="4" t="inlineStr">
        <is>
          <t>合計使用量(kg)/週</t>
        </is>
      </c>
      <c r="D468">
        <f>'Grid_Requirement'!B32</f>
        <v/>
      </c>
      <c r="E468">
        <f>'Grid_Requirement'!C32</f>
        <v/>
      </c>
      <c r="F468">
        <f>'Grid_Requirement'!D32</f>
        <v/>
      </c>
      <c r="G468">
        <f>'Grid_Requirement'!E32</f>
        <v/>
      </c>
      <c r="H468">
        <f>'Grid_Requirement'!F32</f>
        <v/>
      </c>
      <c r="I468">
        <f>'Grid_Requirement'!G32</f>
        <v/>
      </c>
      <c r="J468">
        <f>'Grid_Requirement'!H32</f>
        <v/>
      </c>
      <c r="K468">
        <f>'Grid_Requirement'!I32</f>
        <v/>
      </c>
      <c r="L468">
        <f>'Grid_Requirement'!J32</f>
        <v/>
      </c>
      <c r="M468">
        <f>'Grid_Requirement'!K32</f>
        <v/>
      </c>
      <c r="N468">
        <f>'Grid_Requirement'!L32</f>
        <v/>
      </c>
      <c r="O468">
        <f>'Grid_Requirement'!M32</f>
        <v/>
      </c>
      <c r="P468">
        <f>'Grid_Requirement'!N32</f>
        <v/>
      </c>
      <c r="Q468">
        <f>'Grid_Requirement'!O32</f>
        <v/>
      </c>
      <c r="R468">
        <f>'Grid_Requirement'!P32</f>
        <v/>
      </c>
      <c r="S468">
        <f>'Grid_Requirement'!Q32</f>
        <v/>
      </c>
      <c r="T468">
        <f>'Grid_Requirement'!R32</f>
        <v/>
      </c>
      <c r="U468">
        <f>'Grid_Requirement'!S32</f>
        <v/>
      </c>
      <c r="V468">
        <f>'Grid_Requirement'!T32</f>
        <v/>
      </c>
      <c r="W468">
        <f>'Grid_Requirement'!U32</f>
        <v/>
      </c>
      <c r="X468">
        <f>'Grid_Requirement'!V32</f>
        <v/>
      </c>
      <c r="Y468">
        <f>'Grid_Requirement'!W32</f>
        <v/>
      </c>
      <c r="Z468">
        <f>'Grid_Requirement'!X32</f>
        <v/>
      </c>
      <c r="AA468">
        <f>'Grid_Requirement'!Y32</f>
        <v/>
      </c>
      <c r="AB468">
        <f>'Grid_Requirement'!Z32</f>
        <v/>
      </c>
      <c r="AC468">
        <f>'Grid_Requirement'!AA32</f>
        <v/>
      </c>
      <c r="AD468">
        <f>'Grid_Requirement'!AB32</f>
        <v/>
      </c>
      <c r="AE468">
        <f>'Grid_Requirement'!AC32</f>
        <v/>
      </c>
      <c r="AF468">
        <f>'Grid_Requirement'!AD32</f>
        <v/>
      </c>
      <c r="AG468">
        <f>'Grid_Requirement'!AE32</f>
        <v/>
      </c>
      <c r="AH468">
        <f>'Grid_Requirement'!AF32</f>
        <v/>
      </c>
      <c r="AI468">
        <f>'Grid_Requirement'!AG32</f>
        <v/>
      </c>
      <c r="AJ468">
        <f>'Grid_Requirement'!AH32</f>
        <v/>
      </c>
      <c r="AK468">
        <f>'Grid_Requirement'!AI32</f>
        <v/>
      </c>
      <c r="AL468">
        <f>'Grid_Requirement'!AJ32</f>
        <v/>
      </c>
      <c r="AM468">
        <f>'Grid_Requirement'!AK32</f>
        <v/>
      </c>
      <c r="AN468">
        <f>'Grid_Requirement'!AL32</f>
        <v/>
      </c>
      <c r="AO468">
        <f>'Grid_Requirement'!AM32</f>
        <v/>
      </c>
      <c r="AP468">
        <f>'Grid_Requirement'!AN32</f>
        <v/>
      </c>
      <c r="AQ468">
        <f>'Grid_Requirement'!AO32</f>
        <v/>
      </c>
      <c r="AR468">
        <f>'Grid_Requirement'!AP32</f>
        <v/>
      </c>
      <c r="AS468">
        <f>'Grid_Requirement'!AQ32</f>
        <v/>
      </c>
      <c r="AT468">
        <f>'Grid_Requirement'!AR32</f>
        <v/>
      </c>
      <c r="AU468">
        <f>'Grid_Requirement'!AS32</f>
        <v/>
      </c>
      <c r="AV468">
        <f>'Grid_Requirement'!AT32</f>
        <v/>
      </c>
      <c r="AW468">
        <f>'Grid_Requirement'!AU32</f>
        <v/>
      </c>
      <c r="AX468">
        <f>'Grid_Requirement'!AV32</f>
        <v/>
      </c>
      <c r="AY468">
        <f>'Grid_Requirement'!AW32</f>
        <v/>
      </c>
      <c r="AZ468">
        <f>'Grid_Requirement'!AX32</f>
        <v/>
      </c>
      <c r="BA468">
        <f>'Grid_Requirement'!AY32</f>
        <v/>
      </c>
      <c r="BB468">
        <f>'Grid_Requirement'!AZ32</f>
        <v/>
      </c>
      <c r="BC468">
        <f>'Grid_Requirement'!BA32</f>
        <v/>
      </c>
      <c r="BD468">
        <f>'Grid_Requirement'!BB32</f>
        <v/>
      </c>
      <c r="BE468">
        <f>'Grid_Requirement'!BC32</f>
        <v/>
      </c>
      <c r="BF468">
        <f>'Grid_Requirement'!BD32</f>
        <v/>
      </c>
      <c r="BG468">
        <f>'Grid_Requirement'!BE32</f>
        <v/>
      </c>
      <c r="BH468">
        <f>'Grid_Requirement'!BF32</f>
        <v/>
      </c>
      <c r="BI468">
        <f>'Grid_Requirement'!BG32</f>
        <v/>
      </c>
      <c r="BJ468">
        <f>'Grid_Requirement'!BH32</f>
        <v/>
      </c>
      <c r="BK468">
        <f>'Grid_Requirement'!BI32</f>
        <v/>
      </c>
      <c r="BL468">
        <f>'Grid_Requirement'!BJ32</f>
        <v/>
      </c>
      <c r="BM468">
        <f>'Grid_Requirement'!BK32</f>
        <v/>
      </c>
      <c r="BN468">
        <f>'Grid_Requirement'!BL32</f>
        <v/>
      </c>
      <c r="BO468">
        <f>'Grid_Requirement'!BM32</f>
        <v/>
      </c>
      <c r="BP468">
        <f>'Grid_Requirement'!BN32</f>
        <v/>
      </c>
      <c r="BQ468">
        <f>'Grid_Requirement'!BO32</f>
        <v/>
      </c>
      <c r="BR468">
        <f>'Grid_Requirement'!BP32</f>
        <v/>
      </c>
      <c r="BS468">
        <f>'Grid_Requirement'!BQ32</f>
        <v/>
      </c>
      <c r="BT468">
        <f>'Grid_Requirement'!BR32</f>
        <v/>
      </c>
      <c r="BU468">
        <f>'Grid_Requirement'!BS32</f>
        <v/>
      </c>
      <c r="BV468">
        <f>'Grid_Requirement'!BT32</f>
        <v/>
      </c>
      <c r="BW468">
        <f>'Grid_Requirement'!BU32</f>
        <v/>
      </c>
      <c r="BX468">
        <f>'Grid_Requirement'!BV32</f>
        <v/>
      </c>
      <c r="BY468">
        <f>'Grid_Requirement'!BW32</f>
        <v/>
      </c>
      <c r="BZ468">
        <f>'Grid_Requirement'!BX32</f>
        <v/>
      </c>
      <c r="CA468">
        <f>'Grid_Requirement'!BY32</f>
        <v/>
      </c>
      <c r="CB468">
        <f>'Grid_Requirement'!BZ32</f>
        <v/>
      </c>
      <c r="CC468">
        <f>'Grid_Requirement'!CA32</f>
        <v/>
      </c>
      <c r="CD468">
        <f>'Grid_Requirement'!CB32</f>
        <v/>
      </c>
      <c r="CE468">
        <f>'Grid_Requirement'!CC32</f>
        <v/>
      </c>
      <c r="CF468">
        <f>'Grid_Requirement'!CD32</f>
        <v/>
      </c>
      <c r="CG468">
        <f>'Grid_Requirement'!CE32</f>
        <v/>
      </c>
      <c r="CH468">
        <f>'Grid_Requirement'!CF32</f>
        <v/>
      </c>
      <c r="CI468">
        <f>'Grid_Requirement'!CG32</f>
        <v/>
      </c>
      <c r="CJ468">
        <f>'Grid_Requirement'!CH32</f>
        <v/>
      </c>
      <c r="CK468">
        <f>'Grid_Requirement'!CI32</f>
        <v/>
      </c>
      <c r="CL468">
        <f>'Grid_Requirement'!CJ32</f>
        <v/>
      </c>
      <c r="CM468">
        <f>'Grid_Requirement'!CK32</f>
        <v/>
      </c>
      <c r="CN468">
        <f>'Grid_Requirement'!CL32</f>
        <v/>
      </c>
      <c r="CO468">
        <f>'Grid_Requirement'!CM32</f>
        <v/>
      </c>
      <c r="CP468">
        <f>'Grid_Requirement'!CN32</f>
        <v/>
      </c>
      <c r="CQ468">
        <f>'Grid_Requirement'!CO32</f>
        <v/>
      </c>
      <c r="CR468">
        <f>'Grid_Requirement'!CP32</f>
        <v/>
      </c>
      <c r="CS468">
        <f>'Grid_Requirement'!CQ32</f>
        <v/>
      </c>
      <c r="CT468">
        <f>'Grid_Requirement'!CR32</f>
        <v/>
      </c>
      <c r="CU468">
        <f>'Grid_Requirement'!CS32</f>
        <v/>
      </c>
      <c r="CV468">
        <f>'Grid_Requirement'!CT32</f>
        <v/>
      </c>
      <c r="CW468">
        <f>'Grid_Requirement'!CU32</f>
        <v/>
      </c>
      <c r="CX468">
        <f>'Grid_Requirement'!CV32</f>
        <v/>
      </c>
      <c r="CY468">
        <f>'Grid_Requirement'!CW32</f>
        <v/>
      </c>
      <c r="CZ468">
        <f>'Grid_Requirement'!CX32</f>
        <v/>
      </c>
      <c r="DA468">
        <f>'Grid_Requirement'!CY32</f>
        <v/>
      </c>
      <c r="DB468">
        <f>'Grid_Requirement'!CZ32</f>
        <v/>
      </c>
      <c r="DC468">
        <f>'Grid_Requirement'!DA32</f>
        <v/>
      </c>
    </row>
    <row r="469">
      <c r="B469" t="inlineStr">
        <is>
          <t>TTAF在庫(実績,kg)</t>
        </is>
      </c>
      <c r="D469">
        <f>'T_TTAFStock'!B36</f>
        <v/>
      </c>
      <c r="E469">
        <f>'T_TTAFStock'!C36</f>
        <v/>
      </c>
      <c r="F469">
        <f>'T_TTAFStock'!D36</f>
        <v/>
      </c>
      <c r="G469">
        <f>'T_TTAFStock'!E36</f>
        <v/>
      </c>
      <c r="H469">
        <f>'T_TTAFStock'!F36</f>
        <v/>
      </c>
      <c r="I469">
        <f>'T_TTAFStock'!G36</f>
        <v/>
      </c>
      <c r="J469">
        <f>'T_TTAFStock'!H36</f>
        <v/>
      </c>
      <c r="K469">
        <f>'T_TTAFStock'!I36</f>
        <v/>
      </c>
      <c r="L469">
        <f>'T_TTAFStock'!J36</f>
        <v/>
      </c>
      <c r="M469">
        <f>'T_TTAFStock'!K36</f>
        <v/>
      </c>
      <c r="N469">
        <f>'T_TTAFStock'!L36</f>
        <v/>
      </c>
      <c r="O469">
        <f>'T_TTAFStock'!M36</f>
        <v/>
      </c>
      <c r="P469">
        <f>'T_TTAFStock'!N36</f>
        <v/>
      </c>
      <c r="Q469">
        <f>'T_TTAFStock'!O36</f>
        <v/>
      </c>
      <c r="R469">
        <f>'T_TTAFStock'!P36</f>
        <v/>
      </c>
      <c r="S469">
        <f>'T_TTAFStock'!Q36</f>
        <v/>
      </c>
      <c r="T469">
        <f>'T_TTAFStock'!R36</f>
        <v/>
      </c>
      <c r="U469">
        <f>'T_TTAFStock'!S36</f>
        <v/>
      </c>
      <c r="V469">
        <f>'T_TTAFStock'!T36</f>
        <v/>
      </c>
      <c r="W469">
        <f>'T_TTAFStock'!U36</f>
        <v/>
      </c>
      <c r="X469">
        <f>'T_TTAFStock'!V36</f>
        <v/>
      </c>
      <c r="Y469">
        <f>'T_TTAFStock'!W36</f>
        <v/>
      </c>
      <c r="Z469">
        <f>'T_TTAFStock'!X36</f>
        <v/>
      </c>
      <c r="AA469">
        <f>'T_TTAFStock'!Y36</f>
        <v/>
      </c>
      <c r="AB469">
        <f>'T_TTAFStock'!Z36</f>
        <v/>
      </c>
      <c r="AC469">
        <f>'T_TTAFStock'!AA36</f>
        <v/>
      </c>
      <c r="AD469">
        <f>'T_TTAFStock'!AB36</f>
        <v/>
      </c>
      <c r="AE469">
        <f>'T_TTAFStock'!AC36</f>
        <v/>
      </c>
      <c r="AF469">
        <f>'T_TTAFStock'!AD36</f>
        <v/>
      </c>
      <c r="AG469">
        <f>'T_TTAFStock'!AE36</f>
        <v/>
      </c>
      <c r="AH469">
        <f>'T_TTAFStock'!AF36</f>
        <v/>
      </c>
      <c r="AI469">
        <f>'T_TTAFStock'!AG36</f>
        <v/>
      </c>
      <c r="AJ469">
        <f>'T_TTAFStock'!AH36</f>
        <v/>
      </c>
      <c r="AK469">
        <f>'T_TTAFStock'!AI36</f>
        <v/>
      </c>
      <c r="AL469">
        <f>'T_TTAFStock'!AJ36</f>
        <v/>
      </c>
      <c r="AM469">
        <f>'T_TTAFStock'!AK36</f>
        <v/>
      </c>
      <c r="AN469">
        <f>'T_TTAFStock'!AL36</f>
        <v/>
      </c>
      <c r="AO469">
        <f>'T_TTAFStock'!AM36</f>
        <v/>
      </c>
      <c r="AP469">
        <f>'T_TTAFStock'!AN36</f>
        <v/>
      </c>
      <c r="AQ469">
        <f>'T_TTAFStock'!AO36</f>
        <v/>
      </c>
      <c r="AR469">
        <f>'T_TTAFStock'!AP36</f>
        <v/>
      </c>
      <c r="AS469">
        <f>'T_TTAFStock'!AQ36</f>
        <v/>
      </c>
      <c r="AT469">
        <f>'T_TTAFStock'!AR36</f>
        <v/>
      </c>
      <c r="AU469">
        <f>'T_TTAFStock'!AS36</f>
        <v/>
      </c>
      <c r="AV469">
        <f>'T_TTAFStock'!AT36</f>
        <v/>
      </c>
      <c r="AW469">
        <f>'T_TTAFStock'!AU36</f>
        <v/>
      </c>
      <c r="AX469">
        <f>'T_TTAFStock'!AV36</f>
        <v/>
      </c>
      <c r="AY469">
        <f>'T_TTAFStock'!AW36</f>
        <v/>
      </c>
      <c r="AZ469">
        <f>'T_TTAFStock'!AX36</f>
        <v/>
      </c>
      <c r="BA469">
        <f>'T_TTAFStock'!AY36</f>
        <v/>
      </c>
      <c r="BB469">
        <f>'T_TTAFStock'!AZ36</f>
        <v/>
      </c>
      <c r="BC469">
        <f>'T_TTAFStock'!BA36</f>
        <v/>
      </c>
      <c r="BD469">
        <f>'T_TTAFStock'!BB36</f>
        <v/>
      </c>
      <c r="BE469">
        <f>'T_TTAFStock'!BC36</f>
        <v/>
      </c>
      <c r="BF469">
        <f>'T_TTAFStock'!BD36</f>
        <v/>
      </c>
      <c r="BG469">
        <f>'T_TTAFStock'!BE36</f>
        <v/>
      </c>
      <c r="BH469">
        <f>'T_TTAFStock'!BF36</f>
        <v/>
      </c>
      <c r="BI469">
        <f>'T_TTAFStock'!BG36</f>
        <v/>
      </c>
      <c r="BJ469">
        <f>'T_TTAFStock'!BH36</f>
        <v/>
      </c>
      <c r="BK469">
        <f>'T_TTAFStock'!BI36</f>
        <v/>
      </c>
      <c r="BL469">
        <f>'T_TTAFStock'!BJ36</f>
        <v/>
      </c>
      <c r="BM469">
        <f>'T_TTAFStock'!BK36</f>
        <v/>
      </c>
      <c r="BN469">
        <f>'T_TTAFStock'!BL36</f>
        <v/>
      </c>
      <c r="BO469">
        <f>'T_TTAFStock'!BM36</f>
        <v/>
      </c>
      <c r="BP469">
        <f>'T_TTAFStock'!BN36</f>
        <v/>
      </c>
      <c r="BQ469">
        <f>'T_TTAFStock'!BO36</f>
        <v/>
      </c>
      <c r="BR469">
        <f>'T_TTAFStock'!BP36</f>
        <v/>
      </c>
      <c r="BS469">
        <f>'T_TTAFStock'!BQ36</f>
        <v/>
      </c>
      <c r="BT469">
        <f>'T_TTAFStock'!BR36</f>
        <v/>
      </c>
      <c r="BU469">
        <f>'T_TTAFStock'!BS36</f>
        <v/>
      </c>
      <c r="BV469">
        <f>'T_TTAFStock'!BT36</f>
        <v/>
      </c>
      <c r="BW469">
        <f>'T_TTAFStock'!BU36</f>
        <v/>
      </c>
      <c r="BX469">
        <f>'T_TTAFStock'!BV36</f>
        <v/>
      </c>
      <c r="BY469">
        <f>'T_TTAFStock'!BW36</f>
        <v/>
      </c>
      <c r="BZ469">
        <f>'T_TTAFStock'!BX36</f>
        <v/>
      </c>
      <c r="CA469">
        <f>'T_TTAFStock'!BY36</f>
        <v/>
      </c>
      <c r="CB469">
        <f>'T_TTAFStock'!BZ36</f>
        <v/>
      </c>
      <c r="CC469">
        <f>'T_TTAFStock'!CA36</f>
        <v/>
      </c>
      <c r="CD469">
        <f>'T_TTAFStock'!CB36</f>
        <v/>
      </c>
      <c r="CE469">
        <f>'T_TTAFStock'!CC36</f>
        <v/>
      </c>
      <c r="CF469">
        <f>'T_TTAFStock'!CD36</f>
        <v/>
      </c>
      <c r="CG469">
        <f>'T_TTAFStock'!CE36</f>
        <v/>
      </c>
      <c r="CH469">
        <f>'T_TTAFStock'!CF36</f>
        <v/>
      </c>
      <c r="CI469">
        <f>'T_TTAFStock'!CG36</f>
        <v/>
      </c>
      <c r="CJ469">
        <f>'T_TTAFStock'!CH36</f>
        <v/>
      </c>
      <c r="CK469">
        <f>'T_TTAFStock'!CI36</f>
        <v/>
      </c>
      <c r="CL469">
        <f>'T_TTAFStock'!CJ36</f>
        <v/>
      </c>
      <c r="CM469">
        <f>'T_TTAFStock'!CK36</f>
        <v/>
      </c>
      <c r="CN469">
        <f>'T_TTAFStock'!CL36</f>
        <v/>
      </c>
      <c r="CO469">
        <f>'T_TTAFStock'!CM36</f>
        <v/>
      </c>
      <c r="CP469">
        <f>'T_TTAFStock'!CN36</f>
        <v/>
      </c>
      <c r="CQ469">
        <f>'T_TTAFStock'!CO36</f>
        <v/>
      </c>
      <c r="CR469">
        <f>'T_TTAFStock'!CP36</f>
        <v/>
      </c>
      <c r="CS469">
        <f>'T_TTAFStock'!CQ36</f>
        <v/>
      </c>
      <c r="CT469">
        <f>'T_TTAFStock'!CR36</f>
        <v/>
      </c>
      <c r="CU469">
        <f>'T_TTAFStock'!CS36</f>
        <v/>
      </c>
      <c r="CV469">
        <f>'T_TTAFStock'!CT36</f>
        <v/>
      </c>
      <c r="CW469">
        <f>'T_TTAFStock'!CU36</f>
        <v/>
      </c>
      <c r="CX469">
        <f>'T_TTAFStock'!CV36</f>
        <v/>
      </c>
      <c r="CY469">
        <f>'T_TTAFStock'!CW36</f>
        <v/>
      </c>
      <c r="CZ469">
        <f>'T_TTAFStock'!CX36</f>
        <v/>
      </c>
      <c r="DA469">
        <f>'T_TTAFStock'!CY36</f>
        <v/>
      </c>
      <c r="DB469">
        <f>'T_TTAFStock'!CZ36</f>
        <v/>
      </c>
      <c r="DC469">
        <f>'T_TTAFStock'!DA36</f>
        <v/>
      </c>
    </row>
    <row r="470">
      <c r="B470" t="inlineStr">
        <is>
          <t>自社在庫(実績,kg)</t>
        </is>
      </c>
      <c r="D470">
        <f>'T_SelfStock'!B36</f>
        <v/>
      </c>
      <c r="E470">
        <f>'T_SelfStock'!C36</f>
        <v/>
      </c>
      <c r="F470">
        <f>'T_SelfStock'!D36</f>
        <v/>
      </c>
      <c r="G470">
        <f>'T_SelfStock'!E36</f>
        <v/>
      </c>
      <c r="H470">
        <f>'T_SelfStock'!F36</f>
        <v/>
      </c>
      <c r="I470">
        <f>'T_SelfStock'!G36</f>
        <v/>
      </c>
      <c r="J470">
        <f>'T_SelfStock'!H36</f>
        <v/>
      </c>
      <c r="K470">
        <f>'T_SelfStock'!I36</f>
        <v/>
      </c>
      <c r="L470">
        <f>'T_SelfStock'!J36</f>
        <v/>
      </c>
      <c r="M470">
        <f>'T_SelfStock'!K36</f>
        <v/>
      </c>
      <c r="N470">
        <f>'T_SelfStock'!L36</f>
        <v/>
      </c>
      <c r="O470">
        <f>'T_SelfStock'!M36</f>
        <v/>
      </c>
      <c r="P470">
        <f>'T_SelfStock'!N36</f>
        <v/>
      </c>
      <c r="Q470">
        <f>'T_SelfStock'!O36</f>
        <v/>
      </c>
      <c r="R470">
        <f>'T_SelfStock'!P36</f>
        <v/>
      </c>
      <c r="S470">
        <f>'T_SelfStock'!Q36</f>
        <v/>
      </c>
      <c r="T470">
        <f>'T_SelfStock'!R36</f>
        <v/>
      </c>
      <c r="U470">
        <f>'T_SelfStock'!S36</f>
        <v/>
      </c>
      <c r="V470">
        <f>'T_SelfStock'!T36</f>
        <v/>
      </c>
      <c r="W470">
        <f>'T_SelfStock'!U36</f>
        <v/>
      </c>
      <c r="X470">
        <f>'T_SelfStock'!V36</f>
        <v/>
      </c>
      <c r="Y470">
        <f>'T_SelfStock'!W36</f>
        <v/>
      </c>
      <c r="Z470">
        <f>'T_SelfStock'!X36</f>
        <v/>
      </c>
      <c r="AA470">
        <f>'T_SelfStock'!Y36</f>
        <v/>
      </c>
      <c r="AB470">
        <f>'T_SelfStock'!Z36</f>
        <v/>
      </c>
      <c r="AC470">
        <f>'T_SelfStock'!AA36</f>
        <v/>
      </c>
      <c r="AD470">
        <f>'T_SelfStock'!AB36</f>
        <v/>
      </c>
      <c r="AE470">
        <f>'T_SelfStock'!AC36</f>
        <v/>
      </c>
      <c r="AF470">
        <f>'T_SelfStock'!AD36</f>
        <v/>
      </c>
      <c r="AG470">
        <f>'T_SelfStock'!AE36</f>
        <v/>
      </c>
      <c r="AH470">
        <f>'T_SelfStock'!AF36</f>
        <v/>
      </c>
      <c r="AI470">
        <f>'T_SelfStock'!AG36</f>
        <v/>
      </c>
      <c r="AJ470">
        <f>'T_SelfStock'!AH36</f>
        <v/>
      </c>
      <c r="AK470">
        <f>'T_SelfStock'!AI36</f>
        <v/>
      </c>
      <c r="AL470">
        <f>'T_SelfStock'!AJ36</f>
        <v/>
      </c>
      <c r="AM470">
        <f>'T_SelfStock'!AK36</f>
        <v/>
      </c>
      <c r="AN470">
        <f>'T_SelfStock'!AL36</f>
        <v/>
      </c>
      <c r="AO470">
        <f>'T_SelfStock'!AM36</f>
        <v/>
      </c>
      <c r="AP470">
        <f>'T_SelfStock'!AN36</f>
        <v/>
      </c>
      <c r="AQ470">
        <f>'T_SelfStock'!AO36</f>
        <v/>
      </c>
      <c r="AR470">
        <f>'T_SelfStock'!AP36</f>
        <v/>
      </c>
      <c r="AS470">
        <f>'T_SelfStock'!AQ36</f>
        <v/>
      </c>
      <c r="AT470">
        <f>'T_SelfStock'!AR36</f>
        <v/>
      </c>
      <c r="AU470">
        <f>'T_SelfStock'!AS36</f>
        <v/>
      </c>
      <c r="AV470">
        <f>'T_SelfStock'!AT36</f>
        <v/>
      </c>
      <c r="AW470">
        <f>'T_SelfStock'!AU36</f>
        <v/>
      </c>
      <c r="AX470">
        <f>'T_SelfStock'!AV36</f>
        <v/>
      </c>
      <c r="AY470">
        <f>'T_SelfStock'!AW36</f>
        <v/>
      </c>
      <c r="AZ470">
        <f>'T_SelfStock'!AX36</f>
        <v/>
      </c>
      <c r="BA470">
        <f>'T_SelfStock'!AY36</f>
        <v/>
      </c>
      <c r="BB470">
        <f>'T_SelfStock'!AZ36</f>
        <v/>
      </c>
      <c r="BC470">
        <f>'T_SelfStock'!BA36</f>
        <v/>
      </c>
      <c r="BD470">
        <f>'T_SelfStock'!BB36</f>
        <v/>
      </c>
      <c r="BE470">
        <f>'T_SelfStock'!BC36</f>
        <v/>
      </c>
      <c r="BF470">
        <f>'T_SelfStock'!BD36</f>
        <v/>
      </c>
      <c r="BG470">
        <f>'T_SelfStock'!BE36</f>
        <v/>
      </c>
      <c r="BH470">
        <f>'T_SelfStock'!BF36</f>
        <v/>
      </c>
      <c r="BI470">
        <f>'T_SelfStock'!BG36</f>
        <v/>
      </c>
      <c r="BJ470">
        <f>'T_SelfStock'!BH36</f>
        <v/>
      </c>
      <c r="BK470">
        <f>'T_SelfStock'!BI36</f>
        <v/>
      </c>
      <c r="BL470">
        <f>'T_SelfStock'!BJ36</f>
        <v/>
      </c>
      <c r="BM470">
        <f>'T_SelfStock'!BK36</f>
        <v/>
      </c>
      <c r="BN470">
        <f>'T_SelfStock'!BL36</f>
        <v/>
      </c>
      <c r="BO470">
        <f>'T_SelfStock'!BM36</f>
        <v/>
      </c>
      <c r="BP470">
        <f>'T_SelfStock'!BN36</f>
        <v/>
      </c>
      <c r="BQ470">
        <f>'T_SelfStock'!BO36</f>
        <v/>
      </c>
      <c r="BR470">
        <f>'T_SelfStock'!BP36</f>
        <v/>
      </c>
      <c r="BS470">
        <f>'T_SelfStock'!BQ36</f>
        <v/>
      </c>
      <c r="BT470">
        <f>'T_SelfStock'!BR36</f>
        <v/>
      </c>
      <c r="BU470">
        <f>'T_SelfStock'!BS36</f>
        <v/>
      </c>
      <c r="BV470">
        <f>'T_SelfStock'!BT36</f>
        <v/>
      </c>
      <c r="BW470">
        <f>'T_SelfStock'!BU36</f>
        <v/>
      </c>
      <c r="BX470">
        <f>'T_SelfStock'!BV36</f>
        <v/>
      </c>
      <c r="BY470">
        <f>'T_SelfStock'!BW36</f>
        <v/>
      </c>
      <c r="BZ470">
        <f>'T_SelfStock'!BX36</f>
        <v/>
      </c>
      <c r="CA470">
        <f>'T_SelfStock'!BY36</f>
        <v/>
      </c>
      <c r="CB470">
        <f>'T_SelfStock'!BZ36</f>
        <v/>
      </c>
      <c r="CC470">
        <f>'T_SelfStock'!CA36</f>
        <v/>
      </c>
      <c r="CD470">
        <f>'T_SelfStock'!CB36</f>
        <v/>
      </c>
      <c r="CE470">
        <f>'T_SelfStock'!CC36</f>
        <v/>
      </c>
      <c r="CF470">
        <f>'T_SelfStock'!CD36</f>
        <v/>
      </c>
      <c r="CG470">
        <f>'T_SelfStock'!CE36</f>
        <v/>
      </c>
      <c r="CH470">
        <f>'T_SelfStock'!CF36</f>
        <v/>
      </c>
      <c r="CI470">
        <f>'T_SelfStock'!CG36</f>
        <v/>
      </c>
      <c r="CJ470">
        <f>'T_SelfStock'!CH36</f>
        <v/>
      </c>
      <c r="CK470">
        <f>'T_SelfStock'!CI36</f>
        <v/>
      </c>
      <c r="CL470">
        <f>'T_SelfStock'!CJ36</f>
        <v/>
      </c>
      <c r="CM470">
        <f>'T_SelfStock'!CK36</f>
        <v/>
      </c>
      <c r="CN470">
        <f>'T_SelfStock'!CL36</f>
        <v/>
      </c>
      <c r="CO470">
        <f>'T_SelfStock'!CM36</f>
        <v/>
      </c>
      <c r="CP470">
        <f>'T_SelfStock'!CN36</f>
        <v/>
      </c>
      <c r="CQ470">
        <f>'T_SelfStock'!CO36</f>
        <v/>
      </c>
      <c r="CR470">
        <f>'T_SelfStock'!CP36</f>
        <v/>
      </c>
      <c r="CS470">
        <f>'T_SelfStock'!CQ36</f>
        <v/>
      </c>
      <c r="CT470">
        <f>'T_SelfStock'!CR36</f>
        <v/>
      </c>
      <c r="CU470">
        <f>'T_SelfStock'!CS36</f>
        <v/>
      </c>
      <c r="CV470">
        <f>'T_SelfStock'!CT36</f>
        <v/>
      </c>
      <c r="CW470">
        <f>'T_SelfStock'!CU36</f>
        <v/>
      </c>
      <c r="CX470">
        <f>'T_SelfStock'!CV36</f>
        <v/>
      </c>
      <c r="CY470">
        <f>'T_SelfStock'!CW36</f>
        <v/>
      </c>
      <c r="CZ470">
        <f>'T_SelfStock'!CX36</f>
        <v/>
      </c>
      <c r="DA470">
        <f>'T_SelfStock'!CY36</f>
        <v/>
      </c>
      <c r="DB470">
        <f>'T_SelfStock'!CZ36</f>
        <v/>
      </c>
      <c r="DC470">
        <f>'T_SelfStock'!DA36</f>
        <v/>
      </c>
    </row>
    <row r="471">
      <c r="B471" t="inlineStr">
        <is>
          <t>Order(発注予定,kg)</t>
        </is>
      </c>
      <c r="D471">
        <f>IF(SUMIFS(T_PlannedOrders[EffectiveQty],T_PlannedOrders[Part Name],$A453,T_PlannedOrders[WeekIndex],1)=0,"",SUMIFS(T_PlannedOrders[EffectiveQty],T_PlannedOrders[Part Name],$A453,T_PlannedOrders[WeekIndex],1)&amp;" ("&amp;TEXT(SUMPRODUCT(MAX((T_PlannedOrders[Part Name]=$A453)*(T_PlannedOrders[WeekIndex]=1)*(T_PlannedOrders[EffectiveQty]&gt;0)*T_PlannedOrders[Order_Month])),"m月")&amp;"発注)")</f>
        <v/>
      </c>
      <c r="E471">
        <f>IF(SUMIFS(T_PlannedOrders[EffectiveQty],T_PlannedOrders[Part Name],$A453,T_PlannedOrders[WeekIndex],2)=0,"",SUMIFS(T_PlannedOrders[EffectiveQty],T_PlannedOrders[Part Name],$A453,T_PlannedOrders[WeekIndex],2)&amp;" ("&amp;TEXT(SUMPRODUCT(MAX((T_PlannedOrders[Part Name]=$A453)*(T_PlannedOrders[WeekIndex]=2)*(T_PlannedOrders[EffectiveQty]&gt;0)*T_PlannedOrders[Order_Month])),"m月")&amp;"発注)")</f>
        <v/>
      </c>
      <c r="F471">
        <f>IF(SUMIFS(T_PlannedOrders[EffectiveQty],T_PlannedOrders[Part Name],$A453,T_PlannedOrders[WeekIndex],3)=0,"",SUMIFS(T_PlannedOrders[EffectiveQty],T_PlannedOrders[Part Name],$A453,T_PlannedOrders[WeekIndex],3)&amp;" ("&amp;TEXT(SUMPRODUCT(MAX((T_PlannedOrders[Part Name]=$A453)*(T_PlannedOrders[WeekIndex]=3)*(T_PlannedOrders[EffectiveQty]&gt;0)*T_PlannedOrders[Order_Month])),"m月")&amp;"発注)")</f>
        <v/>
      </c>
      <c r="G471">
        <f>IF(SUMIFS(T_PlannedOrders[EffectiveQty],T_PlannedOrders[Part Name],$A453,T_PlannedOrders[WeekIndex],4)=0,"",SUMIFS(T_PlannedOrders[EffectiveQty],T_PlannedOrders[Part Name],$A453,T_PlannedOrders[WeekIndex],4)&amp;" ("&amp;TEXT(SUMPRODUCT(MAX((T_PlannedOrders[Part Name]=$A453)*(T_PlannedOrders[WeekIndex]=4)*(T_PlannedOrders[EffectiveQty]&gt;0)*T_PlannedOrders[Order_Month])),"m月")&amp;"発注)")</f>
        <v/>
      </c>
      <c r="H471">
        <f>IF(SUMIFS(T_PlannedOrders[EffectiveQty],T_PlannedOrders[Part Name],$A453,T_PlannedOrders[WeekIndex],5)=0,"",SUMIFS(T_PlannedOrders[EffectiveQty],T_PlannedOrders[Part Name],$A453,T_PlannedOrders[WeekIndex],5)&amp;" ("&amp;TEXT(SUMPRODUCT(MAX((T_PlannedOrders[Part Name]=$A453)*(T_PlannedOrders[WeekIndex]=5)*(T_PlannedOrders[EffectiveQty]&gt;0)*T_PlannedOrders[Order_Month])),"m月")&amp;"発注)")</f>
        <v/>
      </c>
      <c r="I471">
        <f>IF(SUMIFS(T_PlannedOrders[EffectiveQty],T_PlannedOrders[Part Name],$A453,T_PlannedOrders[WeekIndex],6)=0,"",SUMIFS(T_PlannedOrders[EffectiveQty],T_PlannedOrders[Part Name],$A453,T_PlannedOrders[WeekIndex],6)&amp;" ("&amp;TEXT(SUMPRODUCT(MAX((T_PlannedOrders[Part Name]=$A453)*(T_PlannedOrders[WeekIndex]=6)*(T_PlannedOrders[EffectiveQty]&gt;0)*T_PlannedOrders[Order_Month])),"m月")&amp;"発注)")</f>
        <v/>
      </c>
      <c r="J471">
        <f>IF(SUMIFS(T_PlannedOrders[EffectiveQty],T_PlannedOrders[Part Name],$A453,T_PlannedOrders[WeekIndex],7)=0,"",SUMIFS(T_PlannedOrders[EffectiveQty],T_PlannedOrders[Part Name],$A453,T_PlannedOrders[WeekIndex],7)&amp;" ("&amp;TEXT(SUMPRODUCT(MAX((T_PlannedOrders[Part Name]=$A453)*(T_PlannedOrders[WeekIndex]=7)*(T_PlannedOrders[EffectiveQty]&gt;0)*T_PlannedOrders[Order_Month])),"m月")&amp;"発注)")</f>
        <v/>
      </c>
      <c r="K471">
        <f>IF(SUMIFS(T_PlannedOrders[EffectiveQty],T_PlannedOrders[Part Name],$A453,T_PlannedOrders[WeekIndex],8)=0,"",SUMIFS(T_PlannedOrders[EffectiveQty],T_PlannedOrders[Part Name],$A453,T_PlannedOrders[WeekIndex],8)&amp;" ("&amp;TEXT(SUMPRODUCT(MAX((T_PlannedOrders[Part Name]=$A453)*(T_PlannedOrders[WeekIndex]=8)*(T_PlannedOrders[EffectiveQty]&gt;0)*T_PlannedOrders[Order_Month])),"m月")&amp;"発注)")</f>
        <v/>
      </c>
      <c r="L471">
        <f>IF(SUMIFS(T_PlannedOrders[EffectiveQty],T_PlannedOrders[Part Name],$A453,T_PlannedOrders[WeekIndex],9)=0,"",SUMIFS(T_PlannedOrders[EffectiveQty],T_PlannedOrders[Part Name],$A453,T_PlannedOrders[WeekIndex],9)&amp;" ("&amp;TEXT(SUMPRODUCT(MAX((T_PlannedOrders[Part Name]=$A453)*(T_PlannedOrders[WeekIndex]=9)*(T_PlannedOrders[EffectiveQty]&gt;0)*T_PlannedOrders[Order_Month])),"m月")&amp;"発注)")</f>
        <v/>
      </c>
      <c r="M471">
        <f>IF(SUMIFS(T_PlannedOrders[EffectiveQty],T_PlannedOrders[Part Name],$A453,T_PlannedOrders[WeekIndex],10)=0,"",SUMIFS(T_PlannedOrders[EffectiveQty],T_PlannedOrders[Part Name],$A453,T_PlannedOrders[WeekIndex],10)&amp;" ("&amp;TEXT(SUMPRODUCT(MAX((T_PlannedOrders[Part Name]=$A453)*(T_PlannedOrders[WeekIndex]=10)*(T_PlannedOrders[EffectiveQty]&gt;0)*T_PlannedOrders[Order_Month])),"m月")&amp;"発注)")</f>
        <v/>
      </c>
      <c r="N471">
        <f>IF(SUMIFS(T_PlannedOrders[EffectiveQty],T_PlannedOrders[Part Name],$A453,T_PlannedOrders[WeekIndex],11)=0,"",SUMIFS(T_PlannedOrders[EffectiveQty],T_PlannedOrders[Part Name],$A453,T_PlannedOrders[WeekIndex],11)&amp;" ("&amp;TEXT(SUMPRODUCT(MAX((T_PlannedOrders[Part Name]=$A453)*(T_PlannedOrders[WeekIndex]=11)*(T_PlannedOrders[EffectiveQty]&gt;0)*T_PlannedOrders[Order_Month])),"m月")&amp;"発注)")</f>
        <v/>
      </c>
      <c r="O471">
        <f>IF(SUMIFS(T_PlannedOrders[EffectiveQty],T_PlannedOrders[Part Name],$A453,T_PlannedOrders[WeekIndex],12)=0,"",SUMIFS(T_PlannedOrders[EffectiveQty],T_PlannedOrders[Part Name],$A453,T_PlannedOrders[WeekIndex],12)&amp;" ("&amp;TEXT(SUMPRODUCT(MAX((T_PlannedOrders[Part Name]=$A453)*(T_PlannedOrders[WeekIndex]=12)*(T_PlannedOrders[EffectiveQty]&gt;0)*T_PlannedOrders[Order_Month])),"m月")&amp;"発注)")</f>
        <v/>
      </c>
      <c r="P471">
        <f>IF(SUMIFS(T_PlannedOrders[EffectiveQty],T_PlannedOrders[Part Name],$A453,T_PlannedOrders[WeekIndex],13)=0,"",SUMIFS(T_PlannedOrders[EffectiveQty],T_PlannedOrders[Part Name],$A453,T_PlannedOrders[WeekIndex],13)&amp;" ("&amp;TEXT(SUMPRODUCT(MAX((T_PlannedOrders[Part Name]=$A453)*(T_PlannedOrders[WeekIndex]=13)*(T_PlannedOrders[EffectiveQty]&gt;0)*T_PlannedOrders[Order_Month])),"m月")&amp;"発注)")</f>
        <v/>
      </c>
      <c r="Q471">
        <f>IF(SUMIFS(T_PlannedOrders[EffectiveQty],T_PlannedOrders[Part Name],$A453,T_PlannedOrders[WeekIndex],14)=0,"",SUMIFS(T_PlannedOrders[EffectiveQty],T_PlannedOrders[Part Name],$A453,T_PlannedOrders[WeekIndex],14)&amp;" ("&amp;TEXT(SUMPRODUCT(MAX((T_PlannedOrders[Part Name]=$A453)*(T_PlannedOrders[WeekIndex]=14)*(T_PlannedOrders[EffectiveQty]&gt;0)*T_PlannedOrders[Order_Month])),"m月")&amp;"発注)")</f>
        <v/>
      </c>
      <c r="R471">
        <f>IF(SUMIFS(T_PlannedOrders[EffectiveQty],T_PlannedOrders[Part Name],$A453,T_PlannedOrders[WeekIndex],15)=0,"",SUMIFS(T_PlannedOrders[EffectiveQty],T_PlannedOrders[Part Name],$A453,T_PlannedOrders[WeekIndex],15)&amp;" ("&amp;TEXT(SUMPRODUCT(MAX((T_PlannedOrders[Part Name]=$A453)*(T_PlannedOrders[WeekIndex]=15)*(T_PlannedOrders[EffectiveQty]&gt;0)*T_PlannedOrders[Order_Month])),"m月")&amp;"発注)")</f>
        <v/>
      </c>
      <c r="S471">
        <f>IF(SUMIFS(T_PlannedOrders[EffectiveQty],T_PlannedOrders[Part Name],$A453,T_PlannedOrders[WeekIndex],16)=0,"",SUMIFS(T_PlannedOrders[EffectiveQty],T_PlannedOrders[Part Name],$A453,T_PlannedOrders[WeekIndex],16)&amp;" ("&amp;TEXT(SUMPRODUCT(MAX((T_PlannedOrders[Part Name]=$A453)*(T_PlannedOrders[WeekIndex]=16)*(T_PlannedOrders[EffectiveQty]&gt;0)*T_PlannedOrders[Order_Month])),"m月")&amp;"発注)")</f>
        <v/>
      </c>
      <c r="T471">
        <f>IF(SUMIFS(T_PlannedOrders[EffectiveQty],T_PlannedOrders[Part Name],$A453,T_PlannedOrders[WeekIndex],17)=0,"",SUMIFS(T_PlannedOrders[EffectiveQty],T_PlannedOrders[Part Name],$A453,T_PlannedOrders[WeekIndex],17)&amp;" ("&amp;TEXT(SUMPRODUCT(MAX((T_PlannedOrders[Part Name]=$A453)*(T_PlannedOrders[WeekIndex]=17)*(T_PlannedOrders[EffectiveQty]&gt;0)*T_PlannedOrders[Order_Month])),"m月")&amp;"発注)")</f>
        <v/>
      </c>
      <c r="U471">
        <f>IF(SUMIFS(T_PlannedOrders[EffectiveQty],T_PlannedOrders[Part Name],$A453,T_PlannedOrders[WeekIndex],18)=0,"",SUMIFS(T_PlannedOrders[EffectiveQty],T_PlannedOrders[Part Name],$A453,T_PlannedOrders[WeekIndex],18)&amp;" ("&amp;TEXT(SUMPRODUCT(MAX((T_PlannedOrders[Part Name]=$A453)*(T_PlannedOrders[WeekIndex]=18)*(T_PlannedOrders[EffectiveQty]&gt;0)*T_PlannedOrders[Order_Month])),"m月")&amp;"発注)")</f>
        <v/>
      </c>
      <c r="V471">
        <f>IF(SUMIFS(T_PlannedOrders[EffectiveQty],T_PlannedOrders[Part Name],$A453,T_PlannedOrders[WeekIndex],19)=0,"",SUMIFS(T_PlannedOrders[EffectiveQty],T_PlannedOrders[Part Name],$A453,T_PlannedOrders[WeekIndex],19)&amp;" ("&amp;TEXT(SUMPRODUCT(MAX((T_PlannedOrders[Part Name]=$A453)*(T_PlannedOrders[WeekIndex]=19)*(T_PlannedOrders[EffectiveQty]&gt;0)*T_PlannedOrders[Order_Month])),"m月")&amp;"発注)")</f>
        <v/>
      </c>
      <c r="W471">
        <f>IF(SUMIFS(T_PlannedOrders[EffectiveQty],T_PlannedOrders[Part Name],$A453,T_PlannedOrders[WeekIndex],20)=0,"",SUMIFS(T_PlannedOrders[EffectiveQty],T_PlannedOrders[Part Name],$A453,T_PlannedOrders[WeekIndex],20)&amp;" ("&amp;TEXT(SUMPRODUCT(MAX((T_PlannedOrders[Part Name]=$A453)*(T_PlannedOrders[WeekIndex]=20)*(T_PlannedOrders[EffectiveQty]&gt;0)*T_PlannedOrders[Order_Month])),"m月")&amp;"発注)")</f>
        <v/>
      </c>
      <c r="X471">
        <f>IF(SUMIFS(T_PlannedOrders[EffectiveQty],T_PlannedOrders[Part Name],$A453,T_PlannedOrders[WeekIndex],21)=0,"",SUMIFS(T_PlannedOrders[EffectiveQty],T_PlannedOrders[Part Name],$A453,T_PlannedOrders[WeekIndex],21)&amp;" ("&amp;TEXT(SUMPRODUCT(MAX((T_PlannedOrders[Part Name]=$A453)*(T_PlannedOrders[WeekIndex]=21)*(T_PlannedOrders[EffectiveQty]&gt;0)*T_PlannedOrders[Order_Month])),"m月")&amp;"発注)")</f>
        <v/>
      </c>
      <c r="Y471">
        <f>IF(SUMIFS(T_PlannedOrders[EffectiveQty],T_PlannedOrders[Part Name],$A453,T_PlannedOrders[WeekIndex],22)=0,"",SUMIFS(T_PlannedOrders[EffectiveQty],T_PlannedOrders[Part Name],$A453,T_PlannedOrders[WeekIndex],22)&amp;" ("&amp;TEXT(SUMPRODUCT(MAX((T_PlannedOrders[Part Name]=$A453)*(T_PlannedOrders[WeekIndex]=22)*(T_PlannedOrders[EffectiveQty]&gt;0)*T_PlannedOrders[Order_Month])),"m月")&amp;"発注)")</f>
        <v/>
      </c>
      <c r="Z471">
        <f>IF(SUMIFS(T_PlannedOrders[EffectiveQty],T_PlannedOrders[Part Name],$A453,T_PlannedOrders[WeekIndex],23)=0,"",SUMIFS(T_PlannedOrders[EffectiveQty],T_PlannedOrders[Part Name],$A453,T_PlannedOrders[WeekIndex],23)&amp;" ("&amp;TEXT(SUMPRODUCT(MAX((T_PlannedOrders[Part Name]=$A453)*(T_PlannedOrders[WeekIndex]=23)*(T_PlannedOrders[EffectiveQty]&gt;0)*T_PlannedOrders[Order_Month])),"m月")&amp;"発注)")</f>
        <v/>
      </c>
      <c r="AA471">
        <f>IF(SUMIFS(T_PlannedOrders[EffectiveQty],T_PlannedOrders[Part Name],$A453,T_PlannedOrders[WeekIndex],24)=0,"",SUMIFS(T_PlannedOrders[EffectiveQty],T_PlannedOrders[Part Name],$A453,T_PlannedOrders[WeekIndex],24)&amp;" ("&amp;TEXT(SUMPRODUCT(MAX((T_PlannedOrders[Part Name]=$A453)*(T_PlannedOrders[WeekIndex]=24)*(T_PlannedOrders[EffectiveQty]&gt;0)*T_PlannedOrders[Order_Month])),"m月")&amp;"発注)")</f>
        <v/>
      </c>
      <c r="AB471">
        <f>IF(SUMIFS(T_PlannedOrders[EffectiveQty],T_PlannedOrders[Part Name],$A453,T_PlannedOrders[WeekIndex],25)=0,"",SUMIFS(T_PlannedOrders[EffectiveQty],T_PlannedOrders[Part Name],$A453,T_PlannedOrders[WeekIndex],25)&amp;" ("&amp;TEXT(SUMPRODUCT(MAX((T_PlannedOrders[Part Name]=$A453)*(T_PlannedOrders[WeekIndex]=25)*(T_PlannedOrders[EffectiveQty]&gt;0)*T_PlannedOrders[Order_Month])),"m月")&amp;"発注)")</f>
        <v/>
      </c>
      <c r="AC471">
        <f>IF(SUMIFS(T_PlannedOrders[EffectiveQty],T_PlannedOrders[Part Name],$A453,T_PlannedOrders[WeekIndex],26)=0,"",SUMIFS(T_PlannedOrders[EffectiveQty],T_PlannedOrders[Part Name],$A453,T_PlannedOrders[WeekIndex],26)&amp;" ("&amp;TEXT(SUMPRODUCT(MAX((T_PlannedOrders[Part Name]=$A453)*(T_PlannedOrders[WeekIndex]=26)*(T_PlannedOrders[EffectiveQty]&gt;0)*T_PlannedOrders[Order_Month])),"m月")&amp;"発注)")</f>
        <v/>
      </c>
      <c r="AD471">
        <f>IF(SUMIFS(T_PlannedOrders[EffectiveQty],T_PlannedOrders[Part Name],$A453,T_PlannedOrders[WeekIndex],27)=0,"",SUMIFS(T_PlannedOrders[EffectiveQty],T_PlannedOrders[Part Name],$A453,T_PlannedOrders[WeekIndex],27)&amp;" ("&amp;TEXT(SUMPRODUCT(MAX((T_PlannedOrders[Part Name]=$A453)*(T_PlannedOrders[WeekIndex]=27)*(T_PlannedOrders[EffectiveQty]&gt;0)*T_PlannedOrders[Order_Month])),"m月")&amp;"発注)")</f>
        <v/>
      </c>
      <c r="AE471">
        <f>IF(SUMIFS(T_PlannedOrders[EffectiveQty],T_PlannedOrders[Part Name],$A453,T_PlannedOrders[WeekIndex],28)=0,"",SUMIFS(T_PlannedOrders[EffectiveQty],T_PlannedOrders[Part Name],$A453,T_PlannedOrders[WeekIndex],28)&amp;" ("&amp;TEXT(SUMPRODUCT(MAX((T_PlannedOrders[Part Name]=$A453)*(T_PlannedOrders[WeekIndex]=28)*(T_PlannedOrders[EffectiveQty]&gt;0)*T_PlannedOrders[Order_Month])),"m月")&amp;"発注)")</f>
        <v/>
      </c>
      <c r="AF471">
        <f>IF(SUMIFS(T_PlannedOrders[EffectiveQty],T_PlannedOrders[Part Name],$A453,T_PlannedOrders[WeekIndex],29)=0,"",SUMIFS(T_PlannedOrders[EffectiveQty],T_PlannedOrders[Part Name],$A453,T_PlannedOrders[WeekIndex],29)&amp;" ("&amp;TEXT(SUMPRODUCT(MAX((T_PlannedOrders[Part Name]=$A453)*(T_PlannedOrders[WeekIndex]=29)*(T_PlannedOrders[EffectiveQty]&gt;0)*T_PlannedOrders[Order_Month])),"m月")&amp;"発注)")</f>
        <v/>
      </c>
      <c r="AG471">
        <f>IF(SUMIFS(T_PlannedOrders[EffectiveQty],T_PlannedOrders[Part Name],$A453,T_PlannedOrders[WeekIndex],30)=0,"",SUMIFS(T_PlannedOrders[EffectiveQty],T_PlannedOrders[Part Name],$A453,T_PlannedOrders[WeekIndex],30)&amp;" ("&amp;TEXT(SUMPRODUCT(MAX((T_PlannedOrders[Part Name]=$A453)*(T_PlannedOrders[WeekIndex]=30)*(T_PlannedOrders[EffectiveQty]&gt;0)*T_PlannedOrders[Order_Month])),"m月")&amp;"発注)")</f>
        <v/>
      </c>
      <c r="AH471">
        <f>IF(SUMIFS(T_PlannedOrders[EffectiveQty],T_PlannedOrders[Part Name],$A453,T_PlannedOrders[WeekIndex],31)=0,"",SUMIFS(T_PlannedOrders[EffectiveQty],T_PlannedOrders[Part Name],$A453,T_PlannedOrders[WeekIndex],31)&amp;" ("&amp;TEXT(SUMPRODUCT(MAX((T_PlannedOrders[Part Name]=$A453)*(T_PlannedOrders[WeekIndex]=31)*(T_PlannedOrders[EffectiveQty]&gt;0)*T_PlannedOrders[Order_Month])),"m月")&amp;"発注)")</f>
        <v/>
      </c>
      <c r="AI471">
        <f>IF(SUMIFS(T_PlannedOrders[EffectiveQty],T_PlannedOrders[Part Name],$A453,T_PlannedOrders[WeekIndex],32)=0,"",SUMIFS(T_PlannedOrders[EffectiveQty],T_PlannedOrders[Part Name],$A453,T_PlannedOrders[WeekIndex],32)&amp;" ("&amp;TEXT(SUMPRODUCT(MAX((T_PlannedOrders[Part Name]=$A453)*(T_PlannedOrders[WeekIndex]=32)*(T_PlannedOrders[EffectiveQty]&gt;0)*T_PlannedOrders[Order_Month])),"m月")&amp;"発注)")</f>
        <v/>
      </c>
      <c r="AJ471">
        <f>IF(SUMIFS(T_PlannedOrders[EffectiveQty],T_PlannedOrders[Part Name],$A453,T_PlannedOrders[WeekIndex],33)=0,"",SUMIFS(T_PlannedOrders[EffectiveQty],T_PlannedOrders[Part Name],$A453,T_PlannedOrders[WeekIndex],33)&amp;" ("&amp;TEXT(SUMPRODUCT(MAX((T_PlannedOrders[Part Name]=$A453)*(T_PlannedOrders[WeekIndex]=33)*(T_PlannedOrders[EffectiveQty]&gt;0)*T_PlannedOrders[Order_Month])),"m月")&amp;"発注)")</f>
        <v/>
      </c>
      <c r="AK471">
        <f>IF(SUMIFS(T_PlannedOrders[EffectiveQty],T_PlannedOrders[Part Name],$A453,T_PlannedOrders[WeekIndex],34)=0,"",SUMIFS(T_PlannedOrders[EffectiveQty],T_PlannedOrders[Part Name],$A453,T_PlannedOrders[WeekIndex],34)&amp;" ("&amp;TEXT(SUMPRODUCT(MAX((T_PlannedOrders[Part Name]=$A453)*(T_PlannedOrders[WeekIndex]=34)*(T_PlannedOrders[EffectiveQty]&gt;0)*T_PlannedOrders[Order_Month])),"m月")&amp;"発注)")</f>
        <v/>
      </c>
      <c r="AL471">
        <f>IF(SUMIFS(T_PlannedOrders[EffectiveQty],T_PlannedOrders[Part Name],$A453,T_PlannedOrders[WeekIndex],35)=0,"",SUMIFS(T_PlannedOrders[EffectiveQty],T_PlannedOrders[Part Name],$A453,T_PlannedOrders[WeekIndex],35)&amp;" ("&amp;TEXT(SUMPRODUCT(MAX((T_PlannedOrders[Part Name]=$A453)*(T_PlannedOrders[WeekIndex]=35)*(T_PlannedOrders[EffectiveQty]&gt;0)*T_PlannedOrders[Order_Month])),"m月")&amp;"発注)")</f>
        <v/>
      </c>
      <c r="AM471">
        <f>IF(SUMIFS(T_PlannedOrders[EffectiveQty],T_PlannedOrders[Part Name],$A453,T_PlannedOrders[WeekIndex],36)=0,"",SUMIFS(T_PlannedOrders[EffectiveQty],T_PlannedOrders[Part Name],$A453,T_PlannedOrders[WeekIndex],36)&amp;" ("&amp;TEXT(SUMPRODUCT(MAX((T_PlannedOrders[Part Name]=$A453)*(T_PlannedOrders[WeekIndex]=36)*(T_PlannedOrders[EffectiveQty]&gt;0)*T_PlannedOrders[Order_Month])),"m月")&amp;"発注)")</f>
        <v/>
      </c>
      <c r="AN471">
        <f>IF(SUMIFS(T_PlannedOrders[EffectiveQty],T_PlannedOrders[Part Name],$A453,T_PlannedOrders[WeekIndex],37)=0,"",SUMIFS(T_PlannedOrders[EffectiveQty],T_PlannedOrders[Part Name],$A453,T_PlannedOrders[WeekIndex],37)&amp;" ("&amp;TEXT(SUMPRODUCT(MAX((T_PlannedOrders[Part Name]=$A453)*(T_PlannedOrders[WeekIndex]=37)*(T_PlannedOrders[EffectiveQty]&gt;0)*T_PlannedOrders[Order_Month])),"m月")&amp;"発注)")</f>
        <v/>
      </c>
      <c r="AO471">
        <f>IF(SUMIFS(T_PlannedOrders[EffectiveQty],T_PlannedOrders[Part Name],$A453,T_PlannedOrders[WeekIndex],38)=0,"",SUMIFS(T_PlannedOrders[EffectiveQty],T_PlannedOrders[Part Name],$A453,T_PlannedOrders[WeekIndex],38)&amp;" ("&amp;TEXT(SUMPRODUCT(MAX((T_PlannedOrders[Part Name]=$A453)*(T_PlannedOrders[WeekIndex]=38)*(T_PlannedOrders[EffectiveQty]&gt;0)*T_PlannedOrders[Order_Month])),"m月")&amp;"発注)")</f>
        <v/>
      </c>
      <c r="AP471">
        <f>IF(SUMIFS(T_PlannedOrders[EffectiveQty],T_PlannedOrders[Part Name],$A453,T_PlannedOrders[WeekIndex],39)=0,"",SUMIFS(T_PlannedOrders[EffectiveQty],T_PlannedOrders[Part Name],$A453,T_PlannedOrders[WeekIndex],39)&amp;" ("&amp;TEXT(SUMPRODUCT(MAX((T_PlannedOrders[Part Name]=$A453)*(T_PlannedOrders[WeekIndex]=39)*(T_PlannedOrders[EffectiveQty]&gt;0)*T_PlannedOrders[Order_Month])),"m月")&amp;"発注)")</f>
        <v/>
      </c>
      <c r="AQ471">
        <f>IF(SUMIFS(T_PlannedOrders[EffectiveQty],T_PlannedOrders[Part Name],$A453,T_PlannedOrders[WeekIndex],40)=0,"",SUMIFS(T_PlannedOrders[EffectiveQty],T_PlannedOrders[Part Name],$A453,T_PlannedOrders[WeekIndex],40)&amp;" ("&amp;TEXT(SUMPRODUCT(MAX((T_PlannedOrders[Part Name]=$A453)*(T_PlannedOrders[WeekIndex]=40)*(T_PlannedOrders[EffectiveQty]&gt;0)*T_PlannedOrders[Order_Month])),"m月")&amp;"発注)")</f>
        <v/>
      </c>
      <c r="AR471">
        <f>IF(SUMIFS(T_PlannedOrders[EffectiveQty],T_PlannedOrders[Part Name],$A453,T_PlannedOrders[WeekIndex],41)=0,"",SUMIFS(T_PlannedOrders[EffectiveQty],T_PlannedOrders[Part Name],$A453,T_PlannedOrders[WeekIndex],41)&amp;" ("&amp;TEXT(SUMPRODUCT(MAX((T_PlannedOrders[Part Name]=$A453)*(T_PlannedOrders[WeekIndex]=41)*(T_PlannedOrders[EffectiveQty]&gt;0)*T_PlannedOrders[Order_Month])),"m月")&amp;"発注)")</f>
        <v/>
      </c>
      <c r="AS471">
        <f>IF(SUMIFS(T_PlannedOrders[EffectiveQty],T_PlannedOrders[Part Name],$A453,T_PlannedOrders[WeekIndex],42)=0,"",SUMIFS(T_PlannedOrders[EffectiveQty],T_PlannedOrders[Part Name],$A453,T_PlannedOrders[WeekIndex],42)&amp;" ("&amp;TEXT(SUMPRODUCT(MAX((T_PlannedOrders[Part Name]=$A453)*(T_PlannedOrders[WeekIndex]=42)*(T_PlannedOrders[EffectiveQty]&gt;0)*T_PlannedOrders[Order_Month])),"m月")&amp;"発注)")</f>
        <v/>
      </c>
      <c r="AT471">
        <f>IF(SUMIFS(T_PlannedOrders[EffectiveQty],T_PlannedOrders[Part Name],$A453,T_PlannedOrders[WeekIndex],43)=0,"",SUMIFS(T_PlannedOrders[EffectiveQty],T_PlannedOrders[Part Name],$A453,T_PlannedOrders[WeekIndex],43)&amp;" ("&amp;TEXT(SUMPRODUCT(MAX((T_PlannedOrders[Part Name]=$A453)*(T_PlannedOrders[WeekIndex]=43)*(T_PlannedOrders[EffectiveQty]&gt;0)*T_PlannedOrders[Order_Month])),"m月")&amp;"発注)")</f>
        <v/>
      </c>
      <c r="AU471">
        <f>IF(SUMIFS(T_PlannedOrders[EffectiveQty],T_PlannedOrders[Part Name],$A453,T_PlannedOrders[WeekIndex],44)=0,"",SUMIFS(T_PlannedOrders[EffectiveQty],T_PlannedOrders[Part Name],$A453,T_PlannedOrders[WeekIndex],44)&amp;" ("&amp;TEXT(SUMPRODUCT(MAX((T_PlannedOrders[Part Name]=$A453)*(T_PlannedOrders[WeekIndex]=44)*(T_PlannedOrders[EffectiveQty]&gt;0)*T_PlannedOrders[Order_Month])),"m月")&amp;"発注)")</f>
        <v/>
      </c>
      <c r="AV471">
        <f>IF(SUMIFS(T_PlannedOrders[EffectiveQty],T_PlannedOrders[Part Name],$A453,T_PlannedOrders[WeekIndex],45)=0,"",SUMIFS(T_PlannedOrders[EffectiveQty],T_PlannedOrders[Part Name],$A453,T_PlannedOrders[WeekIndex],45)&amp;" ("&amp;TEXT(SUMPRODUCT(MAX((T_PlannedOrders[Part Name]=$A453)*(T_PlannedOrders[WeekIndex]=45)*(T_PlannedOrders[EffectiveQty]&gt;0)*T_PlannedOrders[Order_Month])),"m月")&amp;"発注)")</f>
        <v/>
      </c>
      <c r="AW471">
        <f>IF(SUMIFS(T_PlannedOrders[EffectiveQty],T_PlannedOrders[Part Name],$A453,T_PlannedOrders[WeekIndex],46)=0,"",SUMIFS(T_PlannedOrders[EffectiveQty],T_PlannedOrders[Part Name],$A453,T_PlannedOrders[WeekIndex],46)&amp;" ("&amp;TEXT(SUMPRODUCT(MAX((T_PlannedOrders[Part Name]=$A453)*(T_PlannedOrders[WeekIndex]=46)*(T_PlannedOrders[EffectiveQty]&gt;0)*T_PlannedOrders[Order_Month])),"m月")&amp;"発注)")</f>
        <v/>
      </c>
      <c r="AX471">
        <f>IF(SUMIFS(T_PlannedOrders[EffectiveQty],T_PlannedOrders[Part Name],$A453,T_PlannedOrders[WeekIndex],47)=0,"",SUMIFS(T_PlannedOrders[EffectiveQty],T_PlannedOrders[Part Name],$A453,T_PlannedOrders[WeekIndex],47)&amp;" ("&amp;TEXT(SUMPRODUCT(MAX((T_PlannedOrders[Part Name]=$A453)*(T_PlannedOrders[WeekIndex]=47)*(T_PlannedOrders[EffectiveQty]&gt;0)*T_PlannedOrders[Order_Month])),"m月")&amp;"発注)")</f>
        <v/>
      </c>
      <c r="AY471">
        <f>IF(SUMIFS(T_PlannedOrders[EffectiveQty],T_PlannedOrders[Part Name],$A453,T_PlannedOrders[WeekIndex],48)=0,"",SUMIFS(T_PlannedOrders[EffectiveQty],T_PlannedOrders[Part Name],$A453,T_PlannedOrders[WeekIndex],48)&amp;" ("&amp;TEXT(SUMPRODUCT(MAX((T_PlannedOrders[Part Name]=$A453)*(T_PlannedOrders[WeekIndex]=48)*(T_PlannedOrders[EffectiveQty]&gt;0)*T_PlannedOrders[Order_Month])),"m月")&amp;"発注)")</f>
        <v/>
      </c>
      <c r="AZ471">
        <f>IF(SUMIFS(T_PlannedOrders[EffectiveQty],T_PlannedOrders[Part Name],$A453,T_PlannedOrders[WeekIndex],49)=0,"",SUMIFS(T_PlannedOrders[EffectiveQty],T_PlannedOrders[Part Name],$A453,T_PlannedOrders[WeekIndex],49)&amp;" ("&amp;TEXT(SUMPRODUCT(MAX((T_PlannedOrders[Part Name]=$A453)*(T_PlannedOrders[WeekIndex]=49)*(T_PlannedOrders[EffectiveQty]&gt;0)*T_PlannedOrders[Order_Month])),"m月")&amp;"発注)")</f>
        <v/>
      </c>
      <c r="BA471">
        <f>IF(SUMIFS(T_PlannedOrders[EffectiveQty],T_PlannedOrders[Part Name],$A453,T_PlannedOrders[WeekIndex],50)=0,"",SUMIFS(T_PlannedOrders[EffectiveQty],T_PlannedOrders[Part Name],$A453,T_PlannedOrders[WeekIndex],50)&amp;" ("&amp;TEXT(SUMPRODUCT(MAX((T_PlannedOrders[Part Name]=$A453)*(T_PlannedOrders[WeekIndex]=50)*(T_PlannedOrders[EffectiveQty]&gt;0)*T_PlannedOrders[Order_Month])),"m月")&amp;"発注)")</f>
        <v/>
      </c>
      <c r="BB471">
        <f>IF(SUMIFS(T_PlannedOrders[EffectiveQty],T_PlannedOrders[Part Name],$A453,T_PlannedOrders[WeekIndex],51)=0,"",SUMIFS(T_PlannedOrders[EffectiveQty],T_PlannedOrders[Part Name],$A453,T_PlannedOrders[WeekIndex],51)&amp;" ("&amp;TEXT(SUMPRODUCT(MAX((T_PlannedOrders[Part Name]=$A453)*(T_PlannedOrders[WeekIndex]=51)*(T_PlannedOrders[EffectiveQty]&gt;0)*T_PlannedOrders[Order_Month])),"m月")&amp;"発注)")</f>
        <v/>
      </c>
      <c r="BC471">
        <f>IF(SUMIFS(T_PlannedOrders[EffectiveQty],T_PlannedOrders[Part Name],$A453,T_PlannedOrders[WeekIndex],52)=0,"",SUMIFS(T_PlannedOrders[EffectiveQty],T_PlannedOrders[Part Name],$A453,T_PlannedOrders[WeekIndex],52)&amp;" ("&amp;TEXT(SUMPRODUCT(MAX((T_PlannedOrders[Part Name]=$A453)*(T_PlannedOrders[WeekIndex]=52)*(T_PlannedOrders[EffectiveQty]&gt;0)*T_PlannedOrders[Order_Month])),"m月")&amp;"発注)")</f>
        <v/>
      </c>
      <c r="BD471">
        <f>IF(SUMIFS(T_PlannedOrders[EffectiveQty],T_PlannedOrders[Part Name],$A453,T_PlannedOrders[WeekIndex],53)=0,"",SUMIFS(T_PlannedOrders[EffectiveQty],T_PlannedOrders[Part Name],$A453,T_PlannedOrders[WeekIndex],53)&amp;" ("&amp;TEXT(SUMPRODUCT(MAX((T_PlannedOrders[Part Name]=$A453)*(T_PlannedOrders[WeekIndex]=53)*(T_PlannedOrders[EffectiveQty]&gt;0)*T_PlannedOrders[Order_Month])),"m月")&amp;"発注)")</f>
        <v/>
      </c>
      <c r="BE471">
        <f>IF(SUMIFS(T_PlannedOrders[EffectiveQty],T_PlannedOrders[Part Name],$A453,T_PlannedOrders[WeekIndex],54)=0,"",SUMIFS(T_PlannedOrders[EffectiveQty],T_PlannedOrders[Part Name],$A453,T_PlannedOrders[WeekIndex],54)&amp;" ("&amp;TEXT(SUMPRODUCT(MAX((T_PlannedOrders[Part Name]=$A453)*(T_PlannedOrders[WeekIndex]=54)*(T_PlannedOrders[EffectiveQty]&gt;0)*T_PlannedOrders[Order_Month])),"m月")&amp;"発注)")</f>
        <v/>
      </c>
      <c r="BF471">
        <f>IF(SUMIFS(T_PlannedOrders[EffectiveQty],T_PlannedOrders[Part Name],$A453,T_PlannedOrders[WeekIndex],55)=0,"",SUMIFS(T_PlannedOrders[EffectiveQty],T_PlannedOrders[Part Name],$A453,T_PlannedOrders[WeekIndex],55)&amp;" ("&amp;TEXT(SUMPRODUCT(MAX((T_PlannedOrders[Part Name]=$A453)*(T_PlannedOrders[WeekIndex]=55)*(T_PlannedOrders[EffectiveQty]&gt;0)*T_PlannedOrders[Order_Month])),"m月")&amp;"発注)")</f>
        <v/>
      </c>
      <c r="BG471">
        <f>IF(SUMIFS(T_PlannedOrders[EffectiveQty],T_PlannedOrders[Part Name],$A453,T_PlannedOrders[WeekIndex],56)=0,"",SUMIFS(T_PlannedOrders[EffectiveQty],T_PlannedOrders[Part Name],$A453,T_PlannedOrders[WeekIndex],56)&amp;" ("&amp;TEXT(SUMPRODUCT(MAX((T_PlannedOrders[Part Name]=$A453)*(T_PlannedOrders[WeekIndex]=56)*(T_PlannedOrders[EffectiveQty]&gt;0)*T_PlannedOrders[Order_Month])),"m月")&amp;"発注)")</f>
        <v/>
      </c>
      <c r="BH471">
        <f>IF(SUMIFS(T_PlannedOrders[EffectiveQty],T_PlannedOrders[Part Name],$A453,T_PlannedOrders[WeekIndex],57)=0,"",SUMIFS(T_PlannedOrders[EffectiveQty],T_PlannedOrders[Part Name],$A453,T_PlannedOrders[WeekIndex],57)&amp;" ("&amp;TEXT(SUMPRODUCT(MAX((T_PlannedOrders[Part Name]=$A453)*(T_PlannedOrders[WeekIndex]=57)*(T_PlannedOrders[EffectiveQty]&gt;0)*T_PlannedOrders[Order_Month])),"m月")&amp;"発注)")</f>
        <v/>
      </c>
      <c r="BI471">
        <f>IF(SUMIFS(T_PlannedOrders[EffectiveQty],T_PlannedOrders[Part Name],$A453,T_PlannedOrders[WeekIndex],58)=0,"",SUMIFS(T_PlannedOrders[EffectiveQty],T_PlannedOrders[Part Name],$A453,T_PlannedOrders[WeekIndex],58)&amp;" ("&amp;TEXT(SUMPRODUCT(MAX((T_PlannedOrders[Part Name]=$A453)*(T_PlannedOrders[WeekIndex]=58)*(T_PlannedOrders[EffectiveQty]&gt;0)*T_PlannedOrders[Order_Month])),"m月")&amp;"発注)")</f>
        <v/>
      </c>
      <c r="BJ471">
        <f>IF(SUMIFS(T_PlannedOrders[EffectiveQty],T_PlannedOrders[Part Name],$A453,T_PlannedOrders[WeekIndex],59)=0,"",SUMIFS(T_PlannedOrders[EffectiveQty],T_PlannedOrders[Part Name],$A453,T_PlannedOrders[WeekIndex],59)&amp;" ("&amp;TEXT(SUMPRODUCT(MAX((T_PlannedOrders[Part Name]=$A453)*(T_PlannedOrders[WeekIndex]=59)*(T_PlannedOrders[EffectiveQty]&gt;0)*T_PlannedOrders[Order_Month])),"m月")&amp;"発注)")</f>
        <v/>
      </c>
      <c r="BK471">
        <f>IF(SUMIFS(T_PlannedOrders[EffectiveQty],T_PlannedOrders[Part Name],$A453,T_PlannedOrders[WeekIndex],60)=0,"",SUMIFS(T_PlannedOrders[EffectiveQty],T_PlannedOrders[Part Name],$A453,T_PlannedOrders[WeekIndex],60)&amp;" ("&amp;TEXT(SUMPRODUCT(MAX((T_PlannedOrders[Part Name]=$A453)*(T_PlannedOrders[WeekIndex]=60)*(T_PlannedOrders[EffectiveQty]&gt;0)*T_PlannedOrders[Order_Month])),"m月")&amp;"発注)")</f>
        <v/>
      </c>
      <c r="BL471">
        <f>IF(SUMIFS(T_PlannedOrders[EffectiveQty],T_PlannedOrders[Part Name],$A453,T_PlannedOrders[WeekIndex],61)=0,"",SUMIFS(T_PlannedOrders[EffectiveQty],T_PlannedOrders[Part Name],$A453,T_PlannedOrders[WeekIndex],61)&amp;" ("&amp;TEXT(SUMPRODUCT(MAX((T_PlannedOrders[Part Name]=$A453)*(T_PlannedOrders[WeekIndex]=61)*(T_PlannedOrders[EffectiveQty]&gt;0)*T_PlannedOrders[Order_Month])),"m月")&amp;"発注)")</f>
        <v/>
      </c>
      <c r="BM471">
        <f>IF(SUMIFS(T_PlannedOrders[EffectiveQty],T_PlannedOrders[Part Name],$A453,T_PlannedOrders[WeekIndex],62)=0,"",SUMIFS(T_PlannedOrders[EffectiveQty],T_PlannedOrders[Part Name],$A453,T_PlannedOrders[WeekIndex],62)&amp;" ("&amp;TEXT(SUMPRODUCT(MAX((T_PlannedOrders[Part Name]=$A453)*(T_PlannedOrders[WeekIndex]=62)*(T_PlannedOrders[EffectiveQty]&gt;0)*T_PlannedOrders[Order_Month])),"m月")&amp;"発注)")</f>
        <v/>
      </c>
      <c r="BN471">
        <f>IF(SUMIFS(T_PlannedOrders[EffectiveQty],T_PlannedOrders[Part Name],$A453,T_PlannedOrders[WeekIndex],63)=0,"",SUMIFS(T_PlannedOrders[EffectiveQty],T_PlannedOrders[Part Name],$A453,T_PlannedOrders[WeekIndex],63)&amp;" ("&amp;TEXT(SUMPRODUCT(MAX((T_PlannedOrders[Part Name]=$A453)*(T_PlannedOrders[WeekIndex]=63)*(T_PlannedOrders[EffectiveQty]&gt;0)*T_PlannedOrders[Order_Month])),"m月")&amp;"発注)")</f>
        <v/>
      </c>
      <c r="BO471">
        <f>IF(SUMIFS(T_PlannedOrders[EffectiveQty],T_PlannedOrders[Part Name],$A453,T_PlannedOrders[WeekIndex],64)=0,"",SUMIFS(T_PlannedOrders[EffectiveQty],T_PlannedOrders[Part Name],$A453,T_PlannedOrders[WeekIndex],64)&amp;" ("&amp;TEXT(SUMPRODUCT(MAX((T_PlannedOrders[Part Name]=$A453)*(T_PlannedOrders[WeekIndex]=64)*(T_PlannedOrders[EffectiveQty]&gt;0)*T_PlannedOrders[Order_Month])),"m月")&amp;"発注)")</f>
        <v/>
      </c>
      <c r="BP471">
        <f>IF(SUMIFS(T_PlannedOrders[EffectiveQty],T_PlannedOrders[Part Name],$A453,T_PlannedOrders[WeekIndex],65)=0,"",SUMIFS(T_PlannedOrders[EffectiveQty],T_PlannedOrders[Part Name],$A453,T_PlannedOrders[WeekIndex],65)&amp;" ("&amp;TEXT(SUMPRODUCT(MAX((T_PlannedOrders[Part Name]=$A453)*(T_PlannedOrders[WeekIndex]=65)*(T_PlannedOrders[EffectiveQty]&gt;0)*T_PlannedOrders[Order_Month])),"m月")&amp;"発注)")</f>
        <v/>
      </c>
      <c r="BQ471">
        <f>IF(SUMIFS(T_PlannedOrders[EffectiveQty],T_PlannedOrders[Part Name],$A453,T_PlannedOrders[WeekIndex],66)=0,"",SUMIFS(T_PlannedOrders[EffectiveQty],T_PlannedOrders[Part Name],$A453,T_PlannedOrders[WeekIndex],66)&amp;" ("&amp;TEXT(SUMPRODUCT(MAX((T_PlannedOrders[Part Name]=$A453)*(T_PlannedOrders[WeekIndex]=66)*(T_PlannedOrders[EffectiveQty]&gt;0)*T_PlannedOrders[Order_Month])),"m月")&amp;"発注)")</f>
        <v/>
      </c>
      <c r="BR471">
        <f>IF(SUMIFS(T_PlannedOrders[EffectiveQty],T_PlannedOrders[Part Name],$A453,T_PlannedOrders[WeekIndex],67)=0,"",SUMIFS(T_PlannedOrders[EffectiveQty],T_PlannedOrders[Part Name],$A453,T_PlannedOrders[WeekIndex],67)&amp;" ("&amp;TEXT(SUMPRODUCT(MAX((T_PlannedOrders[Part Name]=$A453)*(T_PlannedOrders[WeekIndex]=67)*(T_PlannedOrders[EffectiveQty]&gt;0)*T_PlannedOrders[Order_Month])),"m月")&amp;"発注)")</f>
        <v/>
      </c>
      <c r="BS471">
        <f>IF(SUMIFS(T_PlannedOrders[EffectiveQty],T_PlannedOrders[Part Name],$A453,T_PlannedOrders[WeekIndex],68)=0,"",SUMIFS(T_PlannedOrders[EffectiveQty],T_PlannedOrders[Part Name],$A453,T_PlannedOrders[WeekIndex],68)&amp;" ("&amp;TEXT(SUMPRODUCT(MAX((T_PlannedOrders[Part Name]=$A453)*(T_PlannedOrders[WeekIndex]=68)*(T_PlannedOrders[EffectiveQty]&gt;0)*T_PlannedOrders[Order_Month])),"m月")&amp;"発注)")</f>
        <v/>
      </c>
      <c r="BT471">
        <f>IF(SUMIFS(T_PlannedOrders[EffectiveQty],T_PlannedOrders[Part Name],$A453,T_PlannedOrders[WeekIndex],69)=0,"",SUMIFS(T_PlannedOrders[EffectiveQty],T_PlannedOrders[Part Name],$A453,T_PlannedOrders[WeekIndex],69)&amp;" ("&amp;TEXT(SUMPRODUCT(MAX((T_PlannedOrders[Part Name]=$A453)*(T_PlannedOrders[WeekIndex]=69)*(T_PlannedOrders[EffectiveQty]&gt;0)*T_PlannedOrders[Order_Month])),"m月")&amp;"発注)")</f>
        <v/>
      </c>
      <c r="BU471">
        <f>IF(SUMIFS(T_PlannedOrders[EffectiveQty],T_PlannedOrders[Part Name],$A453,T_PlannedOrders[WeekIndex],70)=0,"",SUMIFS(T_PlannedOrders[EffectiveQty],T_PlannedOrders[Part Name],$A453,T_PlannedOrders[WeekIndex],70)&amp;" ("&amp;TEXT(SUMPRODUCT(MAX((T_PlannedOrders[Part Name]=$A453)*(T_PlannedOrders[WeekIndex]=70)*(T_PlannedOrders[EffectiveQty]&gt;0)*T_PlannedOrders[Order_Month])),"m月")&amp;"発注)")</f>
        <v/>
      </c>
      <c r="BV471">
        <f>IF(SUMIFS(T_PlannedOrders[EffectiveQty],T_PlannedOrders[Part Name],$A453,T_PlannedOrders[WeekIndex],71)=0,"",SUMIFS(T_PlannedOrders[EffectiveQty],T_PlannedOrders[Part Name],$A453,T_PlannedOrders[WeekIndex],71)&amp;" ("&amp;TEXT(SUMPRODUCT(MAX((T_PlannedOrders[Part Name]=$A453)*(T_PlannedOrders[WeekIndex]=71)*(T_PlannedOrders[EffectiveQty]&gt;0)*T_PlannedOrders[Order_Month])),"m月")&amp;"発注)")</f>
        <v/>
      </c>
      <c r="BW471">
        <f>IF(SUMIFS(T_PlannedOrders[EffectiveQty],T_PlannedOrders[Part Name],$A453,T_PlannedOrders[WeekIndex],72)=0,"",SUMIFS(T_PlannedOrders[EffectiveQty],T_PlannedOrders[Part Name],$A453,T_PlannedOrders[WeekIndex],72)&amp;" ("&amp;TEXT(SUMPRODUCT(MAX((T_PlannedOrders[Part Name]=$A453)*(T_PlannedOrders[WeekIndex]=72)*(T_PlannedOrders[EffectiveQty]&gt;0)*T_PlannedOrders[Order_Month])),"m月")&amp;"発注)")</f>
        <v/>
      </c>
      <c r="BX471">
        <f>IF(SUMIFS(T_PlannedOrders[EffectiveQty],T_PlannedOrders[Part Name],$A453,T_PlannedOrders[WeekIndex],73)=0,"",SUMIFS(T_PlannedOrders[EffectiveQty],T_PlannedOrders[Part Name],$A453,T_PlannedOrders[WeekIndex],73)&amp;" ("&amp;TEXT(SUMPRODUCT(MAX((T_PlannedOrders[Part Name]=$A453)*(T_PlannedOrders[WeekIndex]=73)*(T_PlannedOrders[EffectiveQty]&gt;0)*T_PlannedOrders[Order_Month])),"m月")&amp;"発注)")</f>
        <v/>
      </c>
      <c r="BY471">
        <f>IF(SUMIFS(T_PlannedOrders[EffectiveQty],T_PlannedOrders[Part Name],$A453,T_PlannedOrders[WeekIndex],74)=0,"",SUMIFS(T_PlannedOrders[EffectiveQty],T_PlannedOrders[Part Name],$A453,T_PlannedOrders[WeekIndex],74)&amp;" ("&amp;TEXT(SUMPRODUCT(MAX((T_PlannedOrders[Part Name]=$A453)*(T_PlannedOrders[WeekIndex]=74)*(T_PlannedOrders[EffectiveQty]&gt;0)*T_PlannedOrders[Order_Month])),"m月")&amp;"発注)")</f>
        <v/>
      </c>
      <c r="BZ471">
        <f>IF(SUMIFS(T_PlannedOrders[EffectiveQty],T_PlannedOrders[Part Name],$A453,T_PlannedOrders[WeekIndex],75)=0,"",SUMIFS(T_PlannedOrders[EffectiveQty],T_PlannedOrders[Part Name],$A453,T_PlannedOrders[WeekIndex],75)&amp;" ("&amp;TEXT(SUMPRODUCT(MAX((T_PlannedOrders[Part Name]=$A453)*(T_PlannedOrders[WeekIndex]=75)*(T_PlannedOrders[EffectiveQty]&gt;0)*T_PlannedOrders[Order_Month])),"m月")&amp;"発注)")</f>
        <v/>
      </c>
      <c r="CA471">
        <f>IF(SUMIFS(T_PlannedOrders[EffectiveQty],T_PlannedOrders[Part Name],$A453,T_PlannedOrders[WeekIndex],76)=0,"",SUMIFS(T_PlannedOrders[EffectiveQty],T_PlannedOrders[Part Name],$A453,T_PlannedOrders[WeekIndex],76)&amp;" ("&amp;TEXT(SUMPRODUCT(MAX((T_PlannedOrders[Part Name]=$A453)*(T_PlannedOrders[WeekIndex]=76)*(T_PlannedOrders[EffectiveQty]&gt;0)*T_PlannedOrders[Order_Month])),"m月")&amp;"発注)")</f>
        <v/>
      </c>
      <c r="CB471">
        <f>IF(SUMIFS(T_PlannedOrders[EffectiveQty],T_PlannedOrders[Part Name],$A453,T_PlannedOrders[WeekIndex],77)=0,"",SUMIFS(T_PlannedOrders[EffectiveQty],T_PlannedOrders[Part Name],$A453,T_PlannedOrders[WeekIndex],77)&amp;" ("&amp;TEXT(SUMPRODUCT(MAX((T_PlannedOrders[Part Name]=$A453)*(T_PlannedOrders[WeekIndex]=77)*(T_PlannedOrders[EffectiveQty]&gt;0)*T_PlannedOrders[Order_Month])),"m月")&amp;"発注)")</f>
        <v/>
      </c>
      <c r="CC471">
        <f>IF(SUMIFS(T_PlannedOrders[EffectiveQty],T_PlannedOrders[Part Name],$A453,T_PlannedOrders[WeekIndex],78)=0,"",SUMIFS(T_PlannedOrders[EffectiveQty],T_PlannedOrders[Part Name],$A453,T_PlannedOrders[WeekIndex],78)&amp;" ("&amp;TEXT(SUMPRODUCT(MAX((T_PlannedOrders[Part Name]=$A453)*(T_PlannedOrders[WeekIndex]=78)*(T_PlannedOrders[EffectiveQty]&gt;0)*T_PlannedOrders[Order_Month])),"m月")&amp;"発注)")</f>
        <v/>
      </c>
      <c r="CD471">
        <f>IF(SUMIFS(T_PlannedOrders[EffectiveQty],T_PlannedOrders[Part Name],$A453,T_PlannedOrders[WeekIndex],79)=0,"",SUMIFS(T_PlannedOrders[EffectiveQty],T_PlannedOrders[Part Name],$A453,T_PlannedOrders[WeekIndex],79)&amp;" ("&amp;TEXT(SUMPRODUCT(MAX((T_PlannedOrders[Part Name]=$A453)*(T_PlannedOrders[WeekIndex]=79)*(T_PlannedOrders[EffectiveQty]&gt;0)*T_PlannedOrders[Order_Month])),"m月")&amp;"発注)")</f>
        <v/>
      </c>
      <c r="CE471">
        <f>IF(SUMIFS(T_PlannedOrders[EffectiveQty],T_PlannedOrders[Part Name],$A453,T_PlannedOrders[WeekIndex],80)=0,"",SUMIFS(T_PlannedOrders[EffectiveQty],T_PlannedOrders[Part Name],$A453,T_PlannedOrders[WeekIndex],80)&amp;" ("&amp;TEXT(SUMPRODUCT(MAX((T_PlannedOrders[Part Name]=$A453)*(T_PlannedOrders[WeekIndex]=80)*(T_PlannedOrders[EffectiveQty]&gt;0)*T_PlannedOrders[Order_Month])),"m月")&amp;"発注)")</f>
        <v/>
      </c>
      <c r="CF471">
        <f>IF(SUMIFS(T_PlannedOrders[EffectiveQty],T_PlannedOrders[Part Name],$A453,T_PlannedOrders[WeekIndex],81)=0,"",SUMIFS(T_PlannedOrders[EffectiveQty],T_PlannedOrders[Part Name],$A453,T_PlannedOrders[WeekIndex],81)&amp;" ("&amp;TEXT(SUMPRODUCT(MAX((T_PlannedOrders[Part Name]=$A453)*(T_PlannedOrders[WeekIndex]=81)*(T_PlannedOrders[EffectiveQty]&gt;0)*T_PlannedOrders[Order_Month])),"m月")&amp;"発注)")</f>
        <v/>
      </c>
      <c r="CG471">
        <f>IF(SUMIFS(T_PlannedOrders[EffectiveQty],T_PlannedOrders[Part Name],$A453,T_PlannedOrders[WeekIndex],82)=0,"",SUMIFS(T_PlannedOrders[EffectiveQty],T_PlannedOrders[Part Name],$A453,T_PlannedOrders[WeekIndex],82)&amp;" ("&amp;TEXT(SUMPRODUCT(MAX((T_PlannedOrders[Part Name]=$A453)*(T_PlannedOrders[WeekIndex]=82)*(T_PlannedOrders[EffectiveQty]&gt;0)*T_PlannedOrders[Order_Month])),"m月")&amp;"発注)")</f>
        <v/>
      </c>
      <c r="CH471">
        <f>IF(SUMIFS(T_PlannedOrders[EffectiveQty],T_PlannedOrders[Part Name],$A453,T_PlannedOrders[WeekIndex],83)=0,"",SUMIFS(T_PlannedOrders[EffectiveQty],T_PlannedOrders[Part Name],$A453,T_PlannedOrders[WeekIndex],83)&amp;" ("&amp;TEXT(SUMPRODUCT(MAX((T_PlannedOrders[Part Name]=$A453)*(T_PlannedOrders[WeekIndex]=83)*(T_PlannedOrders[EffectiveQty]&gt;0)*T_PlannedOrders[Order_Month])),"m月")&amp;"発注)")</f>
        <v/>
      </c>
      <c r="CI471">
        <f>IF(SUMIFS(T_PlannedOrders[EffectiveQty],T_PlannedOrders[Part Name],$A453,T_PlannedOrders[WeekIndex],84)=0,"",SUMIFS(T_PlannedOrders[EffectiveQty],T_PlannedOrders[Part Name],$A453,T_PlannedOrders[WeekIndex],84)&amp;" ("&amp;TEXT(SUMPRODUCT(MAX((T_PlannedOrders[Part Name]=$A453)*(T_PlannedOrders[WeekIndex]=84)*(T_PlannedOrders[EffectiveQty]&gt;0)*T_PlannedOrders[Order_Month])),"m月")&amp;"発注)")</f>
        <v/>
      </c>
      <c r="CJ471">
        <f>IF(SUMIFS(T_PlannedOrders[EffectiveQty],T_PlannedOrders[Part Name],$A453,T_PlannedOrders[WeekIndex],85)=0,"",SUMIFS(T_PlannedOrders[EffectiveQty],T_PlannedOrders[Part Name],$A453,T_PlannedOrders[WeekIndex],85)&amp;" ("&amp;TEXT(SUMPRODUCT(MAX((T_PlannedOrders[Part Name]=$A453)*(T_PlannedOrders[WeekIndex]=85)*(T_PlannedOrders[EffectiveQty]&gt;0)*T_PlannedOrders[Order_Month])),"m月")&amp;"発注)")</f>
        <v/>
      </c>
      <c r="CK471">
        <f>IF(SUMIFS(T_PlannedOrders[EffectiveQty],T_PlannedOrders[Part Name],$A453,T_PlannedOrders[WeekIndex],86)=0,"",SUMIFS(T_PlannedOrders[EffectiveQty],T_PlannedOrders[Part Name],$A453,T_PlannedOrders[WeekIndex],86)&amp;" ("&amp;TEXT(SUMPRODUCT(MAX((T_PlannedOrders[Part Name]=$A453)*(T_PlannedOrders[WeekIndex]=86)*(T_PlannedOrders[EffectiveQty]&gt;0)*T_PlannedOrders[Order_Month])),"m月")&amp;"発注)")</f>
        <v/>
      </c>
      <c r="CL471">
        <f>IF(SUMIFS(T_PlannedOrders[EffectiveQty],T_PlannedOrders[Part Name],$A453,T_PlannedOrders[WeekIndex],87)=0,"",SUMIFS(T_PlannedOrders[EffectiveQty],T_PlannedOrders[Part Name],$A453,T_PlannedOrders[WeekIndex],87)&amp;" ("&amp;TEXT(SUMPRODUCT(MAX((T_PlannedOrders[Part Name]=$A453)*(T_PlannedOrders[WeekIndex]=87)*(T_PlannedOrders[EffectiveQty]&gt;0)*T_PlannedOrders[Order_Month])),"m月")&amp;"発注)")</f>
        <v/>
      </c>
      <c r="CM471">
        <f>IF(SUMIFS(T_PlannedOrders[EffectiveQty],T_PlannedOrders[Part Name],$A453,T_PlannedOrders[WeekIndex],88)=0,"",SUMIFS(T_PlannedOrders[EffectiveQty],T_PlannedOrders[Part Name],$A453,T_PlannedOrders[WeekIndex],88)&amp;" ("&amp;TEXT(SUMPRODUCT(MAX((T_PlannedOrders[Part Name]=$A453)*(T_PlannedOrders[WeekIndex]=88)*(T_PlannedOrders[EffectiveQty]&gt;0)*T_PlannedOrders[Order_Month])),"m月")&amp;"発注)")</f>
        <v/>
      </c>
      <c r="CN471">
        <f>IF(SUMIFS(T_PlannedOrders[EffectiveQty],T_PlannedOrders[Part Name],$A453,T_PlannedOrders[WeekIndex],89)=0,"",SUMIFS(T_PlannedOrders[EffectiveQty],T_PlannedOrders[Part Name],$A453,T_PlannedOrders[WeekIndex],89)&amp;" ("&amp;TEXT(SUMPRODUCT(MAX((T_PlannedOrders[Part Name]=$A453)*(T_PlannedOrders[WeekIndex]=89)*(T_PlannedOrders[EffectiveQty]&gt;0)*T_PlannedOrders[Order_Month])),"m月")&amp;"発注)")</f>
        <v/>
      </c>
      <c r="CO471">
        <f>IF(SUMIFS(T_PlannedOrders[EffectiveQty],T_PlannedOrders[Part Name],$A453,T_PlannedOrders[WeekIndex],90)=0,"",SUMIFS(T_PlannedOrders[EffectiveQty],T_PlannedOrders[Part Name],$A453,T_PlannedOrders[WeekIndex],90)&amp;" ("&amp;TEXT(SUMPRODUCT(MAX((T_PlannedOrders[Part Name]=$A453)*(T_PlannedOrders[WeekIndex]=90)*(T_PlannedOrders[EffectiveQty]&gt;0)*T_PlannedOrders[Order_Month])),"m月")&amp;"発注)")</f>
        <v/>
      </c>
      <c r="CP471">
        <f>IF(SUMIFS(T_PlannedOrders[EffectiveQty],T_PlannedOrders[Part Name],$A453,T_PlannedOrders[WeekIndex],91)=0,"",SUMIFS(T_PlannedOrders[EffectiveQty],T_PlannedOrders[Part Name],$A453,T_PlannedOrders[WeekIndex],91)&amp;" ("&amp;TEXT(SUMPRODUCT(MAX((T_PlannedOrders[Part Name]=$A453)*(T_PlannedOrders[WeekIndex]=91)*(T_PlannedOrders[EffectiveQty]&gt;0)*T_PlannedOrders[Order_Month])),"m月")&amp;"発注)")</f>
        <v/>
      </c>
      <c r="CQ471">
        <f>IF(SUMIFS(T_PlannedOrders[EffectiveQty],T_PlannedOrders[Part Name],$A453,T_PlannedOrders[WeekIndex],92)=0,"",SUMIFS(T_PlannedOrders[EffectiveQty],T_PlannedOrders[Part Name],$A453,T_PlannedOrders[WeekIndex],92)&amp;" ("&amp;TEXT(SUMPRODUCT(MAX((T_PlannedOrders[Part Name]=$A453)*(T_PlannedOrders[WeekIndex]=92)*(T_PlannedOrders[EffectiveQty]&gt;0)*T_PlannedOrders[Order_Month])),"m月")&amp;"発注)")</f>
        <v/>
      </c>
      <c r="CR471">
        <f>IF(SUMIFS(T_PlannedOrders[EffectiveQty],T_PlannedOrders[Part Name],$A453,T_PlannedOrders[WeekIndex],93)=0,"",SUMIFS(T_PlannedOrders[EffectiveQty],T_PlannedOrders[Part Name],$A453,T_PlannedOrders[WeekIndex],93)&amp;" ("&amp;TEXT(SUMPRODUCT(MAX((T_PlannedOrders[Part Name]=$A453)*(T_PlannedOrders[WeekIndex]=93)*(T_PlannedOrders[EffectiveQty]&gt;0)*T_PlannedOrders[Order_Month])),"m月")&amp;"発注)")</f>
        <v/>
      </c>
      <c r="CS471">
        <f>IF(SUMIFS(T_PlannedOrders[EffectiveQty],T_PlannedOrders[Part Name],$A453,T_PlannedOrders[WeekIndex],94)=0,"",SUMIFS(T_PlannedOrders[EffectiveQty],T_PlannedOrders[Part Name],$A453,T_PlannedOrders[WeekIndex],94)&amp;" ("&amp;TEXT(SUMPRODUCT(MAX((T_PlannedOrders[Part Name]=$A453)*(T_PlannedOrders[WeekIndex]=94)*(T_PlannedOrders[EffectiveQty]&gt;0)*T_PlannedOrders[Order_Month])),"m月")&amp;"発注)")</f>
        <v/>
      </c>
      <c r="CT471">
        <f>IF(SUMIFS(T_PlannedOrders[EffectiveQty],T_PlannedOrders[Part Name],$A453,T_PlannedOrders[WeekIndex],95)=0,"",SUMIFS(T_PlannedOrders[EffectiveQty],T_PlannedOrders[Part Name],$A453,T_PlannedOrders[WeekIndex],95)&amp;" ("&amp;TEXT(SUMPRODUCT(MAX((T_PlannedOrders[Part Name]=$A453)*(T_PlannedOrders[WeekIndex]=95)*(T_PlannedOrders[EffectiveQty]&gt;0)*T_PlannedOrders[Order_Month])),"m月")&amp;"発注)")</f>
        <v/>
      </c>
      <c r="CU471">
        <f>IF(SUMIFS(T_PlannedOrders[EffectiveQty],T_PlannedOrders[Part Name],$A453,T_PlannedOrders[WeekIndex],96)=0,"",SUMIFS(T_PlannedOrders[EffectiveQty],T_PlannedOrders[Part Name],$A453,T_PlannedOrders[WeekIndex],96)&amp;" ("&amp;TEXT(SUMPRODUCT(MAX((T_PlannedOrders[Part Name]=$A453)*(T_PlannedOrders[WeekIndex]=96)*(T_PlannedOrders[EffectiveQty]&gt;0)*T_PlannedOrders[Order_Month])),"m月")&amp;"発注)")</f>
        <v/>
      </c>
      <c r="CV471">
        <f>IF(SUMIFS(T_PlannedOrders[EffectiveQty],T_PlannedOrders[Part Name],$A453,T_PlannedOrders[WeekIndex],97)=0,"",SUMIFS(T_PlannedOrders[EffectiveQty],T_PlannedOrders[Part Name],$A453,T_PlannedOrders[WeekIndex],97)&amp;" ("&amp;TEXT(SUMPRODUCT(MAX((T_PlannedOrders[Part Name]=$A453)*(T_PlannedOrders[WeekIndex]=97)*(T_PlannedOrders[EffectiveQty]&gt;0)*T_PlannedOrders[Order_Month])),"m月")&amp;"発注)")</f>
        <v/>
      </c>
      <c r="CW471">
        <f>IF(SUMIFS(T_PlannedOrders[EffectiveQty],T_PlannedOrders[Part Name],$A453,T_PlannedOrders[WeekIndex],98)=0,"",SUMIFS(T_PlannedOrders[EffectiveQty],T_PlannedOrders[Part Name],$A453,T_PlannedOrders[WeekIndex],98)&amp;" ("&amp;TEXT(SUMPRODUCT(MAX((T_PlannedOrders[Part Name]=$A453)*(T_PlannedOrders[WeekIndex]=98)*(T_PlannedOrders[EffectiveQty]&gt;0)*T_PlannedOrders[Order_Month])),"m月")&amp;"発注)")</f>
        <v/>
      </c>
      <c r="CX471">
        <f>IF(SUMIFS(T_PlannedOrders[EffectiveQty],T_PlannedOrders[Part Name],$A453,T_PlannedOrders[WeekIndex],99)=0,"",SUMIFS(T_PlannedOrders[EffectiveQty],T_PlannedOrders[Part Name],$A453,T_PlannedOrders[WeekIndex],99)&amp;" ("&amp;TEXT(SUMPRODUCT(MAX((T_PlannedOrders[Part Name]=$A453)*(T_PlannedOrders[WeekIndex]=99)*(T_PlannedOrders[EffectiveQty]&gt;0)*T_PlannedOrders[Order_Month])),"m月")&amp;"発注)")</f>
        <v/>
      </c>
      <c r="CY471">
        <f>IF(SUMIFS(T_PlannedOrders[EffectiveQty],T_PlannedOrders[Part Name],$A453,T_PlannedOrders[WeekIndex],100)=0,"",SUMIFS(T_PlannedOrders[EffectiveQty],T_PlannedOrders[Part Name],$A453,T_PlannedOrders[WeekIndex],100)&amp;" ("&amp;TEXT(SUMPRODUCT(MAX((T_PlannedOrders[Part Name]=$A453)*(T_PlannedOrders[WeekIndex]=100)*(T_PlannedOrders[EffectiveQty]&gt;0)*T_PlannedOrders[Order_Month])),"m月")&amp;"発注)")</f>
        <v/>
      </c>
      <c r="CZ471">
        <f>IF(SUMIFS(T_PlannedOrders[EffectiveQty],T_PlannedOrders[Part Name],$A453,T_PlannedOrders[WeekIndex],101)=0,"",SUMIFS(T_PlannedOrders[EffectiveQty],T_PlannedOrders[Part Name],$A453,T_PlannedOrders[WeekIndex],101)&amp;" ("&amp;TEXT(SUMPRODUCT(MAX((T_PlannedOrders[Part Name]=$A453)*(T_PlannedOrders[WeekIndex]=101)*(T_PlannedOrders[EffectiveQty]&gt;0)*T_PlannedOrders[Order_Month])),"m月")&amp;"発注)")</f>
        <v/>
      </c>
      <c r="DA471">
        <f>IF(SUMIFS(T_PlannedOrders[EffectiveQty],T_PlannedOrders[Part Name],$A453,T_PlannedOrders[WeekIndex],102)=0,"",SUMIFS(T_PlannedOrders[EffectiveQty],T_PlannedOrders[Part Name],$A453,T_PlannedOrders[WeekIndex],102)&amp;" ("&amp;TEXT(SUMPRODUCT(MAX((T_PlannedOrders[Part Name]=$A453)*(T_PlannedOrders[WeekIndex]=102)*(T_PlannedOrders[EffectiveQty]&gt;0)*T_PlannedOrders[Order_Month])),"m月")&amp;"発注)")</f>
        <v/>
      </c>
      <c r="DB471">
        <f>IF(SUMIFS(T_PlannedOrders[EffectiveQty],T_PlannedOrders[Part Name],$A453,T_PlannedOrders[WeekIndex],103)=0,"",SUMIFS(T_PlannedOrders[EffectiveQty],T_PlannedOrders[Part Name],$A453,T_PlannedOrders[WeekIndex],103)&amp;" ("&amp;TEXT(SUMPRODUCT(MAX((T_PlannedOrders[Part Name]=$A453)*(T_PlannedOrders[WeekIndex]=103)*(T_PlannedOrders[EffectiveQty]&gt;0)*T_PlannedOrders[Order_Month])),"m月")&amp;"発注)")</f>
        <v/>
      </c>
      <c r="DC471">
        <f>IF(SUMIFS(T_PlannedOrders[EffectiveQty],T_PlannedOrders[Part Name],$A453,T_PlannedOrders[WeekIndex],104)=0,"",SUMIFS(T_PlannedOrders[EffectiveQty],T_PlannedOrders[Part Name],$A453,T_PlannedOrders[WeekIndex],104)&amp;" ("&amp;TEXT(SUMPRODUCT(MAX((T_PlannedOrders[Part Name]=$A453)*(T_PlannedOrders[WeekIndex]=104)*(T_PlannedOrders[EffectiveQty]&gt;0)*T_PlannedOrders[Order_Month])),"m月")&amp;"発注)")</f>
        <v/>
      </c>
    </row>
    <row r="472">
      <c r="B472" s="4" t="inlineStr">
        <is>
          <t>合計在庫(週末時点,kg)</t>
        </is>
      </c>
      <c r="D472">
        <f>'Grid_Stock'!B32</f>
        <v/>
      </c>
      <c r="E472">
        <f>'Grid_Stock'!C32</f>
        <v/>
      </c>
      <c r="F472">
        <f>'Grid_Stock'!D32</f>
        <v/>
      </c>
      <c r="G472">
        <f>'Grid_Stock'!E32</f>
        <v/>
      </c>
      <c r="H472">
        <f>'Grid_Stock'!F32</f>
        <v/>
      </c>
      <c r="I472">
        <f>'Grid_Stock'!G32</f>
        <v/>
      </c>
      <c r="J472">
        <f>'Grid_Stock'!H32</f>
        <v/>
      </c>
      <c r="K472">
        <f>'Grid_Stock'!I32</f>
        <v/>
      </c>
      <c r="L472">
        <f>'Grid_Stock'!J32</f>
        <v/>
      </c>
      <c r="M472">
        <f>'Grid_Stock'!K32</f>
        <v/>
      </c>
      <c r="N472">
        <f>'Grid_Stock'!L32</f>
        <v/>
      </c>
      <c r="O472">
        <f>'Grid_Stock'!M32</f>
        <v/>
      </c>
      <c r="P472">
        <f>'Grid_Stock'!N32</f>
        <v/>
      </c>
      <c r="Q472">
        <f>'Grid_Stock'!O32</f>
        <v/>
      </c>
      <c r="R472">
        <f>'Grid_Stock'!P32</f>
        <v/>
      </c>
      <c r="S472">
        <f>'Grid_Stock'!Q32</f>
        <v/>
      </c>
      <c r="T472">
        <f>'Grid_Stock'!R32</f>
        <v/>
      </c>
      <c r="U472">
        <f>'Grid_Stock'!S32</f>
        <v/>
      </c>
      <c r="V472">
        <f>'Grid_Stock'!T32</f>
        <v/>
      </c>
      <c r="W472">
        <f>'Grid_Stock'!U32</f>
        <v/>
      </c>
      <c r="X472">
        <f>'Grid_Stock'!V32</f>
        <v/>
      </c>
      <c r="Y472">
        <f>'Grid_Stock'!W32</f>
        <v/>
      </c>
      <c r="Z472">
        <f>'Grid_Stock'!X32</f>
        <v/>
      </c>
      <c r="AA472">
        <f>'Grid_Stock'!Y32</f>
        <v/>
      </c>
      <c r="AB472">
        <f>'Grid_Stock'!Z32</f>
        <v/>
      </c>
      <c r="AC472">
        <f>'Grid_Stock'!AA32</f>
        <v/>
      </c>
      <c r="AD472">
        <f>'Grid_Stock'!AB32</f>
        <v/>
      </c>
      <c r="AE472">
        <f>'Grid_Stock'!AC32</f>
        <v/>
      </c>
      <c r="AF472">
        <f>'Grid_Stock'!AD32</f>
        <v/>
      </c>
      <c r="AG472">
        <f>'Grid_Stock'!AE32</f>
        <v/>
      </c>
      <c r="AH472">
        <f>'Grid_Stock'!AF32</f>
        <v/>
      </c>
      <c r="AI472">
        <f>'Grid_Stock'!AG32</f>
        <v/>
      </c>
      <c r="AJ472">
        <f>'Grid_Stock'!AH32</f>
        <v/>
      </c>
      <c r="AK472">
        <f>'Grid_Stock'!AI32</f>
        <v/>
      </c>
      <c r="AL472">
        <f>'Grid_Stock'!AJ32</f>
        <v/>
      </c>
      <c r="AM472">
        <f>'Grid_Stock'!AK32</f>
        <v/>
      </c>
      <c r="AN472">
        <f>'Grid_Stock'!AL32</f>
        <v/>
      </c>
      <c r="AO472">
        <f>'Grid_Stock'!AM32</f>
        <v/>
      </c>
      <c r="AP472">
        <f>'Grid_Stock'!AN32</f>
        <v/>
      </c>
      <c r="AQ472">
        <f>'Grid_Stock'!AO32</f>
        <v/>
      </c>
      <c r="AR472">
        <f>'Grid_Stock'!AP32</f>
        <v/>
      </c>
      <c r="AS472">
        <f>'Grid_Stock'!AQ32</f>
        <v/>
      </c>
      <c r="AT472">
        <f>'Grid_Stock'!AR32</f>
        <v/>
      </c>
      <c r="AU472">
        <f>'Grid_Stock'!AS32</f>
        <v/>
      </c>
      <c r="AV472">
        <f>'Grid_Stock'!AT32</f>
        <v/>
      </c>
      <c r="AW472">
        <f>'Grid_Stock'!AU32</f>
        <v/>
      </c>
      <c r="AX472">
        <f>'Grid_Stock'!AV32</f>
        <v/>
      </c>
      <c r="AY472">
        <f>'Grid_Stock'!AW32</f>
        <v/>
      </c>
      <c r="AZ472">
        <f>'Grid_Stock'!AX32</f>
        <v/>
      </c>
      <c r="BA472">
        <f>'Grid_Stock'!AY32</f>
        <v/>
      </c>
      <c r="BB472">
        <f>'Grid_Stock'!AZ32</f>
        <v/>
      </c>
      <c r="BC472">
        <f>'Grid_Stock'!BA32</f>
        <v/>
      </c>
      <c r="BD472">
        <f>'Grid_Stock'!BB32</f>
        <v/>
      </c>
      <c r="BE472">
        <f>'Grid_Stock'!BC32</f>
        <v/>
      </c>
      <c r="BF472">
        <f>'Grid_Stock'!BD32</f>
        <v/>
      </c>
      <c r="BG472">
        <f>'Grid_Stock'!BE32</f>
        <v/>
      </c>
      <c r="BH472">
        <f>'Grid_Stock'!BF32</f>
        <v/>
      </c>
      <c r="BI472">
        <f>'Grid_Stock'!BG32</f>
        <v/>
      </c>
      <c r="BJ472">
        <f>'Grid_Stock'!BH32</f>
        <v/>
      </c>
      <c r="BK472">
        <f>'Grid_Stock'!BI32</f>
        <v/>
      </c>
      <c r="BL472">
        <f>'Grid_Stock'!BJ32</f>
        <v/>
      </c>
      <c r="BM472">
        <f>'Grid_Stock'!BK32</f>
        <v/>
      </c>
      <c r="BN472">
        <f>'Grid_Stock'!BL32</f>
        <v/>
      </c>
      <c r="BO472">
        <f>'Grid_Stock'!BM32</f>
        <v/>
      </c>
      <c r="BP472">
        <f>'Grid_Stock'!BN32</f>
        <v/>
      </c>
      <c r="BQ472">
        <f>'Grid_Stock'!BO32</f>
        <v/>
      </c>
      <c r="BR472">
        <f>'Grid_Stock'!BP32</f>
        <v/>
      </c>
      <c r="BS472">
        <f>'Grid_Stock'!BQ32</f>
        <v/>
      </c>
      <c r="BT472">
        <f>'Grid_Stock'!BR32</f>
        <v/>
      </c>
      <c r="BU472">
        <f>'Grid_Stock'!BS32</f>
        <v/>
      </c>
      <c r="BV472">
        <f>'Grid_Stock'!BT32</f>
        <v/>
      </c>
      <c r="BW472">
        <f>'Grid_Stock'!BU32</f>
        <v/>
      </c>
      <c r="BX472">
        <f>'Grid_Stock'!BV32</f>
        <v/>
      </c>
      <c r="BY472">
        <f>'Grid_Stock'!BW32</f>
        <v/>
      </c>
      <c r="BZ472">
        <f>'Grid_Stock'!BX32</f>
        <v/>
      </c>
      <c r="CA472">
        <f>'Grid_Stock'!BY32</f>
        <v/>
      </c>
      <c r="CB472">
        <f>'Grid_Stock'!BZ32</f>
        <v/>
      </c>
      <c r="CC472">
        <f>'Grid_Stock'!CA32</f>
        <v/>
      </c>
      <c r="CD472">
        <f>'Grid_Stock'!CB32</f>
        <v/>
      </c>
      <c r="CE472">
        <f>'Grid_Stock'!CC32</f>
        <v/>
      </c>
      <c r="CF472">
        <f>'Grid_Stock'!CD32</f>
        <v/>
      </c>
      <c r="CG472">
        <f>'Grid_Stock'!CE32</f>
        <v/>
      </c>
      <c r="CH472">
        <f>'Grid_Stock'!CF32</f>
        <v/>
      </c>
      <c r="CI472">
        <f>'Grid_Stock'!CG32</f>
        <v/>
      </c>
      <c r="CJ472">
        <f>'Grid_Stock'!CH32</f>
        <v/>
      </c>
      <c r="CK472">
        <f>'Grid_Stock'!CI32</f>
        <v/>
      </c>
      <c r="CL472">
        <f>'Grid_Stock'!CJ32</f>
        <v/>
      </c>
      <c r="CM472">
        <f>'Grid_Stock'!CK32</f>
        <v/>
      </c>
      <c r="CN472">
        <f>'Grid_Stock'!CL32</f>
        <v/>
      </c>
      <c r="CO472">
        <f>'Grid_Stock'!CM32</f>
        <v/>
      </c>
      <c r="CP472">
        <f>'Grid_Stock'!CN32</f>
        <v/>
      </c>
      <c r="CQ472">
        <f>'Grid_Stock'!CO32</f>
        <v/>
      </c>
      <c r="CR472">
        <f>'Grid_Stock'!CP32</f>
        <v/>
      </c>
      <c r="CS472">
        <f>'Grid_Stock'!CQ32</f>
        <v/>
      </c>
      <c r="CT472">
        <f>'Grid_Stock'!CR32</f>
        <v/>
      </c>
      <c r="CU472">
        <f>'Grid_Stock'!CS32</f>
        <v/>
      </c>
      <c r="CV472">
        <f>'Grid_Stock'!CT32</f>
        <v/>
      </c>
      <c r="CW472">
        <f>'Grid_Stock'!CU32</f>
        <v/>
      </c>
      <c r="CX472">
        <f>'Grid_Stock'!CV32</f>
        <v/>
      </c>
      <c r="CY472">
        <f>'Grid_Stock'!CW32</f>
        <v/>
      </c>
      <c r="CZ472">
        <f>'Grid_Stock'!CX32</f>
        <v/>
      </c>
      <c r="DA472">
        <f>'Grid_Stock'!CY32</f>
        <v/>
      </c>
      <c r="DB472">
        <f>'Grid_Stock'!CZ32</f>
        <v/>
      </c>
      <c r="DC472">
        <f>'Grid_Stock'!DA32</f>
        <v/>
      </c>
    </row>
    <row r="473">
      <c r="B473" s="16" t="inlineStr">
        <is>
          <t>（発注の目安はDashboardの基準在庫[下限/上限]と色分けを参照）</t>
        </is>
      </c>
    </row>
    <row r="475">
      <c r="A475" s="14" t="inlineStr">
        <is>
          <t>CHEM-1480</t>
        </is>
      </c>
      <c r="B475" s="14" t="inlineStr">
        <is>
          <t>NAT-30</t>
        </is>
      </c>
      <c r="C475" s="15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  <c r="AA475" s="14" t="n"/>
      <c r="AB475" s="14" t="n"/>
      <c r="AC475" s="14" t="n"/>
      <c r="AD475" s="14" t="n"/>
      <c r="AE475" s="14" t="n"/>
      <c r="AF475" s="14" t="n"/>
      <c r="AG475" s="14" t="n"/>
      <c r="AH475" s="14" t="n"/>
      <c r="AI475" s="14" t="n"/>
      <c r="AJ475" s="14" t="n"/>
      <c r="AK475" s="14" t="n"/>
      <c r="AL475" s="14" t="n"/>
      <c r="AM475" s="14" t="n"/>
      <c r="AN475" s="14" t="n"/>
      <c r="AO475" s="14" t="n"/>
      <c r="AP475" s="14" t="n"/>
      <c r="AQ475" s="14" t="n"/>
      <c r="AR475" s="14" t="n"/>
      <c r="AS475" s="14" t="n"/>
      <c r="AT475" s="14" t="n"/>
      <c r="AU475" s="14" t="n"/>
      <c r="AV475" s="14" t="n"/>
      <c r="AW475" s="14" t="n"/>
      <c r="AX475" s="14" t="n"/>
      <c r="AY475" s="14" t="n"/>
      <c r="AZ475" s="14" t="n"/>
      <c r="BA475" s="14" t="n"/>
      <c r="BB475" s="14" t="n"/>
      <c r="BC475" s="14" t="n"/>
      <c r="BD475" s="14" t="n"/>
      <c r="BE475" s="14" t="n"/>
      <c r="BF475" s="14" t="n"/>
      <c r="BG475" s="14" t="n"/>
      <c r="BH475" s="14" t="n"/>
      <c r="BI475" s="14" t="n"/>
      <c r="BJ475" s="14" t="n"/>
      <c r="BK475" s="14" t="n"/>
      <c r="BL475" s="14" t="n"/>
      <c r="BM475" s="14" t="n"/>
      <c r="BN475" s="14" t="n"/>
      <c r="BO475" s="14" t="n"/>
      <c r="BP475" s="14" t="n"/>
      <c r="BQ475" s="14" t="n"/>
      <c r="BR475" s="14" t="n"/>
      <c r="BS475" s="14" t="n"/>
      <c r="BT475" s="14" t="n"/>
      <c r="BU475" s="14" t="n"/>
      <c r="BV475" s="14" t="n"/>
      <c r="BW475" s="14" t="n"/>
      <c r="BX475" s="14" t="n"/>
      <c r="BY475" s="14" t="n"/>
      <c r="BZ475" s="14" t="n"/>
      <c r="CA475" s="14" t="n"/>
      <c r="CB475" s="14" t="n"/>
      <c r="CC475" s="14" t="n"/>
      <c r="CD475" s="14" t="n"/>
      <c r="CE475" s="14" t="n"/>
      <c r="CF475" s="14" t="n"/>
      <c r="CG475" s="14" t="n"/>
      <c r="CH475" s="14" t="n"/>
      <c r="CI475" s="14" t="n"/>
      <c r="CJ475" s="14" t="n"/>
      <c r="CK475" s="14" t="n"/>
      <c r="CL475" s="14" t="n"/>
      <c r="CM475" s="14" t="n"/>
      <c r="CN475" s="14" t="n"/>
      <c r="CO475" s="14" t="n"/>
      <c r="CP475" s="14" t="n"/>
      <c r="CQ475" s="14" t="n"/>
      <c r="CR475" s="14" t="n"/>
      <c r="CS475" s="14" t="n"/>
      <c r="CT475" s="14" t="n"/>
      <c r="CU475" s="14" t="n"/>
      <c r="CV475" s="14" t="n"/>
      <c r="CW475" s="14" t="n"/>
      <c r="CX475" s="14" t="n"/>
      <c r="CY475" s="14" t="n"/>
      <c r="CZ475" s="14" t="n"/>
      <c r="DA475" s="14" t="n"/>
      <c r="DB475" s="14" t="n"/>
      <c r="DC475" s="14" t="n"/>
    </row>
    <row r="476">
      <c r="B476" t="inlineStr">
        <is>
          <t>TSP-206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7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Name],$A475)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s="4" t="inlineStr">
        <is>
          <t>合計使用量(kg)/週</t>
        </is>
      </c>
      <c r="D478">
        <f>'Grid_Requirement'!B33</f>
        <v/>
      </c>
      <c r="E478">
        <f>'Grid_Requirement'!C33</f>
        <v/>
      </c>
      <c r="F478">
        <f>'Grid_Requirement'!D33</f>
        <v/>
      </c>
      <c r="G478">
        <f>'Grid_Requirement'!E33</f>
        <v/>
      </c>
      <c r="H478">
        <f>'Grid_Requirement'!F33</f>
        <v/>
      </c>
      <c r="I478">
        <f>'Grid_Requirement'!G33</f>
        <v/>
      </c>
      <c r="J478">
        <f>'Grid_Requirement'!H33</f>
        <v/>
      </c>
      <c r="K478">
        <f>'Grid_Requirement'!I33</f>
        <v/>
      </c>
      <c r="L478">
        <f>'Grid_Requirement'!J33</f>
        <v/>
      </c>
      <c r="M478">
        <f>'Grid_Requirement'!K33</f>
        <v/>
      </c>
      <c r="N478">
        <f>'Grid_Requirement'!L33</f>
        <v/>
      </c>
      <c r="O478">
        <f>'Grid_Requirement'!M33</f>
        <v/>
      </c>
      <c r="P478">
        <f>'Grid_Requirement'!N33</f>
        <v/>
      </c>
      <c r="Q478">
        <f>'Grid_Requirement'!O33</f>
        <v/>
      </c>
      <c r="R478">
        <f>'Grid_Requirement'!P33</f>
        <v/>
      </c>
      <c r="S478">
        <f>'Grid_Requirement'!Q33</f>
        <v/>
      </c>
      <c r="T478">
        <f>'Grid_Requirement'!R33</f>
        <v/>
      </c>
      <c r="U478">
        <f>'Grid_Requirement'!S33</f>
        <v/>
      </c>
      <c r="V478">
        <f>'Grid_Requirement'!T33</f>
        <v/>
      </c>
      <c r="W478">
        <f>'Grid_Requirement'!U33</f>
        <v/>
      </c>
      <c r="X478">
        <f>'Grid_Requirement'!V33</f>
        <v/>
      </c>
      <c r="Y478">
        <f>'Grid_Requirement'!W33</f>
        <v/>
      </c>
      <c r="Z478">
        <f>'Grid_Requirement'!X33</f>
        <v/>
      </c>
      <c r="AA478">
        <f>'Grid_Requirement'!Y33</f>
        <v/>
      </c>
      <c r="AB478">
        <f>'Grid_Requirement'!Z33</f>
        <v/>
      </c>
      <c r="AC478">
        <f>'Grid_Requirement'!AA33</f>
        <v/>
      </c>
      <c r="AD478">
        <f>'Grid_Requirement'!AB33</f>
        <v/>
      </c>
      <c r="AE478">
        <f>'Grid_Requirement'!AC33</f>
        <v/>
      </c>
      <c r="AF478">
        <f>'Grid_Requirement'!AD33</f>
        <v/>
      </c>
      <c r="AG478">
        <f>'Grid_Requirement'!AE33</f>
        <v/>
      </c>
      <c r="AH478">
        <f>'Grid_Requirement'!AF33</f>
        <v/>
      </c>
      <c r="AI478">
        <f>'Grid_Requirement'!AG33</f>
        <v/>
      </c>
      <c r="AJ478">
        <f>'Grid_Requirement'!AH33</f>
        <v/>
      </c>
      <c r="AK478">
        <f>'Grid_Requirement'!AI33</f>
        <v/>
      </c>
      <c r="AL478">
        <f>'Grid_Requirement'!AJ33</f>
        <v/>
      </c>
      <c r="AM478">
        <f>'Grid_Requirement'!AK33</f>
        <v/>
      </c>
      <c r="AN478">
        <f>'Grid_Requirement'!AL33</f>
        <v/>
      </c>
      <c r="AO478">
        <f>'Grid_Requirement'!AM33</f>
        <v/>
      </c>
      <c r="AP478">
        <f>'Grid_Requirement'!AN33</f>
        <v/>
      </c>
      <c r="AQ478">
        <f>'Grid_Requirement'!AO33</f>
        <v/>
      </c>
      <c r="AR478">
        <f>'Grid_Requirement'!AP33</f>
        <v/>
      </c>
      <c r="AS478">
        <f>'Grid_Requirement'!AQ33</f>
        <v/>
      </c>
      <c r="AT478">
        <f>'Grid_Requirement'!AR33</f>
        <v/>
      </c>
      <c r="AU478">
        <f>'Grid_Requirement'!AS33</f>
        <v/>
      </c>
      <c r="AV478">
        <f>'Grid_Requirement'!AT33</f>
        <v/>
      </c>
      <c r="AW478">
        <f>'Grid_Requirement'!AU33</f>
        <v/>
      </c>
      <c r="AX478">
        <f>'Grid_Requirement'!AV33</f>
        <v/>
      </c>
      <c r="AY478">
        <f>'Grid_Requirement'!AW33</f>
        <v/>
      </c>
      <c r="AZ478">
        <f>'Grid_Requirement'!AX33</f>
        <v/>
      </c>
      <c r="BA478">
        <f>'Grid_Requirement'!AY33</f>
        <v/>
      </c>
      <c r="BB478">
        <f>'Grid_Requirement'!AZ33</f>
        <v/>
      </c>
      <c r="BC478">
        <f>'Grid_Requirement'!BA33</f>
        <v/>
      </c>
      <c r="BD478">
        <f>'Grid_Requirement'!BB33</f>
        <v/>
      </c>
      <c r="BE478">
        <f>'Grid_Requirement'!BC33</f>
        <v/>
      </c>
      <c r="BF478">
        <f>'Grid_Requirement'!BD33</f>
        <v/>
      </c>
      <c r="BG478">
        <f>'Grid_Requirement'!BE33</f>
        <v/>
      </c>
      <c r="BH478">
        <f>'Grid_Requirement'!BF33</f>
        <v/>
      </c>
      <c r="BI478">
        <f>'Grid_Requirement'!BG33</f>
        <v/>
      </c>
      <c r="BJ478">
        <f>'Grid_Requirement'!BH33</f>
        <v/>
      </c>
      <c r="BK478">
        <f>'Grid_Requirement'!BI33</f>
        <v/>
      </c>
      <c r="BL478">
        <f>'Grid_Requirement'!BJ33</f>
        <v/>
      </c>
      <c r="BM478">
        <f>'Grid_Requirement'!BK33</f>
        <v/>
      </c>
      <c r="BN478">
        <f>'Grid_Requirement'!BL33</f>
        <v/>
      </c>
      <c r="BO478">
        <f>'Grid_Requirement'!BM33</f>
        <v/>
      </c>
      <c r="BP478">
        <f>'Grid_Requirement'!BN33</f>
        <v/>
      </c>
      <c r="BQ478">
        <f>'Grid_Requirement'!BO33</f>
        <v/>
      </c>
      <c r="BR478">
        <f>'Grid_Requirement'!BP33</f>
        <v/>
      </c>
      <c r="BS478">
        <f>'Grid_Requirement'!BQ33</f>
        <v/>
      </c>
      <c r="BT478">
        <f>'Grid_Requirement'!BR33</f>
        <v/>
      </c>
      <c r="BU478">
        <f>'Grid_Requirement'!BS33</f>
        <v/>
      </c>
      <c r="BV478">
        <f>'Grid_Requirement'!BT33</f>
        <v/>
      </c>
      <c r="BW478">
        <f>'Grid_Requirement'!BU33</f>
        <v/>
      </c>
      <c r="BX478">
        <f>'Grid_Requirement'!BV33</f>
        <v/>
      </c>
      <c r="BY478">
        <f>'Grid_Requirement'!BW33</f>
        <v/>
      </c>
      <c r="BZ478">
        <f>'Grid_Requirement'!BX33</f>
        <v/>
      </c>
      <c r="CA478">
        <f>'Grid_Requirement'!BY33</f>
        <v/>
      </c>
      <c r="CB478">
        <f>'Grid_Requirement'!BZ33</f>
        <v/>
      </c>
      <c r="CC478">
        <f>'Grid_Requirement'!CA33</f>
        <v/>
      </c>
      <c r="CD478">
        <f>'Grid_Requirement'!CB33</f>
        <v/>
      </c>
      <c r="CE478">
        <f>'Grid_Requirement'!CC33</f>
        <v/>
      </c>
      <c r="CF478">
        <f>'Grid_Requirement'!CD33</f>
        <v/>
      </c>
      <c r="CG478">
        <f>'Grid_Requirement'!CE33</f>
        <v/>
      </c>
      <c r="CH478">
        <f>'Grid_Requirement'!CF33</f>
        <v/>
      </c>
      <c r="CI478">
        <f>'Grid_Requirement'!CG33</f>
        <v/>
      </c>
      <c r="CJ478">
        <f>'Grid_Requirement'!CH33</f>
        <v/>
      </c>
      <c r="CK478">
        <f>'Grid_Requirement'!CI33</f>
        <v/>
      </c>
      <c r="CL478">
        <f>'Grid_Requirement'!CJ33</f>
        <v/>
      </c>
      <c r="CM478">
        <f>'Grid_Requirement'!CK33</f>
        <v/>
      </c>
      <c r="CN478">
        <f>'Grid_Requirement'!CL33</f>
        <v/>
      </c>
      <c r="CO478">
        <f>'Grid_Requirement'!CM33</f>
        <v/>
      </c>
      <c r="CP478">
        <f>'Grid_Requirement'!CN33</f>
        <v/>
      </c>
      <c r="CQ478">
        <f>'Grid_Requirement'!CO33</f>
        <v/>
      </c>
      <c r="CR478">
        <f>'Grid_Requirement'!CP33</f>
        <v/>
      </c>
      <c r="CS478">
        <f>'Grid_Requirement'!CQ33</f>
        <v/>
      </c>
      <c r="CT478">
        <f>'Grid_Requirement'!CR33</f>
        <v/>
      </c>
      <c r="CU478">
        <f>'Grid_Requirement'!CS33</f>
        <v/>
      </c>
      <c r="CV478">
        <f>'Grid_Requirement'!CT33</f>
        <v/>
      </c>
      <c r="CW478">
        <f>'Grid_Requirement'!CU33</f>
        <v/>
      </c>
      <c r="CX478">
        <f>'Grid_Requirement'!CV33</f>
        <v/>
      </c>
      <c r="CY478">
        <f>'Grid_Requirement'!CW33</f>
        <v/>
      </c>
      <c r="CZ478">
        <f>'Grid_Requirement'!CX33</f>
        <v/>
      </c>
      <c r="DA478">
        <f>'Grid_Requirement'!CY33</f>
        <v/>
      </c>
      <c r="DB478">
        <f>'Grid_Requirement'!CZ33</f>
        <v/>
      </c>
      <c r="DC478">
        <f>'Grid_Requirement'!DA33</f>
        <v/>
      </c>
    </row>
    <row r="479">
      <c r="B479" t="inlineStr">
        <is>
          <t>TTAF在庫(実績,kg)</t>
        </is>
      </c>
      <c r="D479">
        <f>'T_TTAFStock'!B37</f>
        <v/>
      </c>
      <c r="E479">
        <f>'T_TTAFStock'!C37</f>
        <v/>
      </c>
      <c r="F479">
        <f>'T_TTAFStock'!D37</f>
        <v/>
      </c>
      <c r="G479">
        <f>'T_TTAFStock'!E37</f>
        <v/>
      </c>
      <c r="H479">
        <f>'T_TTAFStock'!F37</f>
        <v/>
      </c>
      <c r="I479">
        <f>'T_TTAFStock'!G37</f>
        <v/>
      </c>
      <c r="J479">
        <f>'T_TTAFStock'!H37</f>
        <v/>
      </c>
      <c r="K479">
        <f>'T_TTAFStock'!I37</f>
        <v/>
      </c>
      <c r="L479">
        <f>'T_TTAFStock'!J37</f>
        <v/>
      </c>
      <c r="M479">
        <f>'T_TTAFStock'!K37</f>
        <v/>
      </c>
      <c r="N479">
        <f>'T_TTAFStock'!L37</f>
        <v/>
      </c>
      <c r="O479">
        <f>'T_TTAFStock'!M37</f>
        <v/>
      </c>
      <c r="P479">
        <f>'T_TTAFStock'!N37</f>
        <v/>
      </c>
      <c r="Q479">
        <f>'T_TTAFStock'!O37</f>
        <v/>
      </c>
      <c r="R479">
        <f>'T_TTAFStock'!P37</f>
        <v/>
      </c>
      <c r="S479">
        <f>'T_TTAFStock'!Q37</f>
        <v/>
      </c>
      <c r="T479">
        <f>'T_TTAFStock'!R37</f>
        <v/>
      </c>
      <c r="U479">
        <f>'T_TTAFStock'!S37</f>
        <v/>
      </c>
      <c r="V479">
        <f>'T_TTAFStock'!T37</f>
        <v/>
      </c>
      <c r="W479">
        <f>'T_TTAFStock'!U37</f>
        <v/>
      </c>
      <c r="X479">
        <f>'T_TTAFStock'!V37</f>
        <v/>
      </c>
      <c r="Y479">
        <f>'T_TTAFStock'!W37</f>
        <v/>
      </c>
      <c r="Z479">
        <f>'T_TTAFStock'!X37</f>
        <v/>
      </c>
      <c r="AA479">
        <f>'T_TTAFStock'!Y37</f>
        <v/>
      </c>
      <c r="AB479">
        <f>'T_TTAFStock'!Z37</f>
        <v/>
      </c>
      <c r="AC479">
        <f>'T_TTAFStock'!AA37</f>
        <v/>
      </c>
      <c r="AD479">
        <f>'T_TTAFStock'!AB37</f>
        <v/>
      </c>
      <c r="AE479">
        <f>'T_TTAFStock'!AC37</f>
        <v/>
      </c>
      <c r="AF479">
        <f>'T_TTAFStock'!AD37</f>
        <v/>
      </c>
      <c r="AG479">
        <f>'T_TTAFStock'!AE37</f>
        <v/>
      </c>
      <c r="AH479">
        <f>'T_TTAFStock'!AF37</f>
        <v/>
      </c>
      <c r="AI479">
        <f>'T_TTAFStock'!AG37</f>
        <v/>
      </c>
      <c r="AJ479">
        <f>'T_TTAFStock'!AH37</f>
        <v/>
      </c>
      <c r="AK479">
        <f>'T_TTAFStock'!AI37</f>
        <v/>
      </c>
      <c r="AL479">
        <f>'T_TTAFStock'!AJ37</f>
        <v/>
      </c>
      <c r="AM479">
        <f>'T_TTAFStock'!AK37</f>
        <v/>
      </c>
      <c r="AN479">
        <f>'T_TTAFStock'!AL37</f>
        <v/>
      </c>
      <c r="AO479">
        <f>'T_TTAFStock'!AM37</f>
        <v/>
      </c>
      <c r="AP479">
        <f>'T_TTAFStock'!AN37</f>
        <v/>
      </c>
      <c r="AQ479">
        <f>'T_TTAFStock'!AO37</f>
        <v/>
      </c>
      <c r="AR479">
        <f>'T_TTAFStock'!AP37</f>
        <v/>
      </c>
      <c r="AS479">
        <f>'T_TTAFStock'!AQ37</f>
        <v/>
      </c>
      <c r="AT479">
        <f>'T_TTAFStock'!AR37</f>
        <v/>
      </c>
      <c r="AU479">
        <f>'T_TTAFStock'!AS37</f>
        <v/>
      </c>
      <c r="AV479">
        <f>'T_TTAFStock'!AT37</f>
        <v/>
      </c>
      <c r="AW479">
        <f>'T_TTAFStock'!AU37</f>
        <v/>
      </c>
      <c r="AX479">
        <f>'T_TTAFStock'!AV37</f>
        <v/>
      </c>
      <c r="AY479">
        <f>'T_TTAFStock'!AW37</f>
        <v/>
      </c>
      <c r="AZ479">
        <f>'T_TTAFStock'!AX37</f>
        <v/>
      </c>
      <c r="BA479">
        <f>'T_TTAFStock'!AY37</f>
        <v/>
      </c>
      <c r="BB479">
        <f>'T_TTAFStock'!AZ37</f>
        <v/>
      </c>
      <c r="BC479">
        <f>'T_TTAFStock'!BA37</f>
        <v/>
      </c>
      <c r="BD479">
        <f>'T_TTAFStock'!BB37</f>
        <v/>
      </c>
      <c r="BE479">
        <f>'T_TTAFStock'!BC37</f>
        <v/>
      </c>
      <c r="BF479">
        <f>'T_TTAFStock'!BD37</f>
        <v/>
      </c>
      <c r="BG479">
        <f>'T_TTAFStock'!BE37</f>
        <v/>
      </c>
      <c r="BH479">
        <f>'T_TTAFStock'!BF37</f>
        <v/>
      </c>
      <c r="BI479">
        <f>'T_TTAFStock'!BG37</f>
        <v/>
      </c>
      <c r="BJ479">
        <f>'T_TTAFStock'!BH37</f>
        <v/>
      </c>
      <c r="BK479">
        <f>'T_TTAFStock'!BI37</f>
        <v/>
      </c>
      <c r="BL479">
        <f>'T_TTAFStock'!BJ37</f>
        <v/>
      </c>
      <c r="BM479">
        <f>'T_TTAFStock'!BK37</f>
        <v/>
      </c>
      <c r="BN479">
        <f>'T_TTAFStock'!BL37</f>
        <v/>
      </c>
      <c r="BO479">
        <f>'T_TTAFStock'!BM37</f>
        <v/>
      </c>
      <c r="BP479">
        <f>'T_TTAFStock'!BN37</f>
        <v/>
      </c>
      <c r="BQ479">
        <f>'T_TTAFStock'!BO37</f>
        <v/>
      </c>
      <c r="BR479">
        <f>'T_TTAFStock'!BP37</f>
        <v/>
      </c>
      <c r="BS479">
        <f>'T_TTAFStock'!BQ37</f>
        <v/>
      </c>
      <c r="BT479">
        <f>'T_TTAFStock'!BR37</f>
        <v/>
      </c>
      <c r="BU479">
        <f>'T_TTAFStock'!BS37</f>
        <v/>
      </c>
      <c r="BV479">
        <f>'T_TTAFStock'!BT37</f>
        <v/>
      </c>
      <c r="BW479">
        <f>'T_TTAFStock'!BU37</f>
        <v/>
      </c>
      <c r="BX479">
        <f>'T_TTAFStock'!BV37</f>
        <v/>
      </c>
      <c r="BY479">
        <f>'T_TTAFStock'!BW37</f>
        <v/>
      </c>
      <c r="BZ479">
        <f>'T_TTAFStock'!BX37</f>
        <v/>
      </c>
      <c r="CA479">
        <f>'T_TTAFStock'!BY37</f>
        <v/>
      </c>
      <c r="CB479">
        <f>'T_TTAFStock'!BZ37</f>
        <v/>
      </c>
      <c r="CC479">
        <f>'T_TTAFStock'!CA37</f>
        <v/>
      </c>
      <c r="CD479">
        <f>'T_TTAFStock'!CB37</f>
        <v/>
      </c>
      <c r="CE479">
        <f>'T_TTAFStock'!CC37</f>
        <v/>
      </c>
      <c r="CF479">
        <f>'T_TTAFStock'!CD37</f>
        <v/>
      </c>
      <c r="CG479">
        <f>'T_TTAFStock'!CE37</f>
        <v/>
      </c>
      <c r="CH479">
        <f>'T_TTAFStock'!CF37</f>
        <v/>
      </c>
      <c r="CI479">
        <f>'T_TTAFStock'!CG37</f>
        <v/>
      </c>
      <c r="CJ479">
        <f>'T_TTAFStock'!CH37</f>
        <v/>
      </c>
      <c r="CK479">
        <f>'T_TTAFStock'!CI37</f>
        <v/>
      </c>
      <c r="CL479">
        <f>'T_TTAFStock'!CJ37</f>
        <v/>
      </c>
      <c r="CM479">
        <f>'T_TTAFStock'!CK37</f>
        <v/>
      </c>
      <c r="CN479">
        <f>'T_TTAFStock'!CL37</f>
        <v/>
      </c>
      <c r="CO479">
        <f>'T_TTAFStock'!CM37</f>
        <v/>
      </c>
      <c r="CP479">
        <f>'T_TTAFStock'!CN37</f>
        <v/>
      </c>
      <c r="CQ479">
        <f>'T_TTAFStock'!CO37</f>
        <v/>
      </c>
      <c r="CR479">
        <f>'T_TTAFStock'!CP37</f>
        <v/>
      </c>
      <c r="CS479">
        <f>'T_TTAFStock'!CQ37</f>
        <v/>
      </c>
      <c r="CT479">
        <f>'T_TTAFStock'!CR37</f>
        <v/>
      </c>
      <c r="CU479">
        <f>'T_TTAFStock'!CS37</f>
        <v/>
      </c>
      <c r="CV479">
        <f>'T_TTAFStock'!CT37</f>
        <v/>
      </c>
      <c r="CW479">
        <f>'T_TTAFStock'!CU37</f>
        <v/>
      </c>
      <c r="CX479">
        <f>'T_TTAFStock'!CV37</f>
        <v/>
      </c>
      <c r="CY479">
        <f>'T_TTAFStock'!CW37</f>
        <v/>
      </c>
      <c r="CZ479">
        <f>'T_TTAFStock'!CX37</f>
        <v/>
      </c>
      <c r="DA479">
        <f>'T_TTAFStock'!CY37</f>
        <v/>
      </c>
      <c r="DB479">
        <f>'T_TTAFStock'!CZ37</f>
        <v/>
      </c>
      <c r="DC479">
        <f>'T_TTAFStock'!DA37</f>
        <v/>
      </c>
    </row>
    <row r="480">
      <c r="B480" t="inlineStr">
        <is>
          <t>自社在庫(実績,kg)</t>
        </is>
      </c>
      <c r="D480">
        <f>'T_SelfStock'!B37</f>
        <v/>
      </c>
      <c r="E480">
        <f>'T_SelfStock'!C37</f>
        <v/>
      </c>
      <c r="F480">
        <f>'T_SelfStock'!D37</f>
        <v/>
      </c>
      <c r="G480">
        <f>'T_SelfStock'!E37</f>
        <v/>
      </c>
      <c r="H480">
        <f>'T_SelfStock'!F37</f>
        <v/>
      </c>
      <c r="I480">
        <f>'T_SelfStock'!G37</f>
        <v/>
      </c>
      <c r="J480">
        <f>'T_SelfStock'!H37</f>
        <v/>
      </c>
      <c r="K480">
        <f>'T_SelfStock'!I37</f>
        <v/>
      </c>
      <c r="L480">
        <f>'T_SelfStock'!J37</f>
        <v/>
      </c>
      <c r="M480">
        <f>'T_SelfStock'!K37</f>
        <v/>
      </c>
      <c r="N480">
        <f>'T_SelfStock'!L37</f>
        <v/>
      </c>
      <c r="O480">
        <f>'T_SelfStock'!M37</f>
        <v/>
      </c>
      <c r="P480">
        <f>'T_SelfStock'!N37</f>
        <v/>
      </c>
      <c r="Q480">
        <f>'T_SelfStock'!O37</f>
        <v/>
      </c>
      <c r="R480">
        <f>'T_SelfStock'!P37</f>
        <v/>
      </c>
      <c r="S480">
        <f>'T_SelfStock'!Q37</f>
        <v/>
      </c>
      <c r="T480">
        <f>'T_SelfStock'!R37</f>
        <v/>
      </c>
      <c r="U480">
        <f>'T_SelfStock'!S37</f>
        <v/>
      </c>
      <c r="V480">
        <f>'T_SelfStock'!T37</f>
        <v/>
      </c>
      <c r="W480">
        <f>'T_SelfStock'!U37</f>
        <v/>
      </c>
      <c r="X480">
        <f>'T_SelfStock'!V37</f>
        <v/>
      </c>
      <c r="Y480">
        <f>'T_SelfStock'!W37</f>
        <v/>
      </c>
      <c r="Z480">
        <f>'T_SelfStock'!X37</f>
        <v/>
      </c>
      <c r="AA480">
        <f>'T_SelfStock'!Y37</f>
        <v/>
      </c>
      <c r="AB480">
        <f>'T_SelfStock'!Z37</f>
        <v/>
      </c>
      <c r="AC480">
        <f>'T_SelfStock'!AA37</f>
        <v/>
      </c>
      <c r="AD480">
        <f>'T_SelfStock'!AB37</f>
        <v/>
      </c>
      <c r="AE480">
        <f>'T_SelfStock'!AC37</f>
        <v/>
      </c>
      <c r="AF480">
        <f>'T_SelfStock'!AD37</f>
        <v/>
      </c>
      <c r="AG480">
        <f>'T_SelfStock'!AE37</f>
        <v/>
      </c>
      <c r="AH480">
        <f>'T_SelfStock'!AF37</f>
        <v/>
      </c>
      <c r="AI480">
        <f>'T_SelfStock'!AG37</f>
        <v/>
      </c>
      <c r="AJ480">
        <f>'T_SelfStock'!AH37</f>
        <v/>
      </c>
      <c r="AK480">
        <f>'T_SelfStock'!AI37</f>
        <v/>
      </c>
      <c r="AL480">
        <f>'T_SelfStock'!AJ37</f>
        <v/>
      </c>
      <c r="AM480">
        <f>'T_SelfStock'!AK37</f>
        <v/>
      </c>
      <c r="AN480">
        <f>'T_SelfStock'!AL37</f>
        <v/>
      </c>
      <c r="AO480">
        <f>'T_SelfStock'!AM37</f>
        <v/>
      </c>
      <c r="AP480">
        <f>'T_SelfStock'!AN37</f>
        <v/>
      </c>
      <c r="AQ480">
        <f>'T_SelfStock'!AO37</f>
        <v/>
      </c>
      <c r="AR480">
        <f>'T_SelfStock'!AP37</f>
        <v/>
      </c>
      <c r="AS480">
        <f>'T_SelfStock'!AQ37</f>
        <v/>
      </c>
      <c r="AT480">
        <f>'T_SelfStock'!AR37</f>
        <v/>
      </c>
      <c r="AU480">
        <f>'T_SelfStock'!AS37</f>
        <v/>
      </c>
      <c r="AV480">
        <f>'T_SelfStock'!AT37</f>
        <v/>
      </c>
      <c r="AW480">
        <f>'T_SelfStock'!AU37</f>
        <v/>
      </c>
      <c r="AX480">
        <f>'T_SelfStock'!AV37</f>
        <v/>
      </c>
      <c r="AY480">
        <f>'T_SelfStock'!AW37</f>
        <v/>
      </c>
      <c r="AZ480">
        <f>'T_SelfStock'!AX37</f>
        <v/>
      </c>
      <c r="BA480">
        <f>'T_SelfStock'!AY37</f>
        <v/>
      </c>
      <c r="BB480">
        <f>'T_SelfStock'!AZ37</f>
        <v/>
      </c>
      <c r="BC480">
        <f>'T_SelfStock'!BA37</f>
        <v/>
      </c>
      <c r="BD480">
        <f>'T_SelfStock'!BB37</f>
        <v/>
      </c>
      <c r="BE480">
        <f>'T_SelfStock'!BC37</f>
        <v/>
      </c>
      <c r="BF480">
        <f>'T_SelfStock'!BD37</f>
        <v/>
      </c>
      <c r="BG480">
        <f>'T_SelfStock'!BE37</f>
        <v/>
      </c>
      <c r="BH480">
        <f>'T_SelfStock'!BF37</f>
        <v/>
      </c>
      <c r="BI480">
        <f>'T_SelfStock'!BG37</f>
        <v/>
      </c>
      <c r="BJ480">
        <f>'T_SelfStock'!BH37</f>
        <v/>
      </c>
      <c r="BK480">
        <f>'T_SelfStock'!BI37</f>
        <v/>
      </c>
      <c r="BL480">
        <f>'T_SelfStock'!BJ37</f>
        <v/>
      </c>
      <c r="BM480">
        <f>'T_SelfStock'!BK37</f>
        <v/>
      </c>
      <c r="BN480">
        <f>'T_SelfStock'!BL37</f>
        <v/>
      </c>
      <c r="BO480">
        <f>'T_SelfStock'!BM37</f>
        <v/>
      </c>
      <c r="BP480">
        <f>'T_SelfStock'!BN37</f>
        <v/>
      </c>
      <c r="BQ480">
        <f>'T_SelfStock'!BO37</f>
        <v/>
      </c>
      <c r="BR480">
        <f>'T_SelfStock'!BP37</f>
        <v/>
      </c>
      <c r="BS480">
        <f>'T_SelfStock'!BQ37</f>
        <v/>
      </c>
      <c r="BT480">
        <f>'T_SelfStock'!BR37</f>
        <v/>
      </c>
      <c r="BU480">
        <f>'T_SelfStock'!BS37</f>
        <v/>
      </c>
      <c r="BV480">
        <f>'T_SelfStock'!BT37</f>
        <v/>
      </c>
      <c r="BW480">
        <f>'T_SelfStock'!BU37</f>
        <v/>
      </c>
      <c r="BX480">
        <f>'T_SelfStock'!BV37</f>
        <v/>
      </c>
      <c r="BY480">
        <f>'T_SelfStock'!BW37</f>
        <v/>
      </c>
      <c r="BZ480">
        <f>'T_SelfStock'!BX37</f>
        <v/>
      </c>
      <c r="CA480">
        <f>'T_SelfStock'!BY37</f>
        <v/>
      </c>
      <c r="CB480">
        <f>'T_SelfStock'!BZ37</f>
        <v/>
      </c>
      <c r="CC480">
        <f>'T_SelfStock'!CA37</f>
        <v/>
      </c>
      <c r="CD480">
        <f>'T_SelfStock'!CB37</f>
        <v/>
      </c>
      <c r="CE480">
        <f>'T_SelfStock'!CC37</f>
        <v/>
      </c>
      <c r="CF480">
        <f>'T_SelfStock'!CD37</f>
        <v/>
      </c>
      <c r="CG480">
        <f>'T_SelfStock'!CE37</f>
        <v/>
      </c>
      <c r="CH480">
        <f>'T_SelfStock'!CF37</f>
        <v/>
      </c>
      <c r="CI480">
        <f>'T_SelfStock'!CG37</f>
        <v/>
      </c>
      <c r="CJ480">
        <f>'T_SelfStock'!CH37</f>
        <v/>
      </c>
      <c r="CK480">
        <f>'T_SelfStock'!CI37</f>
        <v/>
      </c>
      <c r="CL480">
        <f>'T_SelfStock'!CJ37</f>
        <v/>
      </c>
      <c r="CM480">
        <f>'T_SelfStock'!CK37</f>
        <v/>
      </c>
      <c r="CN480">
        <f>'T_SelfStock'!CL37</f>
        <v/>
      </c>
      <c r="CO480">
        <f>'T_SelfStock'!CM37</f>
        <v/>
      </c>
      <c r="CP480">
        <f>'T_SelfStock'!CN37</f>
        <v/>
      </c>
      <c r="CQ480">
        <f>'T_SelfStock'!CO37</f>
        <v/>
      </c>
      <c r="CR480">
        <f>'T_SelfStock'!CP37</f>
        <v/>
      </c>
      <c r="CS480">
        <f>'T_SelfStock'!CQ37</f>
        <v/>
      </c>
      <c r="CT480">
        <f>'T_SelfStock'!CR37</f>
        <v/>
      </c>
      <c r="CU480">
        <f>'T_SelfStock'!CS37</f>
        <v/>
      </c>
      <c r="CV480">
        <f>'T_SelfStock'!CT37</f>
        <v/>
      </c>
      <c r="CW480">
        <f>'T_SelfStock'!CU37</f>
        <v/>
      </c>
      <c r="CX480">
        <f>'T_SelfStock'!CV37</f>
        <v/>
      </c>
      <c r="CY480">
        <f>'T_SelfStock'!CW37</f>
        <v/>
      </c>
      <c r="CZ480">
        <f>'T_SelfStock'!CX37</f>
        <v/>
      </c>
      <c r="DA480">
        <f>'T_SelfStock'!CY37</f>
        <v/>
      </c>
      <c r="DB480">
        <f>'T_SelfStock'!CZ37</f>
        <v/>
      </c>
      <c r="DC480">
        <f>'T_SelfStock'!DA37</f>
        <v/>
      </c>
    </row>
    <row r="481">
      <c r="B481" t="inlineStr">
        <is>
          <t>Order(発注予定,kg)</t>
        </is>
      </c>
      <c r="D481">
        <f>IF(SUMIFS(T_PlannedOrders[EffectiveQty],T_PlannedOrders[Part Name],$A475,T_PlannedOrders[WeekIndex],1)=0,"",SUMIFS(T_PlannedOrders[EffectiveQty],T_PlannedOrders[Part Name],$A475,T_PlannedOrders[WeekIndex],1)&amp;" ("&amp;TEXT(SUMPRODUCT(MAX((T_PlannedOrders[Part Name]=$A475)*(T_PlannedOrders[WeekIndex]=1)*(T_PlannedOrders[EffectiveQty]&gt;0)*T_PlannedOrders[Order_Month])),"m月")&amp;"発注)")</f>
        <v/>
      </c>
      <c r="E481">
        <f>IF(SUMIFS(T_PlannedOrders[EffectiveQty],T_PlannedOrders[Part Name],$A475,T_PlannedOrders[WeekIndex],2)=0,"",SUMIFS(T_PlannedOrders[EffectiveQty],T_PlannedOrders[Part Name],$A475,T_PlannedOrders[WeekIndex],2)&amp;" ("&amp;TEXT(SUMPRODUCT(MAX((T_PlannedOrders[Part Name]=$A475)*(T_PlannedOrders[WeekIndex]=2)*(T_PlannedOrders[EffectiveQty]&gt;0)*T_PlannedOrders[Order_Month])),"m月")&amp;"発注)")</f>
        <v/>
      </c>
      <c r="F481">
        <f>IF(SUMIFS(T_PlannedOrders[EffectiveQty],T_PlannedOrders[Part Name],$A475,T_PlannedOrders[WeekIndex],3)=0,"",SUMIFS(T_PlannedOrders[EffectiveQty],T_PlannedOrders[Part Name],$A475,T_PlannedOrders[WeekIndex],3)&amp;" ("&amp;TEXT(SUMPRODUCT(MAX((T_PlannedOrders[Part Name]=$A475)*(T_PlannedOrders[WeekIndex]=3)*(T_PlannedOrders[EffectiveQty]&gt;0)*T_PlannedOrders[Order_Month])),"m月")&amp;"発注)")</f>
        <v/>
      </c>
      <c r="G481">
        <f>IF(SUMIFS(T_PlannedOrders[EffectiveQty],T_PlannedOrders[Part Name],$A475,T_PlannedOrders[WeekIndex],4)=0,"",SUMIFS(T_PlannedOrders[EffectiveQty],T_PlannedOrders[Part Name],$A475,T_PlannedOrders[WeekIndex],4)&amp;" ("&amp;TEXT(SUMPRODUCT(MAX((T_PlannedOrders[Part Name]=$A475)*(T_PlannedOrders[WeekIndex]=4)*(T_PlannedOrders[EffectiveQty]&gt;0)*T_PlannedOrders[Order_Month])),"m月")&amp;"発注)")</f>
        <v/>
      </c>
      <c r="H481">
        <f>IF(SUMIFS(T_PlannedOrders[EffectiveQty],T_PlannedOrders[Part Name],$A475,T_PlannedOrders[WeekIndex],5)=0,"",SUMIFS(T_PlannedOrders[EffectiveQty],T_PlannedOrders[Part Name],$A475,T_PlannedOrders[WeekIndex],5)&amp;" ("&amp;TEXT(SUMPRODUCT(MAX((T_PlannedOrders[Part Name]=$A475)*(T_PlannedOrders[WeekIndex]=5)*(T_PlannedOrders[EffectiveQty]&gt;0)*T_PlannedOrders[Order_Month])),"m月")&amp;"発注)")</f>
        <v/>
      </c>
      <c r="I481">
        <f>IF(SUMIFS(T_PlannedOrders[EffectiveQty],T_PlannedOrders[Part Name],$A475,T_PlannedOrders[WeekIndex],6)=0,"",SUMIFS(T_PlannedOrders[EffectiveQty],T_PlannedOrders[Part Name],$A475,T_PlannedOrders[WeekIndex],6)&amp;" ("&amp;TEXT(SUMPRODUCT(MAX((T_PlannedOrders[Part Name]=$A475)*(T_PlannedOrders[WeekIndex]=6)*(T_PlannedOrders[EffectiveQty]&gt;0)*T_PlannedOrders[Order_Month])),"m月")&amp;"発注)")</f>
        <v/>
      </c>
      <c r="J481">
        <f>IF(SUMIFS(T_PlannedOrders[EffectiveQty],T_PlannedOrders[Part Name],$A475,T_PlannedOrders[WeekIndex],7)=0,"",SUMIFS(T_PlannedOrders[EffectiveQty],T_PlannedOrders[Part Name],$A475,T_PlannedOrders[WeekIndex],7)&amp;" ("&amp;TEXT(SUMPRODUCT(MAX((T_PlannedOrders[Part Name]=$A475)*(T_PlannedOrders[WeekIndex]=7)*(T_PlannedOrders[EffectiveQty]&gt;0)*T_PlannedOrders[Order_Month])),"m月")&amp;"発注)")</f>
        <v/>
      </c>
      <c r="K481">
        <f>IF(SUMIFS(T_PlannedOrders[EffectiveQty],T_PlannedOrders[Part Name],$A475,T_PlannedOrders[WeekIndex],8)=0,"",SUMIFS(T_PlannedOrders[EffectiveQty],T_PlannedOrders[Part Name],$A475,T_PlannedOrders[WeekIndex],8)&amp;" ("&amp;TEXT(SUMPRODUCT(MAX((T_PlannedOrders[Part Name]=$A475)*(T_PlannedOrders[WeekIndex]=8)*(T_PlannedOrders[EffectiveQty]&gt;0)*T_PlannedOrders[Order_Month])),"m月")&amp;"発注)")</f>
        <v/>
      </c>
      <c r="L481">
        <f>IF(SUMIFS(T_PlannedOrders[EffectiveQty],T_PlannedOrders[Part Name],$A475,T_PlannedOrders[WeekIndex],9)=0,"",SUMIFS(T_PlannedOrders[EffectiveQty],T_PlannedOrders[Part Name],$A475,T_PlannedOrders[WeekIndex],9)&amp;" ("&amp;TEXT(SUMPRODUCT(MAX((T_PlannedOrders[Part Name]=$A475)*(T_PlannedOrders[WeekIndex]=9)*(T_PlannedOrders[EffectiveQty]&gt;0)*T_PlannedOrders[Order_Month])),"m月")&amp;"発注)")</f>
        <v/>
      </c>
      <c r="M481">
        <f>IF(SUMIFS(T_PlannedOrders[EffectiveQty],T_PlannedOrders[Part Name],$A475,T_PlannedOrders[WeekIndex],10)=0,"",SUMIFS(T_PlannedOrders[EffectiveQty],T_PlannedOrders[Part Name],$A475,T_PlannedOrders[WeekIndex],10)&amp;" ("&amp;TEXT(SUMPRODUCT(MAX((T_PlannedOrders[Part Name]=$A475)*(T_PlannedOrders[WeekIndex]=10)*(T_PlannedOrders[EffectiveQty]&gt;0)*T_PlannedOrders[Order_Month])),"m月")&amp;"発注)")</f>
        <v/>
      </c>
      <c r="N481">
        <f>IF(SUMIFS(T_PlannedOrders[EffectiveQty],T_PlannedOrders[Part Name],$A475,T_PlannedOrders[WeekIndex],11)=0,"",SUMIFS(T_PlannedOrders[EffectiveQty],T_PlannedOrders[Part Name],$A475,T_PlannedOrders[WeekIndex],11)&amp;" ("&amp;TEXT(SUMPRODUCT(MAX((T_PlannedOrders[Part Name]=$A475)*(T_PlannedOrders[WeekIndex]=11)*(T_PlannedOrders[EffectiveQty]&gt;0)*T_PlannedOrders[Order_Month])),"m月")&amp;"発注)")</f>
        <v/>
      </c>
      <c r="O481">
        <f>IF(SUMIFS(T_PlannedOrders[EffectiveQty],T_PlannedOrders[Part Name],$A475,T_PlannedOrders[WeekIndex],12)=0,"",SUMIFS(T_PlannedOrders[EffectiveQty],T_PlannedOrders[Part Name],$A475,T_PlannedOrders[WeekIndex],12)&amp;" ("&amp;TEXT(SUMPRODUCT(MAX((T_PlannedOrders[Part Name]=$A475)*(T_PlannedOrders[WeekIndex]=12)*(T_PlannedOrders[EffectiveQty]&gt;0)*T_PlannedOrders[Order_Month])),"m月")&amp;"発注)")</f>
        <v/>
      </c>
      <c r="P481">
        <f>IF(SUMIFS(T_PlannedOrders[EffectiveQty],T_PlannedOrders[Part Name],$A475,T_PlannedOrders[WeekIndex],13)=0,"",SUMIFS(T_PlannedOrders[EffectiveQty],T_PlannedOrders[Part Name],$A475,T_PlannedOrders[WeekIndex],13)&amp;" ("&amp;TEXT(SUMPRODUCT(MAX((T_PlannedOrders[Part Name]=$A475)*(T_PlannedOrders[WeekIndex]=13)*(T_PlannedOrders[EffectiveQty]&gt;0)*T_PlannedOrders[Order_Month])),"m月")&amp;"発注)")</f>
        <v/>
      </c>
      <c r="Q481">
        <f>IF(SUMIFS(T_PlannedOrders[EffectiveQty],T_PlannedOrders[Part Name],$A475,T_PlannedOrders[WeekIndex],14)=0,"",SUMIFS(T_PlannedOrders[EffectiveQty],T_PlannedOrders[Part Name],$A475,T_PlannedOrders[WeekIndex],14)&amp;" ("&amp;TEXT(SUMPRODUCT(MAX((T_PlannedOrders[Part Name]=$A475)*(T_PlannedOrders[WeekIndex]=14)*(T_PlannedOrders[EffectiveQty]&gt;0)*T_PlannedOrders[Order_Month])),"m月")&amp;"発注)")</f>
        <v/>
      </c>
      <c r="R481">
        <f>IF(SUMIFS(T_PlannedOrders[EffectiveQty],T_PlannedOrders[Part Name],$A475,T_PlannedOrders[WeekIndex],15)=0,"",SUMIFS(T_PlannedOrders[EffectiveQty],T_PlannedOrders[Part Name],$A475,T_PlannedOrders[WeekIndex],15)&amp;" ("&amp;TEXT(SUMPRODUCT(MAX((T_PlannedOrders[Part Name]=$A475)*(T_PlannedOrders[WeekIndex]=15)*(T_PlannedOrders[EffectiveQty]&gt;0)*T_PlannedOrders[Order_Month])),"m月")&amp;"発注)")</f>
        <v/>
      </c>
      <c r="S481">
        <f>IF(SUMIFS(T_PlannedOrders[EffectiveQty],T_PlannedOrders[Part Name],$A475,T_PlannedOrders[WeekIndex],16)=0,"",SUMIFS(T_PlannedOrders[EffectiveQty],T_PlannedOrders[Part Name],$A475,T_PlannedOrders[WeekIndex],16)&amp;" ("&amp;TEXT(SUMPRODUCT(MAX((T_PlannedOrders[Part Name]=$A475)*(T_PlannedOrders[WeekIndex]=16)*(T_PlannedOrders[EffectiveQty]&gt;0)*T_PlannedOrders[Order_Month])),"m月")&amp;"発注)")</f>
        <v/>
      </c>
      <c r="T481">
        <f>IF(SUMIFS(T_PlannedOrders[EffectiveQty],T_PlannedOrders[Part Name],$A475,T_PlannedOrders[WeekIndex],17)=0,"",SUMIFS(T_PlannedOrders[EffectiveQty],T_PlannedOrders[Part Name],$A475,T_PlannedOrders[WeekIndex],17)&amp;" ("&amp;TEXT(SUMPRODUCT(MAX((T_PlannedOrders[Part Name]=$A475)*(T_PlannedOrders[WeekIndex]=17)*(T_PlannedOrders[EffectiveQty]&gt;0)*T_PlannedOrders[Order_Month])),"m月")&amp;"発注)")</f>
        <v/>
      </c>
      <c r="U481">
        <f>IF(SUMIFS(T_PlannedOrders[EffectiveQty],T_PlannedOrders[Part Name],$A475,T_PlannedOrders[WeekIndex],18)=0,"",SUMIFS(T_PlannedOrders[EffectiveQty],T_PlannedOrders[Part Name],$A475,T_PlannedOrders[WeekIndex],18)&amp;" ("&amp;TEXT(SUMPRODUCT(MAX((T_PlannedOrders[Part Name]=$A475)*(T_PlannedOrders[WeekIndex]=18)*(T_PlannedOrders[EffectiveQty]&gt;0)*T_PlannedOrders[Order_Month])),"m月")&amp;"発注)")</f>
        <v/>
      </c>
      <c r="V481">
        <f>IF(SUMIFS(T_PlannedOrders[EffectiveQty],T_PlannedOrders[Part Name],$A475,T_PlannedOrders[WeekIndex],19)=0,"",SUMIFS(T_PlannedOrders[EffectiveQty],T_PlannedOrders[Part Name],$A475,T_PlannedOrders[WeekIndex],19)&amp;" ("&amp;TEXT(SUMPRODUCT(MAX((T_PlannedOrders[Part Name]=$A475)*(T_PlannedOrders[WeekIndex]=19)*(T_PlannedOrders[EffectiveQty]&gt;0)*T_PlannedOrders[Order_Month])),"m月")&amp;"発注)")</f>
        <v/>
      </c>
      <c r="W481">
        <f>IF(SUMIFS(T_PlannedOrders[EffectiveQty],T_PlannedOrders[Part Name],$A475,T_PlannedOrders[WeekIndex],20)=0,"",SUMIFS(T_PlannedOrders[EffectiveQty],T_PlannedOrders[Part Name],$A475,T_PlannedOrders[WeekIndex],20)&amp;" ("&amp;TEXT(SUMPRODUCT(MAX((T_PlannedOrders[Part Name]=$A475)*(T_PlannedOrders[WeekIndex]=20)*(T_PlannedOrders[EffectiveQty]&gt;0)*T_PlannedOrders[Order_Month])),"m月")&amp;"発注)")</f>
        <v/>
      </c>
      <c r="X481">
        <f>IF(SUMIFS(T_PlannedOrders[EffectiveQty],T_PlannedOrders[Part Name],$A475,T_PlannedOrders[WeekIndex],21)=0,"",SUMIFS(T_PlannedOrders[EffectiveQty],T_PlannedOrders[Part Name],$A475,T_PlannedOrders[WeekIndex],21)&amp;" ("&amp;TEXT(SUMPRODUCT(MAX((T_PlannedOrders[Part Name]=$A475)*(T_PlannedOrders[WeekIndex]=21)*(T_PlannedOrders[EffectiveQty]&gt;0)*T_PlannedOrders[Order_Month])),"m月")&amp;"発注)")</f>
        <v/>
      </c>
      <c r="Y481">
        <f>IF(SUMIFS(T_PlannedOrders[EffectiveQty],T_PlannedOrders[Part Name],$A475,T_PlannedOrders[WeekIndex],22)=0,"",SUMIFS(T_PlannedOrders[EffectiveQty],T_PlannedOrders[Part Name],$A475,T_PlannedOrders[WeekIndex],22)&amp;" ("&amp;TEXT(SUMPRODUCT(MAX((T_PlannedOrders[Part Name]=$A475)*(T_PlannedOrders[WeekIndex]=22)*(T_PlannedOrders[EffectiveQty]&gt;0)*T_PlannedOrders[Order_Month])),"m月")&amp;"発注)")</f>
        <v/>
      </c>
      <c r="Z481">
        <f>IF(SUMIFS(T_PlannedOrders[EffectiveQty],T_PlannedOrders[Part Name],$A475,T_PlannedOrders[WeekIndex],23)=0,"",SUMIFS(T_PlannedOrders[EffectiveQty],T_PlannedOrders[Part Name],$A475,T_PlannedOrders[WeekIndex],23)&amp;" ("&amp;TEXT(SUMPRODUCT(MAX((T_PlannedOrders[Part Name]=$A475)*(T_PlannedOrders[WeekIndex]=23)*(T_PlannedOrders[EffectiveQty]&gt;0)*T_PlannedOrders[Order_Month])),"m月")&amp;"発注)")</f>
        <v/>
      </c>
      <c r="AA481">
        <f>IF(SUMIFS(T_PlannedOrders[EffectiveQty],T_PlannedOrders[Part Name],$A475,T_PlannedOrders[WeekIndex],24)=0,"",SUMIFS(T_PlannedOrders[EffectiveQty],T_PlannedOrders[Part Name],$A475,T_PlannedOrders[WeekIndex],24)&amp;" ("&amp;TEXT(SUMPRODUCT(MAX((T_PlannedOrders[Part Name]=$A475)*(T_PlannedOrders[WeekIndex]=24)*(T_PlannedOrders[EffectiveQty]&gt;0)*T_PlannedOrders[Order_Month])),"m月")&amp;"発注)")</f>
        <v/>
      </c>
      <c r="AB481">
        <f>IF(SUMIFS(T_PlannedOrders[EffectiveQty],T_PlannedOrders[Part Name],$A475,T_PlannedOrders[WeekIndex],25)=0,"",SUMIFS(T_PlannedOrders[EffectiveQty],T_PlannedOrders[Part Name],$A475,T_PlannedOrders[WeekIndex],25)&amp;" ("&amp;TEXT(SUMPRODUCT(MAX((T_PlannedOrders[Part Name]=$A475)*(T_PlannedOrders[WeekIndex]=25)*(T_PlannedOrders[EffectiveQty]&gt;0)*T_PlannedOrders[Order_Month])),"m月")&amp;"発注)")</f>
        <v/>
      </c>
      <c r="AC481">
        <f>IF(SUMIFS(T_PlannedOrders[EffectiveQty],T_PlannedOrders[Part Name],$A475,T_PlannedOrders[WeekIndex],26)=0,"",SUMIFS(T_PlannedOrders[EffectiveQty],T_PlannedOrders[Part Name],$A475,T_PlannedOrders[WeekIndex],26)&amp;" ("&amp;TEXT(SUMPRODUCT(MAX((T_PlannedOrders[Part Name]=$A475)*(T_PlannedOrders[WeekIndex]=26)*(T_PlannedOrders[EffectiveQty]&gt;0)*T_PlannedOrders[Order_Month])),"m月")&amp;"発注)")</f>
        <v/>
      </c>
      <c r="AD481">
        <f>IF(SUMIFS(T_PlannedOrders[EffectiveQty],T_PlannedOrders[Part Name],$A475,T_PlannedOrders[WeekIndex],27)=0,"",SUMIFS(T_PlannedOrders[EffectiveQty],T_PlannedOrders[Part Name],$A475,T_PlannedOrders[WeekIndex],27)&amp;" ("&amp;TEXT(SUMPRODUCT(MAX((T_PlannedOrders[Part Name]=$A475)*(T_PlannedOrders[WeekIndex]=27)*(T_PlannedOrders[EffectiveQty]&gt;0)*T_PlannedOrders[Order_Month])),"m月")&amp;"発注)")</f>
        <v/>
      </c>
      <c r="AE481">
        <f>IF(SUMIFS(T_PlannedOrders[EffectiveQty],T_PlannedOrders[Part Name],$A475,T_PlannedOrders[WeekIndex],28)=0,"",SUMIFS(T_PlannedOrders[EffectiveQty],T_PlannedOrders[Part Name],$A475,T_PlannedOrders[WeekIndex],28)&amp;" ("&amp;TEXT(SUMPRODUCT(MAX((T_PlannedOrders[Part Name]=$A475)*(T_PlannedOrders[WeekIndex]=28)*(T_PlannedOrders[EffectiveQty]&gt;0)*T_PlannedOrders[Order_Month])),"m月")&amp;"発注)")</f>
        <v/>
      </c>
      <c r="AF481">
        <f>IF(SUMIFS(T_PlannedOrders[EffectiveQty],T_PlannedOrders[Part Name],$A475,T_PlannedOrders[WeekIndex],29)=0,"",SUMIFS(T_PlannedOrders[EffectiveQty],T_PlannedOrders[Part Name],$A475,T_PlannedOrders[WeekIndex],29)&amp;" ("&amp;TEXT(SUMPRODUCT(MAX((T_PlannedOrders[Part Name]=$A475)*(T_PlannedOrders[WeekIndex]=29)*(T_PlannedOrders[EffectiveQty]&gt;0)*T_PlannedOrders[Order_Month])),"m月")&amp;"発注)")</f>
        <v/>
      </c>
      <c r="AG481">
        <f>IF(SUMIFS(T_PlannedOrders[EffectiveQty],T_PlannedOrders[Part Name],$A475,T_PlannedOrders[WeekIndex],30)=0,"",SUMIFS(T_PlannedOrders[EffectiveQty],T_PlannedOrders[Part Name],$A475,T_PlannedOrders[WeekIndex],30)&amp;" ("&amp;TEXT(SUMPRODUCT(MAX((T_PlannedOrders[Part Name]=$A475)*(T_PlannedOrders[WeekIndex]=30)*(T_PlannedOrders[EffectiveQty]&gt;0)*T_PlannedOrders[Order_Month])),"m月")&amp;"発注)")</f>
        <v/>
      </c>
      <c r="AH481">
        <f>IF(SUMIFS(T_PlannedOrders[EffectiveQty],T_PlannedOrders[Part Name],$A475,T_PlannedOrders[WeekIndex],31)=0,"",SUMIFS(T_PlannedOrders[EffectiveQty],T_PlannedOrders[Part Name],$A475,T_PlannedOrders[WeekIndex],31)&amp;" ("&amp;TEXT(SUMPRODUCT(MAX((T_PlannedOrders[Part Name]=$A475)*(T_PlannedOrders[WeekIndex]=31)*(T_PlannedOrders[EffectiveQty]&gt;0)*T_PlannedOrders[Order_Month])),"m月")&amp;"発注)")</f>
        <v/>
      </c>
      <c r="AI481">
        <f>IF(SUMIFS(T_PlannedOrders[EffectiveQty],T_PlannedOrders[Part Name],$A475,T_PlannedOrders[WeekIndex],32)=0,"",SUMIFS(T_PlannedOrders[EffectiveQty],T_PlannedOrders[Part Name],$A475,T_PlannedOrders[WeekIndex],32)&amp;" ("&amp;TEXT(SUMPRODUCT(MAX((T_PlannedOrders[Part Name]=$A475)*(T_PlannedOrders[WeekIndex]=32)*(T_PlannedOrders[EffectiveQty]&gt;0)*T_PlannedOrders[Order_Month])),"m月")&amp;"発注)")</f>
        <v/>
      </c>
      <c r="AJ481">
        <f>IF(SUMIFS(T_PlannedOrders[EffectiveQty],T_PlannedOrders[Part Name],$A475,T_PlannedOrders[WeekIndex],33)=0,"",SUMIFS(T_PlannedOrders[EffectiveQty],T_PlannedOrders[Part Name],$A475,T_PlannedOrders[WeekIndex],33)&amp;" ("&amp;TEXT(SUMPRODUCT(MAX((T_PlannedOrders[Part Name]=$A475)*(T_PlannedOrders[WeekIndex]=33)*(T_PlannedOrders[EffectiveQty]&gt;0)*T_PlannedOrders[Order_Month])),"m月")&amp;"発注)")</f>
        <v/>
      </c>
      <c r="AK481">
        <f>IF(SUMIFS(T_PlannedOrders[EffectiveQty],T_PlannedOrders[Part Name],$A475,T_PlannedOrders[WeekIndex],34)=0,"",SUMIFS(T_PlannedOrders[EffectiveQty],T_PlannedOrders[Part Name],$A475,T_PlannedOrders[WeekIndex],34)&amp;" ("&amp;TEXT(SUMPRODUCT(MAX((T_PlannedOrders[Part Name]=$A475)*(T_PlannedOrders[WeekIndex]=34)*(T_PlannedOrders[EffectiveQty]&gt;0)*T_PlannedOrders[Order_Month])),"m月")&amp;"発注)")</f>
        <v/>
      </c>
      <c r="AL481">
        <f>IF(SUMIFS(T_PlannedOrders[EffectiveQty],T_PlannedOrders[Part Name],$A475,T_PlannedOrders[WeekIndex],35)=0,"",SUMIFS(T_PlannedOrders[EffectiveQty],T_PlannedOrders[Part Name],$A475,T_PlannedOrders[WeekIndex],35)&amp;" ("&amp;TEXT(SUMPRODUCT(MAX((T_PlannedOrders[Part Name]=$A475)*(T_PlannedOrders[WeekIndex]=35)*(T_PlannedOrders[EffectiveQty]&gt;0)*T_PlannedOrders[Order_Month])),"m月")&amp;"発注)")</f>
        <v/>
      </c>
      <c r="AM481">
        <f>IF(SUMIFS(T_PlannedOrders[EffectiveQty],T_PlannedOrders[Part Name],$A475,T_PlannedOrders[WeekIndex],36)=0,"",SUMIFS(T_PlannedOrders[EffectiveQty],T_PlannedOrders[Part Name],$A475,T_PlannedOrders[WeekIndex],36)&amp;" ("&amp;TEXT(SUMPRODUCT(MAX((T_PlannedOrders[Part Name]=$A475)*(T_PlannedOrders[WeekIndex]=36)*(T_PlannedOrders[EffectiveQty]&gt;0)*T_PlannedOrders[Order_Month])),"m月")&amp;"発注)")</f>
        <v/>
      </c>
      <c r="AN481">
        <f>IF(SUMIFS(T_PlannedOrders[EffectiveQty],T_PlannedOrders[Part Name],$A475,T_PlannedOrders[WeekIndex],37)=0,"",SUMIFS(T_PlannedOrders[EffectiveQty],T_PlannedOrders[Part Name],$A475,T_PlannedOrders[WeekIndex],37)&amp;" ("&amp;TEXT(SUMPRODUCT(MAX((T_PlannedOrders[Part Name]=$A475)*(T_PlannedOrders[WeekIndex]=37)*(T_PlannedOrders[EffectiveQty]&gt;0)*T_PlannedOrders[Order_Month])),"m月")&amp;"発注)")</f>
        <v/>
      </c>
      <c r="AO481">
        <f>IF(SUMIFS(T_PlannedOrders[EffectiveQty],T_PlannedOrders[Part Name],$A475,T_PlannedOrders[WeekIndex],38)=0,"",SUMIFS(T_PlannedOrders[EffectiveQty],T_PlannedOrders[Part Name],$A475,T_PlannedOrders[WeekIndex],38)&amp;" ("&amp;TEXT(SUMPRODUCT(MAX((T_PlannedOrders[Part Name]=$A475)*(T_PlannedOrders[WeekIndex]=38)*(T_PlannedOrders[EffectiveQty]&gt;0)*T_PlannedOrders[Order_Month])),"m月")&amp;"発注)")</f>
        <v/>
      </c>
      <c r="AP481">
        <f>IF(SUMIFS(T_PlannedOrders[EffectiveQty],T_PlannedOrders[Part Name],$A475,T_PlannedOrders[WeekIndex],39)=0,"",SUMIFS(T_PlannedOrders[EffectiveQty],T_PlannedOrders[Part Name],$A475,T_PlannedOrders[WeekIndex],39)&amp;" ("&amp;TEXT(SUMPRODUCT(MAX((T_PlannedOrders[Part Name]=$A475)*(T_PlannedOrders[WeekIndex]=39)*(T_PlannedOrders[EffectiveQty]&gt;0)*T_PlannedOrders[Order_Month])),"m月")&amp;"発注)")</f>
        <v/>
      </c>
      <c r="AQ481">
        <f>IF(SUMIFS(T_PlannedOrders[EffectiveQty],T_PlannedOrders[Part Name],$A475,T_PlannedOrders[WeekIndex],40)=0,"",SUMIFS(T_PlannedOrders[EffectiveQty],T_PlannedOrders[Part Name],$A475,T_PlannedOrders[WeekIndex],40)&amp;" ("&amp;TEXT(SUMPRODUCT(MAX((T_PlannedOrders[Part Name]=$A475)*(T_PlannedOrders[WeekIndex]=40)*(T_PlannedOrders[EffectiveQty]&gt;0)*T_PlannedOrders[Order_Month])),"m月")&amp;"発注)")</f>
        <v/>
      </c>
      <c r="AR481">
        <f>IF(SUMIFS(T_PlannedOrders[EffectiveQty],T_PlannedOrders[Part Name],$A475,T_PlannedOrders[WeekIndex],41)=0,"",SUMIFS(T_PlannedOrders[EffectiveQty],T_PlannedOrders[Part Name],$A475,T_PlannedOrders[WeekIndex],41)&amp;" ("&amp;TEXT(SUMPRODUCT(MAX((T_PlannedOrders[Part Name]=$A475)*(T_PlannedOrders[WeekIndex]=41)*(T_PlannedOrders[EffectiveQty]&gt;0)*T_PlannedOrders[Order_Month])),"m月")&amp;"発注)")</f>
        <v/>
      </c>
      <c r="AS481">
        <f>IF(SUMIFS(T_PlannedOrders[EffectiveQty],T_PlannedOrders[Part Name],$A475,T_PlannedOrders[WeekIndex],42)=0,"",SUMIFS(T_PlannedOrders[EffectiveQty],T_PlannedOrders[Part Name],$A475,T_PlannedOrders[WeekIndex],42)&amp;" ("&amp;TEXT(SUMPRODUCT(MAX((T_PlannedOrders[Part Name]=$A475)*(T_PlannedOrders[WeekIndex]=42)*(T_PlannedOrders[EffectiveQty]&gt;0)*T_PlannedOrders[Order_Month])),"m月")&amp;"発注)")</f>
        <v/>
      </c>
      <c r="AT481">
        <f>IF(SUMIFS(T_PlannedOrders[EffectiveQty],T_PlannedOrders[Part Name],$A475,T_PlannedOrders[WeekIndex],43)=0,"",SUMIFS(T_PlannedOrders[EffectiveQty],T_PlannedOrders[Part Name],$A475,T_PlannedOrders[WeekIndex],43)&amp;" ("&amp;TEXT(SUMPRODUCT(MAX((T_PlannedOrders[Part Name]=$A475)*(T_PlannedOrders[WeekIndex]=43)*(T_PlannedOrders[EffectiveQty]&gt;0)*T_PlannedOrders[Order_Month])),"m月")&amp;"発注)")</f>
        <v/>
      </c>
      <c r="AU481">
        <f>IF(SUMIFS(T_PlannedOrders[EffectiveQty],T_PlannedOrders[Part Name],$A475,T_PlannedOrders[WeekIndex],44)=0,"",SUMIFS(T_PlannedOrders[EffectiveQty],T_PlannedOrders[Part Name],$A475,T_PlannedOrders[WeekIndex],44)&amp;" ("&amp;TEXT(SUMPRODUCT(MAX((T_PlannedOrders[Part Name]=$A475)*(T_PlannedOrders[WeekIndex]=44)*(T_PlannedOrders[EffectiveQty]&gt;0)*T_PlannedOrders[Order_Month])),"m月")&amp;"発注)")</f>
        <v/>
      </c>
      <c r="AV481">
        <f>IF(SUMIFS(T_PlannedOrders[EffectiveQty],T_PlannedOrders[Part Name],$A475,T_PlannedOrders[WeekIndex],45)=0,"",SUMIFS(T_PlannedOrders[EffectiveQty],T_PlannedOrders[Part Name],$A475,T_PlannedOrders[WeekIndex],45)&amp;" ("&amp;TEXT(SUMPRODUCT(MAX((T_PlannedOrders[Part Name]=$A475)*(T_PlannedOrders[WeekIndex]=45)*(T_PlannedOrders[EffectiveQty]&gt;0)*T_PlannedOrders[Order_Month])),"m月")&amp;"発注)")</f>
        <v/>
      </c>
      <c r="AW481">
        <f>IF(SUMIFS(T_PlannedOrders[EffectiveQty],T_PlannedOrders[Part Name],$A475,T_PlannedOrders[WeekIndex],46)=0,"",SUMIFS(T_PlannedOrders[EffectiveQty],T_PlannedOrders[Part Name],$A475,T_PlannedOrders[WeekIndex],46)&amp;" ("&amp;TEXT(SUMPRODUCT(MAX((T_PlannedOrders[Part Name]=$A475)*(T_PlannedOrders[WeekIndex]=46)*(T_PlannedOrders[EffectiveQty]&gt;0)*T_PlannedOrders[Order_Month])),"m月")&amp;"発注)")</f>
        <v/>
      </c>
      <c r="AX481">
        <f>IF(SUMIFS(T_PlannedOrders[EffectiveQty],T_PlannedOrders[Part Name],$A475,T_PlannedOrders[WeekIndex],47)=0,"",SUMIFS(T_PlannedOrders[EffectiveQty],T_PlannedOrders[Part Name],$A475,T_PlannedOrders[WeekIndex],47)&amp;" ("&amp;TEXT(SUMPRODUCT(MAX((T_PlannedOrders[Part Name]=$A475)*(T_PlannedOrders[WeekIndex]=47)*(T_PlannedOrders[EffectiveQty]&gt;0)*T_PlannedOrders[Order_Month])),"m月")&amp;"発注)")</f>
        <v/>
      </c>
      <c r="AY481">
        <f>IF(SUMIFS(T_PlannedOrders[EffectiveQty],T_PlannedOrders[Part Name],$A475,T_PlannedOrders[WeekIndex],48)=0,"",SUMIFS(T_PlannedOrders[EffectiveQty],T_PlannedOrders[Part Name],$A475,T_PlannedOrders[WeekIndex],48)&amp;" ("&amp;TEXT(SUMPRODUCT(MAX((T_PlannedOrders[Part Name]=$A475)*(T_PlannedOrders[WeekIndex]=48)*(T_PlannedOrders[EffectiveQty]&gt;0)*T_PlannedOrders[Order_Month])),"m月")&amp;"発注)")</f>
        <v/>
      </c>
      <c r="AZ481">
        <f>IF(SUMIFS(T_PlannedOrders[EffectiveQty],T_PlannedOrders[Part Name],$A475,T_PlannedOrders[WeekIndex],49)=0,"",SUMIFS(T_PlannedOrders[EffectiveQty],T_PlannedOrders[Part Name],$A475,T_PlannedOrders[WeekIndex],49)&amp;" ("&amp;TEXT(SUMPRODUCT(MAX((T_PlannedOrders[Part Name]=$A475)*(T_PlannedOrders[WeekIndex]=49)*(T_PlannedOrders[EffectiveQty]&gt;0)*T_PlannedOrders[Order_Month])),"m月")&amp;"発注)")</f>
        <v/>
      </c>
      <c r="BA481">
        <f>IF(SUMIFS(T_PlannedOrders[EffectiveQty],T_PlannedOrders[Part Name],$A475,T_PlannedOrders[WeekIndex],50)=0,"",SUMIFS(T_PlannedOrders[EffectiveQty],T_PlannedOrders[Part Name],$A475,T_PlannedOrders[WeekIndex],50)&amp;" ("&amp;TEXT(SUMPRODUCT(MAX((T_PlannedOrders[Part Name]=$A475)*(T_PlannedOrders[WeekIndex]=50)*(T_PlannedOrders[EffectiveQty]&gt;0)*T_PlannedOrders[Order_Month])),"m月")&amp;"発注)")</f>
        <v/>
      </c>
      <c r="BB481">
        <f>IF(SUMIFS(T_PlannedOrders[EffectiveQty],T_PlannedOrders[Part Name],$A475,T_PlannedOrders[WeekIndex],51)=0,"",SUMIFS(T_PlannedOrders[EffectiveQty],T_PlannedOrders[Part Name],$A475,T_PlannedOrders[WeekIndex],51)&amp;" ("&amp;TEXT(SUMPRODUCT(MAX((T_PlannedOrders[Part Name]=$A475)*(T_PlannedOrders[WeekIndex]=51)*(T_PlannedOrders[EffectiveQty]&gt;0)*T_PlannedOrders[Order_Month])),"m月")&amp;"発注)")</f>
        <v/>
      </c>
      <c r="BC481">
        <f>IF(SUMIFS(T_PlannedOrders[EffectiveQty],T_PlannedOrders[Part Name],$A475,T_PlannedOrders[WeekIndex],52)=0,"",SUMIFS(T_PlannedOrders[EffectiveQty],T_PlannedOrders[Part Name],$A475,T_PlannedOrders[WeekIndex],52)&amp;" ("&amp;TEXT(SUMPRODUCT(MAX((T_PlannedOrders[Part Name]=$A475)*(T_PlannedOrders[WeekIndex]=52)*(T_PlannedOrders[EffectiveQty]&gt;0)*T_PlannedOrders[Order_Month])),"m月")&amp;"発注)")</f>
        <v/>
      </c>
      <c r="BD481">
        <f>IF(SUMIFS(T_PlannedOrders[EffectiveQty],T_PlannedOrders[Part Name],$A475,T_PlannedOrders[WeekIndex],53)=0,"",SUMIFS(T_PlannedOrders[EffectiveQty],T_PlannedOrders[Part Name],$A475,T_PlannedOrders[WeekIndex],53)&amp;" ("&amp;TEXT(SUMPRODUCT(MAX((T_PlannedOrders[Part Name]=$A475)*(T_PlannedOrders[WeekIndex]=53)*(T_PlannedOrders[EffectiveQty]&gt;0)*T_PlannedOrders[Order_Month])),"m月")&amp;"発注)")</f>
        <v/>
      </c>
      <c r="BE481">
        <f>IF(SUMIFS(T_PlannedOrders[EffectiveQty],T_PlannedOrders[Part Name],$A475,T_PlannedOrders[WeekIndex],54)=0,"",SUMIFS(T_PlannedOrders[EffectiveQty],T_PlannedOrders[Part Name],$A475,T_PlannedOrders[WeekIndex],54)&amp;" ("&amp;TEXT(SUMPRODUCT(MAX((T_PlannedOrders[Part Name]=$A475)*(T_PlannedOrders[WeekIndex]=54)*(T_PlannedOrders[EffectiveQty]&gt;0)*T_PlannedOrders[Order_Month])),"m月")&amp;"発注)")</f>
        <v/>
      </c>
      <c r="BF481">
        <f>IF(SUMIFS(T_PlannedOrders[EffectiveQty],T_PlannedOrders[Part Name],$A475,T_PlannedOrders[WeekIndex],55)=0,"",SUMIFS(T_PlannedOrders[EffectiveQty],T_PlannedOrders[Part Name],$A475,T_PlannedOrders[WeekIndex],55)&amp;" ("&amp;TEXT(SUMPRODUCT(MAX((T_PlannedOrders[Part Name]=$A475)*(T_PlannedOrders[WeekIndex]=55)*(T_PlannedOrders[EffectiveQty]&gt;0)*T_PlannedOrders[Order_Month])),"m月")&amp;"発注)")</f>
        <v/>
      </c>
      <c r="BG481">
        <f>IF(SUMIFS(T_PlannedOrders[EffectiveQty],T_PlannedOrders[Part Name],$A475,T_PlannedOrders[WeekIndex],56)=0,"",SUMIFS(T_PlannedOrders[EffectiveQty],T_PlannedOrders[Part Name],$A475,T_PlannedOrders[WeekIndex],56)&amp;" ("&amp;TEXT(SUMPRODUCT(MAX((T_PlannedOrders[Part Name]=$A475)*(T_PlannedOrders[WeekIndex]=56)*(T_PlannedOrders[EffectiveQty]&gt;0)*T_PlannedOrders[Order_Month])),"m月")&amp;"発注)")</f>
        <v/>
      </c>
      <c r="BH481">
        <f>IF(SUMIFS(T_PlannedOrders[EffectiveQty],T_PlannedOrders[Part Name],$A475,T_PlannedOrders[WeekIndex],57)=0,"",SUMIFS(T_PlannedOrders[EffectiveQty],T_PlannedOrders[Part Name],$A475,T_PlannedOrders[WeekIndex],57)&amp;" ("&amp;TEXT(SUMPRODUCT(MAX((T_PlannedOrders[Part Name]=$A475)*(T_PlannedOrders[WeekIndex]=57)*(T_PlannedOrders[EffectiveQty]&gt;0)*T_PlannedOrders[Order_Month])),"m月")&amp;"発注)")</f>
        <v/>
      </c>
      <c r="BI481">
        <f>IF(SUMIFS(T_PlannedOrders[EffectiveQty],T_PlannedOrders[Part Name],$A475,T_PlannedOrders[WeekIndex],58)=0,"",SUMIFS(T_PlannedOrders[EffectiveQty],T_PlannedOrders[Part Name],$A475,T_PlannedOrders[WeekIndex],58)&amp;" ("&amp;TEXT(SUMPRODUCT(MAX((T_PlannedOrders[Part Name]=$A475)*(T_PlannedOrders[WeekIndex]=58)*(T_PlannedOrders[EffectiveQty]&gt;0)*T_PlannedOrders[Order_Month])),"m月")&amp;"発注)")</f>
        <v/>
      </c>
      <c r="BJ481">
        <f>IF(SUMIFS(T_PlannedOrders[EffectiveQty],T_PlannedOrders[Part Name],$A475,T_PlannedOrders[WeekIndex],59)=0,"",SUMIFS(T_PlannedOrders[EffectiveQty],T_PlannedOrders[Part Name],$A475,T_PlannedOrders[WeekIndex],59)&amp;" ("&amp;TEXT(SUMPRODUCT(MAX((T_PlannedOrders[Part Name]=$A475)*(T_PlannedOrders[WeekIndex]=59)*(T_PlannedOrders[EffectiveQty]&gt;0)*T_PlannedOrders[Order_Month])),"m月")&amp;"発注)")</f>
        <v/>
      </c>
      <c r="BK481">
        <f>IF(SUMIFS(T_PlannedOrders[EffectiveQty],T_PlannedOrders[Part Name],$A475,T_PlannedOrders[WeekIndex],60)=0,"",SUMIFS(T_PlannedOrders[EffectiveQty],T_PlannedOrders[Part Name],$A475,T_PlannedOrders[WeekIndex],60)&amp;" ("&amp;TEXT(SUMPRODUCT(MAX((T_PlannedOrders[Part Name]=$A475)*(T_PlannedOrders[WeekIndex]=60)*(T_PlannedOrders[EffectiveQty]&gt;0)*T_PlannedOrders[Order_Month])),"m月")&amp;"発注)")</f>
        <v/>
      </c>
      <c r="BL481">
        <f>IF(SUMIFS(T_PlannedOrders[EffectiveQty],T_PlannedOrders[Part Name],$A475,T_PlannedOrders[WeekIndex],61)=0,"",SUMIFS(T_PlannedOrders[EffectiveQty],T_PlannedOrders[Part Name],$A475,T_PlannedOrders[WeekIndex],61)&amp;" ("&amp;TEXT(SUMPRODUCT(MAX((T_PlannedOrders[Part Name]=$A475)*(T_PlannedOrders[WeekIndex]=61)*(T_PlannedOrders[EffectiveQty]&gt;0)*T_PlannedOrders[Order_Month])),"m月")&amp;"発注)")</f>
        <v/>
      </c>
      <c r="BM481">
        <f>IF(SUMIFS(T_PlannedOrders[EffectiveQty],T_PlannedOrders[Part Name],$A475,T_PlannedOrders[WeekIndex],62)=0,"",SUMIFS(T_PlannedOrders[EffectiveQty],T_PlannedOrders[Part Name],$A475,T_PlannedOrders[WeekIndex],62)&amp;" ("&amp;TEXT(SUMPRODUCT(MAX((T_PlannedOrders[Part Name]=$A475)*(T_PlannedOrders[WeekIndex]=62)*(T_PlannedOrders[EffectiveQty]&gt;0)*T_PlannedOrders[Order_Month])),"m月")&amp;"発注)")</f>
        <v/>
      </c>
      <c r="BN481">
        <f>IF(SUMIFS(T_PlannedOrders[EffectiveQty],T_PlannedOrders[Part Name],$A475,T_PlannedOrders[WeekIndex],63)=0,"",SUMIFS(T_PlannedOrders[EffectiveQty],T_PlannedOrders[Part Name],$A475,T_PlannedOrders[WeekIndex],63)&amp;" ("&amp;TEXT(SUMPRODUCT(MAX((T_PlannedOrders[Part Name]=$A475)*(T_PlannedOrders[WeekIndex]=63)*(T_PlannedOrders[EffectiveQty]&gt;0)*T_PlannedOrders[Order_Month])),"m月")&amp;"発注)")</f>
        <v/>
      </c>
      <c r="BO481">
        <f>IF(SUMIFS(T_PlannedOrders[EffectiveQty],T_PlannedOrders[Part Name],$A475,T_PlannedOrders[WeekIndex],64)=0,"",SUMIFS(T_PlannedOrders[EffectiveQty],T_PlannedOrders[Part Name],$A475,T_PlannedOrders[WeekIndex],64)&amp;" ("&amp;TEXT(SUMPRODUCT(MAX((T_PlannedOrders[Part Name]=$A475)*(T_PlannedOrders[WeekIndex]=64)*(T_PlannedOrders[EffectiveQty]&gt;0)*T_PlannedOrders[Order_Month])),"m月")&amp;"発注)")</f>
        <v/>
      </c>
      <c r="BP481">
        <f>IF(SUMIFS(T_PlannedOrders[EffectiveQty],T_PlannedOrders[Part Name],$A475,T_PlannedOrders[WeekIndex],65)=0,"",SUMIFS(T_PlannedOrders[EffectiveQty],T_PlannedOrders[Part Name],$A475,T_PlannedOrders[WeekIndex],65)&amp;" ("&amp;TEXT(SUMPRODUCT(MAX((T_PlannedOrders[Part Name]=$A475)*(T_PlannedOrders[WeekIndex]=65)*(T_PlannedOrders[EffectiveQty]&gt;0)*T_PlannedOrders[Order_Month])),"m月")&amp;"発注)")</f>
        <v/>
      </c>
      <c r="BQ481">
        <f>IF(SUMIFS(T_PlannedOrders[EffectiveQty],T_PlannedOrders[Part Name],$A475,T_PlannedOrders[WeekIndex],66)=0,"",SUMIFS(T_PlannedOrders[EffectiveQty],T_PlannedOrders[Part Name],$A475,T_PlannedOrders[WeekIndex],66)&amp;" ("&amp;TEXT(SUMPRODUCT(MAX((T_PlannedOrders[Part Name]=$A475)*(T_PlannedOrders[WeekIndex]=66)*(T_PlannedOrders[EffectiveQty]&gt;0)*T_PlannedOrders[Order_Month])),"m月")&amp;"発注)")</f>
        <v/>
      </c>
      <c r="BR481">
        <f>IF(SUMIFS(T_PlannedOrders[EffectiveQty],T_PlannedOrders[Part Name],$A475,T_PlannedOrders[WeekIndex],67)=0,"",SUMIFS(T_PlannedOrders[EffectiveQty],T_PlannedOrders[Part Name],$A475,T_PlannedOrders[WeekIndex],67)&amp;" ("&amp;TEXT(SUMPRODUCT(MAX((T_PlannedOrders[Part Name]=$A475)*(T_PlannedOrders[WeekIndex]=67)*(T_PlannedOrders[EffectiveQty]&gt;0)*T_PlannedOrders[Order_Month])),"m月")&amp;"発注)")</f>
        <v/>
      </c>
      <c r="BS481">
        <f>IF(SUMIFS(T_PlannedOrders[EffectiveQty],T_PlannedOrders[Part Name],$A475,T_PlannedOrders[WeekIndex],68)=0,"",SUMIFS(T_PlannedOrders[EffectiveQty],T_PlannedOrders[Part Name],$A475,T_PlannedOrders[WeekIndex],68)&amp;" ("&amp;TEXT(SUMPRODUCT(MAX((T_PlannedOrders[Part Name]=$A475)*(T_PlannedOrders[WeekIndex]=68)*(T_PlannedOrders[EffectiveQty]&gt;0)*T_PlannedOrders[Order_Month])),"m月")&amp;"発注)")</f>
        <v/>
      </c>
      <c r="BT481">
        <f>IF(SUMIFS(T_PlannedOrders[EffectiveQty],T_PlannedOrders[Part Name],$A475,T_PlannedOrders[WeekIndex],69)=0,"",SUMIFS(T_PlannedOrders[EffectiveQty],T_PlannedOrders[Part Name],$A475,T_PlannedOrders[WeekIndex],69)&amp;" ("&amp;TEXT(SUMPRODUCT(MAX((T_PlannedOrders[Part Name]=$A475)*(T_PlannedOrders[WeekIndex]=69)*(T_PlannedOrders[EffectiveQty]&gt;0)*T_PlannedOrders[Order_Month])),"m月")&amp;"発注)")</f>
        <v/>
      </c>
      <c r="BU481">
        <f>IF(SUMIFS(T_PlannedOrders[EffectiveQty],T_PlannedOrders[Part Name],$A475,T_PlannedOrders[WeekIndex],70)=0,"",SUMIFS(T_PlannedOrders[EffectiveQty],T_PlannedOrders[Part Name],$A475,T_PlannedOrders[WeekIndex],70)&amp;" ("&amp;TEXT(SUMPRODUCT(MAX((T_PlannedOrders[Part Name]=$A475)*(T_PlannedOrders[WeekIndex]=70)*(T_PlannedOrders[EffectiveQty]&gt;0)*T_PlannedOrders[Order_Month])),"m月")&amp;"発注)")</f>
        <v/>
      </c>
      <c r="BV481">
        <f>IF(SUMIFS(T_PlannedOrders[EffectiveQty],T_PlannedOrders[Part Name],$A475,T_PlannedOrders[WeekIndex],71)=0,"",SUMIFS(T_PlannedOrders[EffectiveQty],T_PlannedOrders[Part Name],$A475,T_PlannedOrders[WeekIndex],71)&amp;" ("&amp;TEXT(SUMPRODUCT(MAX((T_PlannedOrders[Part Name]=$A475)*(T_PlannedOrders[WeekIndex]=71)*(T_PlannedOrders[EffectiveQty]&gt;0)*T_PlannedOrders[Order_Month])),"m月")&amp;"発注)")</f>
        <v/>
      </c>
      <c r="BW481">
        <f>IF(SUMIFS(T_PlannedOrders[EffectiveQty],T_PlannedOrders[Part Name],$A475,T_PlannedOrders[WeekIndex],72)=0,"",SUMIFS(T_PlannedOrders[EffectiveQty],T_PlannedOrders[Part Name],$A475,T_PlannedOrders[WeekIndex],72)&amp;" ("&amp;TEXT(SUMPRODUCT(MAX((T_PlannedOrders[Part Name]=$A475)*(T_PlannedOrders[WeekIndex]=72)*(T_PlannedOrders[EffectiveQty]&gt;0)*T_PlannedOrders[Order_Month])),"m月")&amp;"発注)")</f>
        <v/>
      </c>
      <c r="BX481">
        <f>IF(SUMIFS(T_PlannedOrders[EffectiveQty],T_PlannedOrders[Part Name],$A475,T_PlannedOrders[WeekIndex],73)=0,"",SUMIFS(T_PlannedOrders[EffectiveQty],T_PlannedOrders[Part Name],$A475,T_PlannedOrders[WeekIndex],73)&amp;" ("&amp;TEXT(SUMPRODUCT(MAX((T_PlannedOrders[Part Name]=$A475)*(T_PlannedOrders[WeekIndex]=73)*(T_PlannedOrders[EffectiveQty]&gt;0)*T_PlannedOrders[Order_Month])),"m月")&amp;"発注)")</f>
        <v/>
      </c>
      <c r="BY481">
        <f>IF(SUMIFS(T_PlannedOrders[EffectiveQty],T_PlannedOrders[Part Name],$A475,T_PlannedOrders[WeekIndex],74)=0,"",SUMIFS(T_PlannedOrders[EffectiveQty],T_PlannedOrders[Part Name],$A475,T_PlannedOrders[WeekIndex],74)&amp;" ("&amp;TEXT(SUMPRODUCT(MAX((T_PlannedOrders[Part Name]=$A475)*(T_PlannedOrders[WeekIndex]=74)*(T_PlannedOrders[EffectiveQty]&gt;0)*T_PlannedOrders[Order_Month])),"m月")&amp;"発注)")</f>
        <v/>
      </c>
      <c r="BZ481">
        <f>IF(SUMIFS(T_PlannedOrders[EffectiveQty],T_PlannedOrders[Part Name],$A475,T_PlannedOrders[WeekIndex],75)=0,"",SUMIFS(T_PlannedOrders[EffectiveQty],T_PlannedOrders[Part Name],$A475,T_PlannedOrders[WeekIndex],75)&amp;" ("&amp;TEXT(SUMPRODUCT(MAX((T_PlannedOrders[Part Name]=$A475)*(T_PlannedOrders[WeekIndex]=75)*(T_PlannedOrders[EffectiveQty]&gt;0)*T_PlannedOrders[Order_Month])),"m月")&amp;"発注)")</f>
        <v/>
      </c>
      <c r="CA481">
        <f>IF(SUMIFS(T_PlannedOrders[EffectiveQty],T_PlannedOrders[Part Name],$A475,T_PlannedOrders[WeekIndex],76)=0,"",SUMIFS(T_PlannedOrders[EffectiveQty],T_PlannedOrders[Part Name],$A475,T_PlannedOrders[WeekIndex],76)&amp;" ("&amp;TEXT(SUMPRODUCT(MAX((T_PlannedOrders[Part Name]=$A475)*(T_PlannedOrders[WeekIndex]=76)*(T_PlannedOrders[EffectiveQty]&gt;0)*T_PlannedOrders[Order_Month])),"m月")&amp;"発注)")</f>
        <v/>
      </c>
      <c r="CB481">
        <f>IF(SUMIFS(T_PlannedOrders[EffectiveQty],T_PlannedOrders[Part Name],$A475,T_PlannedOrders[WeekIndex],77)=0,"",SUMIFS(T_PlannedOrders[EffectiveQty],T_PlannedOrders[Part Name],$A475,T_PlannedOrders[WeekIndex],77)&amp;" ("&amp;TEXT(SUMPRODUCT(MAX((T_PlannedOrders[Part Name]=$A475)*(T_PlannedOrders[WeekIndex]=77)*(T_PlannedOrders[EffectiveQty]&gt;0)*T_PlannedOrders[Order_Month])),"m月")&amp;"発注)")</f>
        <v/>
      </c>
      <c r="CC481">
        <f>IF(SUMIFS(T_PlannedOrders[EffectiveQty],T_PlannedOrders[Part Name],$A475,T_PlannedOrders[WeekIndex],78)=0,"",SUMIFS(T_PlannedOrders[EffectiveQty],T_PlannedOrders[Part Name],$A475,T_PlannedOrders[WeekIndex],78)&amp;" ("&amp;TEXT(SUMPRODUCT(MAX((T_PlannedOrders[Part Name]=$A475)*(T_PlannedOrders[WeekIndex]=78)*(T_PlannedOrders[EffectiveQty]&gt;0)*T_PlannedOrders[Order_Month])),"m月")&amp;"発注)")</f>
        <v/>
      </c>
      <c r="CD481">
        <f>IF(SUMIFS(T_PlannedOrders[EffectiveQty],T_PlannedOrders[Part Name],$A475,T_PlannedOrders[WeekIndex],79)=0,"",SUMIFS(T_PlannedOrders[EffectiveQty],T_PlannedOrders[Part Name],$A475,T_PlannedOrders[WeekIndex],79)&amp;" ("&amp;TEXT(SUMPRODUCT(MAX((T_PlannedOrders[Part Name]=$A475)*(T_PlannedOrders[WeekIndex]=79)*(T_PlannedOrders[EffectiveQty]&gt;0)*T_PlannedOrders[Order_Month])),"m月")&amp;"発注)")</f>
        <v/>
      </c>
      <c r="CE481">
        <f>IF(SUMIFS(T_PlannedOrders[EffectiveQty],T_PlannedOrders[Part Name],$A475,T_PlannedOrders[WeekIndex],80)=0,"",SUMIFS(T_PlannedOrders[EffectiveQty],T_PlannedOrders[Part Name],$A475,T_PlannedOrders[WeekIndex],80)&amp;" ("&amp;TEXT(SUMPRODUCT(MAX((T_PlannedOrders[Part Name]=$A475)*(T_PlannedOrders[WeekIndex]=80)*(T_PlannedOrders[EffectiveQty]&gt;0)*T_PlannedOrders[Order_Month])),"m月")&amp;"発注)")</f>
        <v/>
      </c>
      <c r="CF481">
        <f>IF(SUMIFS(T_PlannedOrders[EffectiveQty],T_PlannedOrders[Part Name],$A475,T_PlannedOrders[WeekIndex],81)=0,"",SUMIFS(T_PlannedOrders[EffectiveQty],T_PlannedOrders[Part Name],$A475,T_PlannedOrders[WeekIndex],81)&amp;" ("&amp;TEXT(SUMPRODUCT(MAX((T_PlannedOrders[Part Name]=$A475)*(T_PlannedOrders[WeekIndex]=81)*(T_PlannedOrders[EffectiveQty]&gt;0)*T_PlannedOrders[Order_Month])),"m月")&amp;"発注)")</f>
        <v/>
      </c>
      <c r="CG481">
        <f>IF(SUMIFS(T_PlannedOrders[EffectiveQty],T_PlannedOrders[Part Name],$A475,T_PlannedOrders[WeekIndex],82)=0,"",SUMIFS(T_PlannedOrders[EffectiveQty],T_PlannedOrders[Part Name],$A475,T_PlannedOrders[WeekIndex],82)&amp;" ("&amp;TEXT(SUMPRODUCT(MAX((T_PlannedOrders[Part Name]=$A475)*(T_PlannedOrders[WeekIndex]=82)*(T_PlannedOrders[EffectiveQty]&gt;0)*T_PlannedOrders[Order_Month])),"m月")&amp;"発注)")</f>
        <v/>
      </c>
      <c r="CH481">
        <f>IF(SUMIFS(T_PlannedOrders[EffectiveQty],T_PlannedOrders[Part Name],$A475,T_PlannedOrders[WeekIndex],83)=0,"",SUMIFS(T_PlannedOrders[EffectiveQty],T_PlannedOrders[Part Name],$A475,T_PlannedOrders[WeekIndex],83)&amp;" ("&amp;TEXT(SUMPRODUCT(MAX((T_PlannedOrders[Part Name]=$A475)*(T_PlannedOrders[WeekIndex]=83)*(T_PlannedOrders[EffectiveQty]&gt;0)*T_PlannedOrders[Order_Month])),"m月")&amp;"発注)")</f>
        <v/>
      </c>
      <c r="CI481">
        <f>IF(SUMIFS(T_PlannedOrders[EffectiveQty],T_PlannedOrders[Part Name],$A475,T_PlannedOrders[WeekIndex],84)=0,"",SUMIFS(T_PlannedOrders[EffectiveQty],T_PlannedOrders[Part Name],$A475,T_PlannedOrders[WeekIndex],84)&amp;" ("&amp;TEXT(SUMPRODUCT(MAX((T_PlannedOrders[Part Name]=$A475)*(T_PlannedOrders[WeekIndex]=84)*(T_PlannedOrders[EffectiveQty]&gt;0)*T_PlannedOrders[Order_Month])),"m月")&amp;"発注)")</f>
        <v/>
      </c>
      <c r="CJ481">
        <f>IF(SUMIFS(T_PlannedOrders[EffectiveQty],T_PlannedOrders[Part Name],$A475,T_PlannedOrders[WeekIndex],85)=0,"",SUMIFS(T_PlannedOrders[EffectiveQty],T_PlannedOrders[Part Name],$A475,T_PlannedOrders[WeekIndex],85)&amp;" ("&amp;TEXT(SUMPRODUCT(MAX((T_PlannedOrders[Part Name]=$A475)*(T_PlannedOrders[WeekIndex]=85)*(T_PlannedOrders[EffectiveQty]&gt;0)*T_PlannedOrders[Order_Month])),"m月")&amp;"発注)")</f>
        <v/>
      </c>
      <c r="CK481">
        <f>IF(SUMIFS(T_PlannedOrders[EffectiveQty],T_PlannedOrders[Part Name],$A475,T_PlannedOrders[WeekIndex],86)=0,"",SUMIFS(T_PlannedOrders[EffectiveQty],T_PlannedOrders[Part Name],$A475,T_PlannedOrders[WeekIndex],86)&amp;" ("&amp;TEXT(SUMPRODUCT(MAX((T_PlannedOrders[Part Name]=$A475)*(T_PlannedOrders[WeekIndex]=86)*(T_PlannedOrders[EffectiveQty]&gt;0)*T_PlannedOrders[Order_Month])),"m月")&amp;"発注)")</f>
        <v/>
      </c>
      <c r="CL481">
        <f>IF(SUMIFS(T_PlannedOrders[EffectiveQty],T_PlannedOrders[Part Name],$A475,T_PlannedOrders[WeekIndex],87)=0,"",SUMIFS(T_PlannedOrders[EffectiveQty],T_PlannedOrders[Part Name],$A475,T_PlannedOrders[WeekIndex],87)&amp;" ("&amp;TEXT(SUMPRODUCT(MAX((T_PlannedOrders[Part Name]=$A475)*(T_PlannedOrders[WeekIndex]=87)*(T_PlannedOrders[EffectiveQty]&gt;0)*T_PlannedOrders[Order_Month])),"m月")&amp;"発注)")</f>
        <v/>
      </c>
      <c r="CM481">
        <f>IF(SUMIFS(T_PlannedOrders[EffectiveQty],T_PlannedOrders[Part Name],$A475,T_PlannedOrders[WeekIndex],88)=0,"",SUMIFS(T_PlannedOrders[EffectiveQty],T_PlannedOrders[Part Name],$A475,T_PlannedOrders[WeekIndex],88)&amp;" ("&amp;TEXT(SUMPRODUCT(MAX((T_PlannedOrders[Part Name]=$A475)*(T_PlannedOrders[WeekIndex]=88)*(T_PlannedOrders[EffectiveQty]&gt;0)*T_PlannedOrders[Order_Month])),"m月")&amp;"発注)")</f>
        <v/>
      </c>
      <c r="CN481">
        <f>IF(SUMIFS(T_PlannedOrders[EffectiveQty],T_PlannedOrders[Part Name],$A475,T_PlannedOrders[WeekIndex],89)=0,"",SUMIFS(T_PlannedOrders[EffectiveQty],T_PlannedOrders[Part Name],$A475,T_PlannedOrders[WeekIndex],89)&amp;" ("&amp;TEXT(SUMPRODUCT(MAX((T_PlannedOrders[Part Name]=$A475)*(T_PlannedOrders[WeekIndex]=89)*(T_PlannedOrders[EffectiveQty]&gt;0)*T_PlannedOrders[Order_Month])),"m月")&amp;"発注)")</f>
        <v/>
      </c>
      <c r="CO481">
        <f>IF(SUMIFS(T_PlannedOrders[EffectiveQty],T_PlannedOrders[Part Name],$A475,T_PlannedOrders[WeekIndex],90)=0,"",SUMIFS(T_PlannedOrders[EffectiveQty],T_PlannedOrders[Part Name],$A475,T_PlannedOrders[WeekIndex],90)&amp;" ("&amp;TEXT(SUMPRODUCT(MAX((T_PlannedOrders[Part Name]=$A475)*(T_PlannedOrders[WeekIndex]=90)*(T_PlannedOrders[EffectiveQty]&gt;0)*T_PlannedOrders[Order_Month])),"m月")&amp;"発注)")</f>
        <v/>
      </c>
      <c r="CP481">
        <f>IF(SUMIFS(T_PlannedOrders[EffectiveQty],T_PlannedOrders[Part Name],$A475,T_PlannedOrders[WeekIndex],91)=0,"",SUMIFS(T_PlannedOrders[EffectiveQty],T_PlannedOrders[Part Name],$A475,T_PlannedOrders[WeekIndex],91)&amp;" ("&amp;TEXT(SUMPRODUCT(MAX((T_PlannedOrders[Part Name]=$A475)*(T_PlannedOrders[WeekIndex]=91)*(T_PlannedOrders[EffectiveQty]&gt;0)*T_PlannedOrders[Order_Month])),"m月")&amp;"発注)")</f>
        <v/>
      </c>
      <c r="CQ481">
        <f>IF(SUMIFS(T_PlannedOrders[EffectiveQty],T_PlannedOrders[Part Name],$A475,T_PlannedOrders[WeekIndex],92)=0,"",SUMIFS(T_PlannedOrders[EffectiveQty],T_PlannedOrders[Part Name],$A475,T_PlannedOrders[WeekIndex],92)&amp;" ("&amp;TEXT(SUMPRODUCT(MAX((T_PlannedOrders[Part Name]=$A475)*(T_PlannedOrders[WeekIndex]=92)*(T_PlannedOrders[EffectiveQty]&gt;0)*T_PlannedOrders[Order_Month])),"m月")&amp;"発注)")</f>
        <v/>
      </c>
      <c r="CR481">
        <f>IF(SUMIFS(T_PlannedOrders[EffectiveQty],T_PlannedOrders[Part Name],$A475,T_PlannedOrders[WeekIndex],93)=0,"",SUMIFS(T_PlannedOrders[EffectiveQty],T_PlannedOrders[Part Name],$A475,T_PlannedOrders[WeekIndex],93)&amp;" ("&amp;TEXT(SUMPRODUCT(MAX((T_PlannedOrders[Part Name]=$A475)*(T_PlannedOrders[WeekIndex]=93)*(T_PlannedOrders[EffectiveQty]&gt;0)*T_PlannedOrders[Order_Month])),"m月")&amp;"発注)")</f>
        <v/>
      </c>
      <c r="CS481">
        <f>IF(SUMIFS(T_PlannedOrders[EffectiveQty],T_PlannedOrders[Part Name],$A475,T_PlannedOrders[WeekIndex],94)=0,"",SUMIFS(T_PlannedOrders[EffectiveQty],T_PlannedOrders[Part Name],$A475,T_PlannedOrders[WeekIndex],94)&amp;" ("&amp;TEXT(SUMPRODUCT(MAX((T_PlannedOrders[Part Name]=$A475)*(T_PlannedOrders[WeekIndex]=94)*(T_PlannedOrders[EffectiveQty]&gt;0)*T_PlannedOrders[Order_Month])),"m月")&amp;"発注)")</f>
        <v/>
      </c>
      <c r="CT481">
        <f>IF(SUMIFS(T_PlannedOrders[EffectiveQty],T_PlannedOrders[Part Name],$A475,T_PlannedOrders[WeekIndex],95)=0,"",SUMIFS(T_PlannedOrders[EffectiveQty],T_PlannedOrders[Part Name],$A475,T_PlannedOrders[WeekIndex],95)&amp;" ("&amp;TEXT(SUMPRODUCT(MAX((T_PlannedOrders[Part Name]=$A475)*(T_PlannedOrders[WeekIndex]=95)*(T_PlannedOrders[EffectiveQty]&gt;0)*T_PlannedOrders[Order_Month])),"m月")&amp;"発注)")</f>
        <v/>
      </c>
      <c r="CU481">
        <f>IF(SUMIFS(T_PlannedOrders[EffectiveQty],T_PlannedOrders[Part Name],$A475,T_PlannedOrders[WeekIndex],96)=0,"",SUMIFS(T_PlannedOrders[EffectiveQty],T_PlannedOrders[Part Name],$A475,T_PlannedOrders[WeekIndex],96)&amp;" ("&amp;TEXT(SUMPRODUCT(MAX((T_PlannedOrders[Part Name]=$A475)*(T_PlannedOrders[WeekIndex]=96)*(T_PlannedOrders[EffectiveQty]&gt;0)*T_PlannedOrders[Order_Month])),"m月")&amp;"発注)")</f>
        <v/>
      </c>
      <c r="CV481">
        <f>IF(SUMIFS(T_PlannedOrders[EffectiveQty],T_PlannedOrders[Part Name],$A475,T_PlannedOrders[WeekIndex],97)=0,"",SUMIFS(T_PlannedOrders[EffectiveQty],T_PlannedOrders[Part Name],$A475,T_PlannedOrders[WeekIndex],97)&amp;" ("&amp;TEXT(SUMPRODUCT(MAX((T_PlannedOrders[Part Name]=$A475)*(T_PlannedOrders[WeekIndex]=97)*(T_PlannedOrders[EffectiveQty]&gt;0)*T_PlannedOrders[Order_Month])),"m月")&amp;"発注)")</f>
        <v/>
      </c>
      <c r="CW481">
        <f>IF(SUMIFS(T_PlannedOrders[EffectiveQty],T_PlannedOrders[Part Name],$A475,T_PlannedOrders[WeekIndex],98)=0,"",SUMIFS(T_PlannedOrders[EffectiveQty],T_PlannedOrders[Part Name],$A475,T_PlannedOrders[WeekIndex],98)&amp;" ("&amp;TEXT(SUMPRODUCT(MAX((T_PlannedOrders[Part Name]=$A475)*(T_PlannedOrders[WeekIndex]=98)*(T_PlannedOrders[EffectiveQty]&gt;0)*T_PlannedOrders[Order_Month])),"m月")&amp;"発注)")</f>
        <v/>
      </c>
      <c r="CX481">
        <f>IF(SUMIFS(T_PlannedOrders[EffectiveQty],T_PlannedOrders[Part Name],$A475,T_PlannedOrders[WeekIndex],99)=0,"",SUMIFS(T_PlannedOrders[EffectiveQty],T_PlannedOrders[Part Name],$A475,T_PlannedOrders[WeekIndex],99)&amp;" ("&amp;TEXT(SUMPRODUCT(MAX((T_PlannedOrders[Part Name]=$A475)*(T_PlannedOrders[WeekIndex]=99)*(T_PlannedOrders[EffectiveQty]&gt;0)*T_PlannedOrders[Order_Month])),"m月")&amp;"発注)")</f>
        <v/>
      </c>
      <c r="CY481">
        <f>IF(SUMIFS(T_PlannedOrders[EffectiveQty],T_PlannedOrders[Part Name],$A475,T_PlannedOrders[WeekIndex],100)=0,"",SUMIFS(T_PlannedOrders[EffectiveQty],T_PlannedOrders[Part Name],$A475,T_PlannedOrders[WeekIndex],100)&amp;" ("&amp;TEXT(SUMPRODUCT(MAX((T_PlannedOrders[Part Name]=$A475)*(T_PlannedOrders[WeekIndex]=100)*(T_PlannedOrders[EffectiveQty]&gt;0)*T_PlannedOrders[Order_Month])),"m月")&amp;"発注)")</f>
        <v/>
      </c>
      <c r="CZ481">
        <f>IF(SUMIFS(T_PlannedOrders[EffectiveQty],T_PlannedOrders[Part Name],$A475,T_PlannedOrders[WeekIndex],101)=0,"",SUMIFS(T_PlannedOrders[EffectiveQty],T_PlannedOrders[Part Name],$A475,T_PlannedOrders[WeekIndex],101)&amp;" ("&amp;TEXT(SUMPRODUCT(MAX((T_PlannedOrders[Part Name]=$A475)*(T_PlannedOrders[WeekIndex]=101)*(T_PlannedOrders[EffectiveQty]&gt;0)*T_PlannedOrders[Order_Month])),"m月")&amp;"発注)")</f>
        <v/>
      </c>
      <c r="DA481">
        <f>IF(SUMIFS(T_PlannedOrders[EffectiveQty],T_PlannedOrders[Part Name],$A475,T_PlannedOrders[WeekIndex],102)=0,"",SUMIFS(T_PlannedOrders[EffectiveQty],T_PlannedOrders[Part Name],$A475,T_PlannedOrders[WeekIndex],102)&amp;" ("&amp;TEXT(SUMPRODUCT(MAX((T_PlannedOrders[Part Name]=$A475)*(T_PlannedOrders[WeekIndex]=102)*(T_PlannedOrders[EffectiveQty]&gt;0)*T_PlannedOrders[Order_Month])),"m月")&amp;"発注)")</f>
        <v/>
      </c>
      <c r="DB481">
        <f>IF(SUMIFS(T_PlannedOrders[EffectiveQty],T_PlannedOrders[Part Name],$A475,T_PlannedOrders[WeekIndex],103)=0,"",SUMIFS(T_PlannedOrders[EffectiveQty],T_PlannedOrders[Part Name],$A475,T_PlannedOrders[WeekIndex],103)&amp;" ("&amp;TEXT(SUMPRODUCT(MAX((T_PlannedOrders[Part Name]=$A475)*(T_PlannedOrders[WeekIndex]=103)*(T_PlannedOrders[EffectiveQty]&gt;0)*T_PlannedOrders[Order_Month])),"m月")&amp;"発注)")</f>
        <v/>
      </c>
      <c r="DC481">
        <f>IF(SUMIFS(T_PlannedOrders[EffectiveQty],T_PlannedOrders[Part Name],$A475,T_PlannedOrders[WeekIndex],104)=0,"",SUMIFS(T_PlannedOrders[EffectiveQty],T_PlannedOrders[Part Name],$A475,T_PlannedOrders[WeekIndex],104)&amp;" ("&amp;TEXT(SUMPRODUCT(MAX((T_PlannedOrders[Part Name]=$A475)*(T_PlannedOrders[WeekIndex]=104)*(T_PlannedOrders[EffectiveQty]&gt;0)*T_PlannedOrders[Order_Month])),"m月")&amp;"発注)")</f>
        <v/>
      </c>
    </row>
    <row r="482">
      <c r="B482" s="4" t="inlineStr">
        <is>
          <t>合計在庫(週末時点,kg)</t>
        </is>
      </c>
      <c r="D482">
        <f>'Grid_Stock'!B33</f>
        <v/>
      </c>
      <c r="E482">
        <f>'Grid_Stock'!C33</f>
        <v/>
      </c>
      <c r="F482">
        <f>'Grid_Stock'!D33</f>
        <v/>
      </c>
      <c r="G482">
        <f>'Grid_Stock'!E33</f>
        <v/>
      </c>
      <c r="H482">
        <f>'Grid_Stock'!F33</f>
        <v/>
      </c>
      <c r="I482">
        <f>'Grid_Stock'!G33</f>
        <v/>
      </c>
      <c r="J482">
        <f>'Grid_Stock'!H33</f>
        <v/>
      </c>
      <c r="K482">
        <f>'Grid_Stock'!I33</f>
        <v/>
      </c>
      <c r="L482">
        <f>'Grid_Stock'!J33</f>
        <v/>
      </c>
      <c r="M482">
        <f>'Grid_Stock'!K33</f>
        <v/>
      </c>
      <c r="N482">
        <f>'Grid_Stock'!L33</f>
        <v/>
      </c>
      <c r="O482">
        <f>'Grid_Stock'!M33</f>
        <v/>
      </c>
      <c r="P482">
        <f>'Grid_Stock'!N33</f>
        <v/>
      </c>
      <c r="Q482">
        <f>'Grid_Stock'!O33</f>
        <v/>
      </c>
      <c r="R482">
        <f>'Grid_Stock'!P33</f>
        <v/>
      </c>
      <c r="S482">
        <f>'Grid_Stock'!Q33</f>
        <v/>
      </c>
      <c r="T482">
        <f>'Grid_Stock'!R33</f>
        <v/>
      </c>
      <c r="U482">
        <f>'Grid_Stock'!S33</f>
        <v/>
      </c>
      <c r="V482">
        <f>'Grid_Stock'!T33</f>
        <v/>
      </c>
      <c r="W482">
        <f>'Grid_Stock'!U33</f>
        <v/>
      </c>
      <c r="X482">
        <f>'Grid_Stock'!V33</f>
        <v/>
      </c>
      <c r="Y482">
        <f>'Grid_Stock'!W33</f>
        <v/>
      </c>
      <c r="Z482">
        <f>'Grid_Stock'!X33</f>
        <v/>
      </c>
      <c r="AA482">
        <f>'Grid_Stock'!Y33</f>
        <v/>
      </c>
      <c r="AB482">
        <f>'Grid_Stock'!Z33</f>
        <v/>
      </c>
      <c r="AC482">
        <f>'Grid_Stock'!AA33</f>
        <v/>
      </c>
      <c r="AD482">
        <f>'Grid_Stock'!AB33</f>
        <v/>
      </c>
      <c r="AE482">
        <f>'Grid_Stock'!AC33</f>
        <v/>
      </c>
      <c r="AF482">
        <f>'Grid_Stock'!AD33</f>
        <v/>
      </c>
      <c r="AG482">
        <f>'Grid_Stock'!AE33</f>
        <v/>
      </c>
      <c r="AH482">
        <f>'Grid_Stock'!AF33</f>
        <v/>
      </c>
      <c r="AI482">
        <f>'Grid_Stock'!AG33</f>
        <v/>
      </c>
      <c r="AJ482">
        <f>'Grid_Stock'!AH33</f>
        <v/>
      </c>
      <c r="AK482">
        <f>'Grid_Stock'!AI33</f>
        <v/>
      </c>
      <c r="AL482">
        <f>'Grid_Stock'!AJ33</f>
        <v/>
      </c>
      <c r="AM482">
        <f>'Grid_Stock'!AK33</f>
        <v/>
      </c>
      <c r="AN482">
        <f>'Grid_Stock'!AL33</f>
        <v/>
      </c>
      <c r="AO482">
        <f>'Grid_Stock'!AM33</f>
        <v/>
      </c>
      <c r="AP482">
        <f>'Grid_Stock'!AN33</f>
        <v/>
      </c>
      <c r="AQ482">
        <f>'Grid_Stock'!AO33</f>
        <v/>
      </c>
      <c r="AR482">
        <f>'Grid_Stock'!AP33</f>
        <v/>
      </c>
      <c r="AS482">
        <f>'Grid_Stock'!AQ33</f>
        <v/>
      </c>
      <c r="AT482">
        <f>'Grid_Stock'!AR33</f>
        <v/>
      </c>
      <c r="AU482">
        <f>'Grid_Stock'!AS33</f>
        <v/>
      </c>
      <c r="AV482">
        <f>'Grid_Stock'!AT33</f>
        <v/>
      </c>
      <c r="AW482">
        <f>'Grid_Stock'!AU33</f>
        <v/>
      </c>
      <c r="AX482">
        <f>'Grid_Stock'!AV33</f>
        <v/>
      </c>
      <c r="AY482">
        <f>'Grid_Stock'!AW33</f>
        <v/>
      </c>
      <c r="AZ482">
        <f>'Grid_Stock'!AX33</f>
        <v/>
      </c>
      <c r="BA482">
        <f>'Grid_Stock'!AY33</f>
        <v/>
      </c>
      <c r="BB482">
        <f>'Grid_Stock'!AZ33</f>
        <v/>
      </c>
      <c r="BC482">
        <f>'Grid_Stock'!BA33</f>
        <v/>
      </c>
      <c r="BD482">
        <f>'Grid_Stock'!BB33</f>
        <v/>
      </c>
      <c r="BE482">
        <f>'Grid_Stock'!BC33</f>
        <v/>
      </c>
      <c r="BF482">
        <f>'Grid_Stock'!BD33</f>
        <v/>
      </c>
      <c r="BG482">
        <f>'Grid_Stock'!BE33</f>
        <v/>
      </c>
      <c r="BH482">
        <f>'Grid_Stock'!BF33</f>
        <v/>
      </c>
      <c r="BI482">
        <f>'Grid_Stock'!BG33</f>
        <v/>
      </c>
      <c r="BJ482">
        <f>'Grid_Stock'!BH33</f>
        <v/>
      </c>
      <c r="BK482">
        <f>'Grid_Stock'!BI33</f>
        <v/>
      </c>
      <c r="BL482">
        <f>'Grid_Stock'!BJ33</f>
        <v/>
      </c>
      <c r="BM482">
        <f>'Grid_Stock'!BK33</f>
        <v/>
      </c>
      <c r="BN482">
        <f>'Grid_Stock'!BL33</f>
        <v/>
      </c>
      <c r="BO482">
        <f>'Grid_Stock'!BM33</f>
        <v/>
      </c>
      <c r="BP482">
        <f>'Grid_Stock'!BN33</f>
        <v/>
      </c>
      <c r="BQ482">
        <f>'Grid_Stock'!BO33</f>
        <v/>
      </c>
      <c r="BR482">
        <f>'Grid_Stock'!BP33</f>
        <v/>
      </c>
      <c r="BS482">
        <f>'Grid_Stock'!BQ33</f>
        <v/>
      </c>
      <c r="BT482">
        <f>'Grid_Stock'!BR33</f>
        <v/>
      </c>
      <c r="BU482">
        <f>'Grid_Stock'!BS33</f>
        <v/>
      </c>
      <c r="BV482">
        <f>'Grid_Stock'!BT33</f>
        <v/>
      </c>
      <c r="BW482">
        <f>'Grid_Stock'!BU33</f>
        <v/>
      </c>
      <c r="BX482">
        <f>'Grid_Stock'!BV33</f>
        <v/>
      </c>
      <c r="BY482">
        <f>'Grid_Stock'!BW33</f>
        <v/>
      </c>
      <c r="BZ482">
        <f>'Grid_Stock'!BX33</f>
        <v/>
      </c>
      <c r="CA482">
        <f>'Grid_Stock'!BY33</f>
        <v/>
      </c>
      <c r="CB482">
        <f>'Grid_Stock'!BZ33</f>
        <v/>
      </c>
      <c r="CC482">
        <f>'Grid_Stock'!CA33</f>
        <v/>
      </c>
      <c r="CD482">
        <f>'Grid_Stock'!CB33</f>
        <v/>
      </c>
      <c r="CE482">
        <f>'Grid_Stock'!CC33</f>
        <v/>
      </c>
      <c r="CF482">
        <f>'Grid_Stock'!CD33</f>
        <v/>
      </c>
      <c r="CG482">
        <f>'Grid_Stock'!CE33</f>
        <v/>
      </c>
      <c r="CH482">
        <f>'Grid_Stock'!CF33</f>
        <v/>
      </c>
      <c r="CI482">
        <f>'Grid_Stock'!CG33</f>
        <v/>
      </c>
      <c r="CJ482">
        <f>'Grid_Stock'!CH33</f>
        <v/>
      </c>
      <c r="CK482">
        <f>'Grid_Stock'!CI33</f>
        <v/>
      </c>
      <c r="CL482">
        <f>'Grid_Stock'!CJ33</f>
        <v/>
      </c>
      <c r="CM482">
        <f>'Grid_Stock'!CK33</f>
        <v/>
      </c>
      <c r="CN482">
        <f>'Grid_Stock'!CL33</f>
        <v/>
      </c>
      <c r="CO482">
        <f>'Grid_Stock'!CM33</f>
        <v/>
      </c>
      <c r="CP482">
        <f>'Grid_Stock'!CN33</f>
        <v/>
      </c>
      <c r="CQ482">
        <f>'Grid_Stock'!CO33</f>
        <v/>
      </c>
      <c r="CR482">
        <f>'Grid_Stock'!CP33</f>
        <v/>
      </c>
      <c r="CS482">
        <f>'Grid_Stock'!CQ33</f>
        <v/>
      </c>
      <c r="CT482">
        <f>'Grid_Stock'!CR33</f>
        <v/>
      </c>
      <c r="CU482">
        <f>'Grid_Stock'!CS33</f>
        <v/>
      </c>
      <c r="CV482">
        <f>'Grid_Stock'!CT33</f>
        <v/>
      </c>
      <c r="CW482">
        <f>'Grid_Stock'!CU33</f>
        <v/>
      </c>
      <c r="CX482">
        <f>'Grid_Stock'!CV33</f>
        <v/>
      </c>
      <c r="CY482">
        <f>'Grid_Stock'!CW33</f>
        <v/>
      </c>
      <c r="CZ482">
        <f>'Grid_Stock'!CX33</f>
        <v/>
      </c>
      <c r="DA482">
        <f>'Grid_Stock'!CY33</f>
        <v/>
      </c>
      <c r="DB482">
        <f>'Grid_Stock'!CZ33</f>
        <v/>
      </c>
      <c r="DC482">
        <f>'Grid_Stock'!DA33</f>
        <v/>
      </c>
    </row>
    <row r="483">
      <c r="B483" s="16" t="inlineStr">
        <is>
          <t>（発注の目安はDashboardの基準在庫[下限/上限]と色分けを参照）</t>
        </is>
      </c>
    </row>
    <row r="485">
      <c r="A485" s="14" t="inlineStr">
        <is>
          <t>CHEM-1670</t>
        </is>
      </c>
      <c r="B485" s="14" t="inlineStr">
        <is>
          <t>ALESPER 1065</t>
        </is>
      </c>
      <c r="C485" s="15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  <c r="AA485" s="14" t="n"/>
      <c r="AB485" s="14" t="n"/>
      <c r="AC485" s="14" t="n"/>
      <c r="AD485" s="14" t="n"/>
      <c r="AE485" s="14" t="n"/>
      <c r="AF485" s="14" t="n"/>
      <c r="AG485" s="14" t="n"/>
      <c r="AH485" s="14" t="n"/>
      <c r="AI485" s="14" t="n"/>
      <c r="AJ485" s="14" t="n"/>
      <c r="AK485" s="14" t="n"/>
      <c r="AL485" s="14" t="n"/>
      <c r="AM485" s="14" t="n"/>
      <c r="AN485" s="14" t="n"/>
      <c r="AO485" s="14" t="n"/>
      <c r="AP485" s="14" t="n"/>
      <c r="AQ485" s="14" t="n"/>
      <c r="AR485" s="14" t="n"/>
      <c r="AS485" s="14" t="n"/>
      <c r="AT485" s="14" t="n"/>
      <c r="AU485" s="14" t="n"/>
      <c r="AV485" s="14" t="n"/>
      <c r="AW485" s="14" t="n"/>
      <c r="AX485" s="14" t="n"/>
      <c r="AY485" s="14" t="n"/>
      <c r="AZ485" s="14" t="n"/>
      <c r="BA485" s="14" t="n"/>
      <c r="BB485" s="14" t="n"/>
      <c r="BC485" s="14" t="n"/>
      <c r="BD485" s="14" t="n"/>
      <c r="BE485" s="14" t="n"/>
      <c r="BF485" s="14" t="n"/>
      <c r="BG485" s="14" t="n"/>
      <c r="BH485" s="14" t="n"/>
      <c r="BI485" s="14" t="n"/>
      <c r="BJ485" s="14" t="n"/>
      <c r="BK485" s="14" t="n"/>
      <c r="BL485" s="14" t="n"/>
      <c r="BM485" s="14" t="n"/>
      <c r="BN485" s="14" t="n"/>
      <c r="BO485" s="14" t="n"/>
      <c r="BP485" s="14" t="n"/>
      <c r="BQ485" s="14" t="n"/>
      <c r="BR485" s="14" t="n"/>
      <c r="BS485" s="14" t="n"/>
      <c r="BT485" s="14" t="n"/>
      <c r="BU485" s="14" t="n"/>
      <c r="BV485" s="14" t="n"/>
      <c r="BW485" s="14" t="n"/>
      <c r="BX485" s="14" t="n"/>
      <c r="BY485" s="14" t="n"/>
      <c r="BZ485" s="14" t="n"/>
      <c r="CA485" s="14" t="n"/>
      <c r="CB485" s="14" t="n"/>
      <c r="CC485" s="14" t="n"/>
      <c r="CD485" s="14" t="n"/>
      <c r="CE485" s="14" t="n"/>
      <c r="CF485" s="14" t="n"/>
      <c r="CG485" s="14" t="n"/>
      <c r="CH485" s="14" t="n"/>
      <c r="CI485" s="14" t="n"/>
      <c r="CJ485" s="14" t="n"/>
      <c r="CK485" s="14" t="n"/>
      <c r="CL485" s="14" t="n"/>
      <c r="CM485" s="14" t="n"/>
      <c r="CN485" s="14" t="n"/>
      <c r="CO485" s="14" t="n"/>
      <c r="CP485" s="14" t="n"/>
      <c r="CQ485" s="14" t="n"/>
      <c r="CR485" s="14" t="n"/>
      <c r="CS485" s="14" t="n"/>
      <c r="CT485" s="14" t="n"/>
      <c r="CU485" s="14" t="n"/>
      <c r="CV485" s="14" t="n"/>
      <c r="CW485" s="14" t="n"/>
      <c r="CX485" s="14" t="n"/>
      <c r="CY485" s="14" t="n"/>
      <c r="CZ485" s="14" t="n"/>
      <c r="DA485" s="14" t="n"/>
      <c r="DB485" s="14" t="n"/>
      <c r="DC485" s="14" t="n"/>
    </row>
    <row r="486">
      <c r="B486" t="inlineStr">
        <is>
          <t>TSP-218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Name],$A485)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TSP-558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Name],$A485)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TSP-903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Name],$A485)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TSP-1444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Name],$A485)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TSP-1445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7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Name],$A485)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TSP-1446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7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Name],$A485)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TSP-1499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7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Name],$A485)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s="4" t="inlineStr">
        <is>
          <t>合計使用量(kg)/週</t>
        </is>
      </c>
      <c r="D500">
        <f>'Grid_Requirement'!B3</f>
        <v/>
      </c>
      <c r="E500">
        <f>'Grid_Requirement'!C3</f>
        <v/>
      </c>
      <c r="F500">
        <f>'Grid_Requirement'!D3</f>
        <v/>
      </c>
      <c r="G500">
        <f>'Grid_Requirement'!E3</f>
        <v/>
      </c>
      <c r="H500">
        <f>'Grid_Requirement'!F3</f>
        <v/>
      </c>
      <c r="I500">
        <f>'Grid_Requirement'!G3</f>
        <v/>
      </c>
      <c r="J500">
        <f>'Grid_Requirement'!H3</f>
        <v/>
      </c>
      <c r="K500">
        <f>'Grid_Requirement'!I3</f>
        <v/>
      </c>
      <c r="L500">
        <f>'Grid_Requirement'!J3</f>
        <v/>
      </c>
      <c r="M500">
        <f>'Grid_Requirement'!K3</f>
        <v/>
      </c>
      <c r="N500">
        <f>'Grid_Requirement'!L3</f>
        <v/>
      </c>
      <c r="O500">
        <f>'Grid_Requirement'!M3</f>
        <v/>
      </c>
      <c r="P500">
        <f>'Grid_Requirement'!N3</f>
        <v/>
      </c>
      <c r="Q500">
        <f>'Grid_Requirement'!O3</f>
        <v/>
      </c>
      <c r="R500">
        <f>'Grid_Requirement'!P3</f>
        <v/>
      </c>
      <c r="S500">
        <f>'Grid_Requirement'!Q3</f>
        <v/>
      </c>
      <c r="T500">
        <f>'Grid_Requirement'!R3</f>
        <v/>
      </c>
      <c r="U500">
        <f>'Grid_Requirement'!S3</f>
        <v/>
      </c>
      <c r="V500">
        <f>'Grid_Requirement'!T3</f>
        <v/>
      </c>
      <c r="W500">
        <f>'Grid_Requirement'!U3</f>
        <v/>
      </c>
      <c r="X500">
        <f>'Grid_Requirement'!V3</f>
        <v/>
      </c>
      <c r="Y500">
        <f>'Grid_Requirement'!W3</f>
        <v/>
      </c>
      <c r="Z500">
        <f>'Grid_Requirement'!X3</f>
        <v/>
      </c>
      <c r="AA500">
        <f>'Grid_Requirement'!Y3</f>
        <v/>
      </c>
      <c r="AB500">
        <f>'Grid_Requirement'!Z3</f>
        <v/>
      </c>
      <c r="AC500">
        <f>'Grid_Requirement'!AA3</f>
        <v/>
      </c>
      <c r="AD500">
        <f>'Grid_Requirement'!AB3</f>
        <v/>
      </c>
      <c r="AE500">
        <f>'Grid_Requirement'!AC3</f>
        <v/>
      </c>
      <c r="AF500">
        <f>'Grid_Requirement'!AD3</f>
        <v/>
      </c>
      <c r="AG500">
        <f>'Grid_Requirement'!AE3</f>
        <v/>
      </c>
      <c r="AH500">
        <f>'Grid_Requirement'!AF3</f>
        <v/>
      </c>
      <c r="AI500">
        <f>'Grid_Requirement'!AG3</f>
        <v/>
      </c>
      <c r="AJ500">
        <f>'Grid_Requirement'!AH3</f>
        <v/>
      </c>
      <c r="AK500">
        <f>'Grid_Requirement'!AI3</f>
        <v/>
      </c>
      <c r="AL500">
        <f>'Grid_Requirement'!AJ3</f>
        <v/>
      </c>
      <c r="AM500">
        <f>'Grid_Requirement'!AK3</f>
        <v/>
      </c>
      <c r="AN500">
        <f>'Grid_Requirement'!AL3</f>
        <v/>
      </c>
      <c r="AO500">
        <f>'Grid_Requirement'!AM3</f>
        <v/>
      </c>
      <c r="AP500">
        <f>'Grid_Requirement'!AN3</f>
        <v/>
      </c>
      <c r="AQ500">
        <f>'Grid_Requirement'!AO3</f>
        <v/>
      </c>
      <c r="AR500">
        <f>'Grid_Requirement'!AP3</f>
        <v/>
      </c>
      <c r="AS500">
        <f>'Grid_Requirement'!AQ3</f>
        <v/>
      </c>
      <c r="AT500">
        <f>'Grid_Requirement'!AR3</f>
        <v/>
      </c>
      <c r="AU500">
        <f>'Grid_Requirement'!AS3</f>
        <v/>
      </c>
      <c r="AV500">
        <f>'Grid_Requirement'!AT3</f>
        <v/>
      </c>
      <c r="AW500">
        <f>'Grid_Requirement'!AU3</f>
        <v/>
      </c>
      <c r="AX500">
        <f>'Grid_Requirement'!AV3</f>
        <v/>
      </c>
      <c r="AY500">
        <f>'Grid_Requirement'!AW3</f>
        <v/>
      </c>
      <c r="AZ500">
        <f>'Grid_Requirement'!AX3</f>
        <v/>
      </c>
      <c r="BA500">
        <f>'Grid_Requirement'!AY3</f>
        <v/>
      </c>
      <c r="BB500">
        <f>'Grid_Requirement'!AZ3</f>
        <v/>
      </c>
      <c r="BC500">
        <f>'Grid_Requirement'!BA3</f>
        <v/>
      </c>
      <c r="BD500">
        <f>'Grid_Requirement'!BB3</f>
        <v/>
      </c>
      <c r="BE500">
        <f>'Grid_Requirement'!BC3</f>
        <v/>
      </c>
      <c r="BF500">
        <f>'Grid_Requirement'!BD3</f>
        <v/>
      </c>
      <c r="BG500">
        <f>'Grid_Requirement'!BE3</f>
        <v/>
      </c>
      <c r="BH500">
        <f>'Grid_Requirement'!BF3</f>
        <v/>
      </c>
      <c r="BI500">
        <f>'Grid_Requirement'!BG3</f>
        <v/>
      </c>
      <c r="BJ500">
        <f>'Grid_Requirement'!BH3</f>
        <v/>
      </c>
      <c r="BK500">
        <f>'Grid_Requirement'!BI3</f>
        <v/>
      </c>
      <c r="BL500">
        <f>'Grid_Requirement'!BJ3</f>
        <v/>
      </c>
      <c r="BM500">
        <f>'Grid_Requirement'!BK3</f>
        <v/>
      </c>
      <c r="BN500">
        <f>'Grid_Requirement'!BL3</f>
        <v/>
      </c>
      <c r="BO500">
        <f>'Grid_Requirement'!BM3</f>
        <v/>
      </c>
      <c r="BP500">
        <f>'Grid_Requirement'!BN3</f>
        <v/>
      </c>
      <c r="BQ500">
        <f>'Grid_Requirement'!BO3</f>
        <v/>
      </c>
      <c r="BR500">
        <f>'Grid_Requirement'!BP3</f>
        <v/>
      </c>
      <c r="BS500">
        <f>'Grid_Requirement'!BQ3</f>
        <v/>
      </c>
      <c r="BT500">
        <f>'Grid_Requirement'!BR3</f>
        <v/>
      </c>
      <c r="BU500">
        <f>'Grid_Requirement'!BS3</f>
        <v/>
      </c>
      <c r="BV500">
        <f>'Grid_Requirement'!BT3</f>
        <v/>
      </c>
      <c r="BW500">
        <f>'Grid_Requirement'!BU3</f>
        <v/>
      </c>
      <c r="BX500">
        <f>'Grid_Requirement'!BV3</f>
        <v/>
      </c>
      <c r="BY500">
        <f>'Grid_Requirement'!BW3</f>
        <v/>
      </c>
      <c r="BZ500">
        <f>'Grid_Requirement'!BX3</f>
        <v/>
      </c>
      <c r="CA500">
        <f>'Grid_Requirement'!BY3</f>
        <v/>
      </c>
      <c r="CB500">
        <f>'Grid_Requirement'!BZ3</f>
        <v/>
      </c>
      <c r="CC500">
        <f>'Grid_Requirement'!CA3</f>
        <v/>
      </c>
      <c r="CD500">
        <f>'Grid_Requirement'!CB3</f>
        <v/>
      </c>
      <c r="CE500">
        <f>'Grid_Requirement'!CC3</f>
        <v/>
      </c>
      <c r="CF500">
        <f>'Grid_Requirement'!CD3</f>
        <v/>
      </c>
      <c r="CG500">
        <f>'Grid_Requirement'!CE3</f>
        <v/>
      </c>
      <c r="CH500">
        <f>'Grid_Requirement'!CF3</f>
        <v/>
      </c>
      <c r="CI500">
        <f>'Grid_Requirement'!CG3</f>
        <v/>
      </c>
      <c r="CJ500">
        <f>'Grid_Requirement'!CH3</f>
        <v/>
      </c>
      <c r="CK500">
        <f>'Grid_Requirement'!CI3</f>
        <v/>
      </c>
      <c r="CL500">
        <f>'Grid_Requirement'!CJ3</f>
        <v/>
      </c>
      <c r="CM500">
        <f>'Grid_Requirement'!CK3</f>
        <v/>
      </c>
      <c r="CN500">
        <f>'Grid_Requirement'!CL3</f>
        <v/>
      </c>
      <c r="CO500">
        <f>'Grid_Requirement'!CM3</f>
        <v/>
      </c>
      <c r="CP500">
        <f>'Grid_Requirement'!CN3</f>
        <v/>
      </c>
      <c r="CQ500">
        <f>'Grid_Requirement'!CO3</f>
        <v/>
      </c>
      <c r="CR500">
        <f>'Grid_Requirement'!CP3</f>
        <v/>
      </c>
      <c r="CS500">
        <f>'Grid_Requirement'!CQ3</f>
        <v/>
      </c>
      <c r="CT500">
        <f>'Grid_Requirement'!CR3</f>
        <v/>
      </c>
      <c r="CU500">
        <f>'Grid_Requirement'!CS3</f>
        <v/>
      </c>
      <c r="CV500">
        <f>'Grid_Requirement'!CT3</f>
        <v/>
      </c>
      <c r="CW500">
        <f>'Grid_Requirement'!CU3</f>
        <v/>
      </c>
      <c r="CX500">
        <f>'Grid_Requirement'!CV3</f>
        <v/>
      </c>
      <c r="CY500">
        <f>'Grid_Requirement'!CW3</f>
        <v/>
      </c>
      <c r="CZ500">
        <f>'Grid_Requirement'!CX3</f>
        <v/>
      </c>
      <c r="DA500">
        <f>'Grid_Requirement'!CY3</f>
        <v/>
      </c>
      <c r="DB500">
        <f>'Grid_Requirement'!CZ3</f>
        <v/>
      </c>
      <c r="DC500">
        <f>'Grid_Requirement'!DA3</f>
        <v/>
      </c>
    </row>
    <row r="501">
      <c r="B501" t="inlineStr">
        <is>
          <t>TTAF在庫(実績,kg)</t>
        </is>
      </c>
      <c r="D501">
        <f>'T_TTAFStock'!B7</f>
        <v/>
      </c>
      <c r="E501">
        <f>'T_TTAFStock'!C7</f>
        <v/>
      </c>
      <c r="F501">
        <f>'T_TTAFStock'!D7</f>
        <v/>
      </c>
      <c r="G501">
        <f>'T_TTAFStock'!E7</f>
        <v/>
      </c>
      <c r="H501">
        <f>'T_TTAFStock'!F7</f>
        <v/>
      </c>
      <c r="I501">
        <f>'T_TTAFStock'!G7</f>
        <v/>
      </c>
      <c r="J501">
        <f>'T_TTAFStock'!H7</f>
        <v/>
      </c>
      <c r="K501">
        <f>'T_TTAFStock'!I7</f>
        <v/>
      </c>
      <c r="L501">
        <f>'T_TTAFStock'!J7</f>
        <v/>
      </c>
      <c r="M501">
        <f>'T_TTAFStock'!K7</f>
        <v/>
      </c>
      <c r="N501">
        <f>'T_TTAFStock'!L7</f>
        <v/>
      </c>
      <c r="O501">
        <f>'T_TTAFStock'!M7</f>
        <v/>
      </c>
      <c r="P501">
        <f>'T_TTAFStock'!N7</f>
        <v/>
      </c>
      <c r="Q501">
        <f>'T_TTAFStock'!O7</f>
        <v/>
      </c>
      <c r="R501">
        <f>'T_TTAFStock'!P7</f>
        <v/>
      </c>
      <c r="S501">
        <f>'T_TTAFStock'!Q7</f>
        <v/>
      </c>
      <c r="T501">
        <f>'T_TTAFStock'!R7</f>
        <v/>
      </c>
      <c r="U501">
        <f>'T_TTAFStock'!S7</f>
        <v/>
      </c>
      <c r="V501">
        <f>'T_TTAFStock'!T7</f>
        <v/>
      </c>
      <c r="W501">
        <f>'T_TTAFStock'!U7</f>
        <v/>
      </c>
      <c r="X501">
        <f>'T_TTAFStock'!V7</f>
        <v/>
      </c>
      <c r="Y501">
        <f>'T_TTAFStock'!W7</f>
        <v/>
      </c>
      <c r="Z501">
        <f>'T_TTAFStock'!X7</f>
        <v/>
      </c>
      <c r="AA501">
        <f>'T_TTAFStock'!Y7</f>
        <v/>
      </c>
      <c r="AB501">
        <f>'T_TTAFStock'!Z7</f>
        <v/>
      </c>
      <c r="AC501">
        <f>'T_TTAFStock'!AA7</f>
        <v/>
      </c>
      <c r="AD501">
        <f>'T_TTAFStock'!AB7</f>
        <v/>
      </c>
      <c r="AE501">
        <f>'T_TTAFStock'!AC7</f>
        <v/>
      </c>
      <c r="AF501">
        <f>'T_TTAFStock'!AD7</f>
        <v/>
      </c>
      <c r="AG501">
        <f>'T_TTAFStock'!AE7</f>
        <v/>
      </c>
      <c r="AH501">
        <f>'T_TTAFStock'!AF7</f>
        <v/>
      </c>
      <c r="AI501">
        <f>'T_TTAFStock'!AG7</f>
        <v/>
      </c>
      <c r="AJ501">
        <f>'T_TTAFStock'!AH7</f>
        <v/>
      </c>
      <c r="AK501">
        <f>'T_TTAFStock'!AI7</f>
        <v/>
      </c>
      <c r="AL501">
        <f>'T_TTAFStock'!AJ7</f>
        <v/>
      </c>
      <c r="AM501">
        <f>'T_TTAFStock'!AK7</f>
        <v/>
      </c>
      <c r="AN501">
        <f>'T_TTAFStock'!AL7</f>
        <v/>
      </c>
      <c r="AO501">
        <f>'T_TTAFStock'!AM7</f>
        <v/>
      </c>
      <c r="AP501">
        <f>'T_TTAFStock'!AN7</f>
        <v/>
      </c>
      <c r="AQ501">
        <f>'T_TTAFStock'!AO7</f>
        <v/>
      </c>
      <c r="AR501">
        <f>'T_TTAFStock'!AP7</f>
        <v/>
      </c>
      <c r="AS501">
        <f>'T_TTAFStock'!AQ7</f>
        <v/>
      </c>
      <c r="AT501">
        <f>'T_TTAFStock'!AR7</f>
        <v/>
      </c>
      <c r="AU501">
        <f>'T_TTAFStock'!AS7</f>
        <v/>
      </c>
      <c r="AV501">
        <f>'T_TTAFStock'!AT7</f>
        <v/>
      </c>
      <c r="AW501">
        <f>'T_TTAFStock'!AU7</f>
        <v/>
      </c>
      <c r="AX501">
        <f>'T_TTAFStock'!AV7</f>
        <v/>
      </c>
      <c r="AY501">
        <f>'T_TTAFStock'!AW7</f>
        <v/>
      </c>
      <c r="AZ501">
        <f>'T_TTAFStock'!AX7</f>
        <v/>
      </c>
      <c r="BA501">
        <f>'T_TTAFStock'!AY7</f>
        <v/>
      </c>
      <c r="BB501">
        <f>'T_TTAFStock'!AZ7</f>
        <v/>
      </c>
      <c r="BC501">
        <f>'T_TTAFStock'!BA7</f>
        <v/>
      </c>
      <c r="BD501">
        <f>'T_TTAFStock'!BB7</f>
        <v/>
      </c>
      <c r="BE501">
        <f>'T_TTAFStock'!BC7</f>
        <v/>
      </c>
      <c r="BF501">
        <f>'T_TTAFStock'!BD7</f>
        <v/>
      </c>
      <c r="BG501">
        <f>'T_TTAFStock'!BE7</f>
        <v/>
      </c>
      <c r="BH501">
        <f>'T_TTAFStock'!BF7</f>
        <v/>
      </c>
      <c r="BI501">
        <f>'T_TTAFStock'!BG7</f>
        <v/>
      </c>
      <c r="BJ501">
        <f>'T_TTAFStock'!BH7</f>
        <v/>
      </c>
      <c r="BK501">
        <f>'T_TTAFStock'!BI7</f>
        <v/>
      </c>
      <c r="BL501">
        <f>'T_TTAFStock'!BJ7</f>
        <v/>
      </c>
      <c r="BM501">
        <f>'T_TTAFStock'!BK7</f>
        <v/>
      </c>
      <c r="BN501">
        <f>'T_TTAFStock'!BL7</f>
        <v/>
      </c>
      <c r="BO501">
        <f>'T_TTAFStock'!BM7</f>
        <v/>
      </c>
      <c r="BP501">
        <f>'T_TTAFStock'!BN7</f>
        <v/>
      </c>
      <c r="BQ501">
        <f>'T_TTAFStock'!BO7</f>
        <v/>
      </c>
      <c r="BR501">
        <f>'T_TTAFStock'!BP7</f>
        <v/>
      </c>
      <c r="BS501">
        <f>'T_TTAFStock'!BQ7</f>
        <v/>
      </c>
      <c r="BT501">
        <f>'T_TTAFStock'!BR7</f>
        <v/>
      </c>
      <c r="BU501">
        <f>'T_TTAFStock'!BS7</f>
        <v/>
      </c>
      <c r="BV501">
        <f>'T_TTAFStock'!BT7</f>
        <v/>
      </c>
      <c r="BW501">
        <f>'T_TTAFStock'!BU7</f>
        <v/>
      </c>
      <c r="BX501">
        <f>'T_TTAFStock'!BV7</f>
        <v/>
      </c>
      <c r="BY501">
        <f>'T_TTAFStock'!BW7</f>
        <v/>
      </c>
      <c r="BZ501">
        <f>'T_TTAFStock'!BX7</f>
        <v/>
      </c>
      <c r="CA501">
        <f>'T_TTAFStock'!BY7</f>
        <v/>
      </c>
      <c r="CB501">
        <f>'T_TTAFStock'!BZ7</f>
        <v/>
      </c>
      <c r="CC501">
        <f>'T_TTAFStock'!CA7</f>
        <v/>
      </c>
      <c r="CD501">
        <f>'T_TTAFStock'!CB7</f>
        <v/>
      </c>
      <c r="CE501">
        <f>'T_TTAFStock'!CC7</f>
        <v/>
      </c>
      <c r="CF501">
        <f>'T_TTAFStock'!CD7</f>
        <v/>
      </c>
      <c r="CG501">
        <f>'T_TTAFStock'!CE7</f>
        <v/>
      </c>
      <c r="CH501">
        <f>'T_TTAFStock'!CF7</f>
        <v/>
      </c>
      <c r="CI501">
        <f>'T_TTAFStock'!CG7</f>
        <v/>
      </c>
      <c r="CJ501">
        <f>'T_TTAFStock'!CH7</f>
        <v/>
      </c>
      <c r="CK501">
        <f>'T_TTAFStock'!CI7</f>
        <v/>
      </c>
      <c r="CL501">
        <f>'T_TTAFStock'!CJ7</f>
        <v/>
      </c>
      <c r="CM501">
        <f>'T_TTAFStock'!CK7</f>
        <v/>
      </c>
      <c r="CN501">
        <f>'T_TTAFStock'!CL7</f>
        <v/>
      </c>
      <c r="CO501">
        <f>'T_TTAFStock'!CM7</f>
        <v/>
      </c>
      <c r="CP501">
        <f>'T_TTAFStock'!CN7</f>
        <v/>
      </c>
      <c r="CQ501">
        <f>'T_TTAFStock'!CO7</f>
        <v/>
      </c>
      <c r="CR501">
        <f>'T_TTAFStock'!CP7</f>
        <v/>
      </c>
      <c r="CS501">
        <f>'T_TTAFStock'!CQ7</f>
        <v/>
      </c>
      <c r="CT501">
        <f>'T_TTAFStock'!CR7</f>
        <v/>
      </c>
      <c r="CU501">
        <f>'T_TTAFStock'!CS7</f>
        <v/>
      </c>
      <c r="CV501">
        <f>'T_TTAFStock'!CT7</f>
        <v/>
      </c>
      <c r="CW501">
        <f>'T_TTAFStock'!CU7</f>
        <v/>
      </c>
      <c r="CX501">
        <f>'T_TTAFStock'!CV7</f>
        <v/>
      </c>
      <c r="CY501">
        <f>'T_TTAFStock'!CW7</f>
        <v/>
      </c>
      <c r="CZ501">
        <f>'T_TTAFStock'!CX7</f>
        <v/>
      </c>
      <c r="DA501">
        <f>'T_TTAFStock'!CY7</f>
        <v/>
      </c>
      <c r="DB501">
        <f>'T_TTAFStock'!CZ7</f>
        <v/>
      </c>
      <c r="DC501">
        <f>'T_TTAFStock'!DA7</f>
        <v/>
      </c>
    </row>
    <row r="502">
      <c r="B502" t="inlineStr">
        <is>
          <t>自社在庫(実績,kg)</t>
        </is>
      </c>
      <c r="D502">
        <f>'T_SelfStock'!B7</f>
        <v/>
      </c>
      <c r="E502">
        <f>'T_SelfStock'!C7</f>
        <v/>
      </c>
      <c r="F502">
        <f>'T_SelfStock'!D7</f>
        <v/>
      </c>
      <c r="G502">
        <f>'T_SelfStock'!E7</f>
        <v/>
      </c>
      <c r="H502">
        <f>'T_SelfStock'!F7</f>
        <v/>
      </c>
      <c r="I502">
        <f>'T_SelfStock'!G7</f>
        <v/>
      </c>
      <c r="J502">
        <f>'T_SelfStock'!H7</f>
        <v/>
      </c>
      <c r="K502">
        <f>'T_SelfStock'!I7</f>
        <v/>
      </c>
      <c r="L502">
        <f>'T_SelfStock'!J7</f>
        <v/>
      </c>
      <c r="M502">
        <f>'T_SelfStock'!K7</f>
        <v/>
      </c>
      <c r="N502">
        <f>'T_SelfStock'!L7</f>
        <v/>
      </c>
      <c r="O502">
        <f>'T_SelfStock'!M7</f>
        <v/>
      </c>
      <c r="P502">
        <f>'T_SelfStock'!N7</f>
        <v/>
      </c>
      <c r="Q502">
        <f>'T_SelfStock'!O7</f>
        <v/>
      </c>
      <c r="R502">
        <f>'T_SelfStock'!P7</f>
        <v/>
      </c>
      <c r="S502">
        <f>'T_SelfStock'!Q7</f>
        <v/>
      </c>
      <c r="T502">
        <f>'T_SelfStock'!R7</f>
        <v/>
      </c>
      <c r="U502">
        <f>'T_SelfStock'!S7</f>
        <v/>
      </c>
      <c r="V502">
        <f>'T_SelfStock'!T7</f>
        <v/>
      </c>
      <c r="W502">
        <f>'T_SelfStock'!U7</f>
        <v/>
      </c>
      <c r="X502">
        <f>'T_SelfStock'!V7</f>
        <v/>
      </c>
      <c r="Y502">
        <f>'T_SelfStock'!W7</f>
        <v/>
      </c>
      <c r="Z502">
        <f>'T_SelfStock'!X7</f>
        <v/>
      </c>
      <c r="AA502">
        <f>'T_SelfStock'!Y7</f>
        <v/>
      </c>
      <c r="AB502">
        <f>'T_SelfStock'!Z7</f>
        <v/>
      </c>
      <c r="AC502">
        <f>'T_SelfStock'!AA7</f>
        <v/>
      </c>
      <c r="AD502">
        <f>'T_SelfStock'!AB7</f>
        <v/>
      </c>
      <c r="AE502">
        <f>'T_SelfStock'!AC7</f>
        <v/>
      </c>
      <c r="AF502">
        <f>'T_SelfStock'!AD7</f>
        <v/>
      </c>
      <c r="AG502">
        <f>'T_SelfStock'!AE7</f>
        <v/>
      </c>
      <c r="AH502">
        <f>'T_SelfStock'!AF7</f>
        <v/>
      </c>
      <c r="AI502">
        <f>'T_SelfStock'!AG7</f>
        <v/>
      </c>
      <c r="AJ502">
        <f>'T_SelfStock'!AH7</f>
        <v/>
      </c>
      <c r="AK502">
        <f>'T_SelfStock'!AI7</f>
        <v/>
      </c>
      <c r="AL502">
        <f>'T_SelfStock'!AJ7</f>
        <v/>
      </c>
      <c r="AM502">
        <f>'T_SelfStock'!AK7</f>
        <v/>
      </c>
      <c r="AN502">
        <f>'T_SelfStock'!AL7</f>
        <v/>
      </c>
      <c r="AO502">
        <f>'T_SelfStock'!AM7</f>
        <v/>
      </c>
      <c r="AP502">
        <f>'T_SelfStock'!AN7</f>
        <v/>
      </c>
      <c r="AQ502">
        <f>'T_SelfStock'!AO7</f>
        <v/>
      </c>
      <c r="AR502">
        <f>'T_SelfStock'!AP7</f>
        <v/>
      </c>
      <c r="AS502">
        <f>'T_SelfStock'!AQ7</f>
        <v/>
      </c>
      <c r="AT502">
        <f>'T_SelfStock'!AR7</f>
        <v/>
      </c>
      <c r="AU502">
        <f>'T_SelfStock'!AS7</f>
        <v/>
      </c>
      <c r="AV502">
        <f>'T_SelfStock'!AT7</f>
        <v/>
      </c>
      <c r="AW502">
        <f>'T_SelfStock'!AU7</f>
        <v/>
      </c>
      <c r="AX502">
        <f>'T_SelfStock'!AV7</f>
        <v/>
      </c>
      <c r="AY502">
        <f>'T_SelfStock'!AW7</f>
        <v/>
      </c>
      <c r="AZ502">
        <f>'T_SelfStock'!AX7</f>
        <v/>
      </c>
      <c r="BA502">
        <f>'T_SelfStock'!AY7</f>
        <v/>
      </c>
      <c r="BB502">
        <f>'T_SelfStock'!AZ7</f>
        <v/>
      </c>
      <c r="BC502">
        <f>'T_SelfStock'!BA7</f>
        <v/>
      </c>
      <c r="BD502">
        <f>'T_SelfStock'!BB7</f>
        <v/>
      </c>
      <c r="BE502">
        <f>'T_SelfStock'!BC7</f>
        <v/>
      </c>
      <c r="BF502">
        <f>'T_SelfStock'!BD7</f>
        <v/>
      </c>
      <c r="BG502">
        <f>'T_SelfStock'!BE7</f>
        <v/>
      </c>
      <c r="BH502">
        <f>'T_SelfStock'!BF7</f>
        <v/>
      </c>
      <c r="BI502">
        <f>'T_SelfStock'!BG7</f>
        <v/>
      </c>
      <c r="BJ502">
        <f>'T_SelfStock'!BH7</f>
        <v/>
      </c>
      <c r="BK502">
        <f>'T_SelfStock'!BI7</f>
        <v/>
      </c>
      <c r="BL502">
        <f>'T_SelfStock'!BJ7</f>
        <v/>
      </c>
      <c r="BM502">
        <f>'T_SelfStock'!BK7</f>
        <v/>
      </c>
      <c r="BN502">
        <f>'T_SelfStock'!BL7</f>
        <v/>
      </c>
      <c r="BO502">
        <f>'T_SelfStock'!BM7</f>
        <v/>
      </c>
      <c r="BP502">
        <f>'T_SelfStock'!BN7</f>
        <v/>
      </c>
      <c r="BQ502">
        <f>'T_SelfStock'!BO7</f>
        <v/>
      </c>
      <c r="BR502">
        <f>'T_SelfStock'!BP7</f>
        <v/>
      </c>
      <c r="BS502">
        <f>'T_SelfStock'!BQ7</f>
        <v/>
      </c>
      <c r="BT502">
        <f>'T_SelfStock'!BR7</f>
        <v/>
      </c>
      <c r="BU502">
        <f>'T_SelfStock'!BS7</f>
        <v/>
      </c>
      <c r="BV502">
        <f>'T_SelfStock'!BT7</f>
        <v/>
      </c>
      <c r="BW502">
        <f>'T_SelfStock'!BU7</f>
        <v/>
      </c>
      <c r="BX502">
        <f>'T_SelfStock'!BV7</f>
        <v/>
      </c>
      <c r="BY502">
        <f>'T_SelfStock'!BW7</f>
        <v/>
      </c>
      <c r="BZ502">
        <f>'T_SelfStock'!BX7</f>
        <v/>
      </c>
      <c r="CA502">
        <f>'T_SelfStock'!BY7</f>
        <v/>
      </c>
      <c r="CB502">
        <f>'T_SelfStock'!BZ7</f>
        <v/>
      </c>
      <c r="CC502">
        <f>'T_SelfStock'!CA7</f>
        <v/>
      </c>
      <c r="CD502">
        <f>'T_SelfStock'!CB7</f>
        <v/>
      </c>
      <c r="CE502">
        <f>'T_SelfStock'!CC7</f>
        <v/>
      </c>
      <c r="CF502">
        <f>'T_SelfStock'!CD7</f>
        <v/>
      </c>
      <c r="CG502">
        <f>'T_SelfStock'!CE7</f>
        <v/>
      </c>
      <c r="CH502">
        <f>'T_SelfStock'!CF7</f>
        <v/>
      </c>
      <c r="CI502">
        <f>'T_SelfStock'!CG7</f>
        <v/>
      </c>
      <c r="CJ502">
        <f>'T_SelfStock'!CH7</f>
        <v/>
      </c>
      <c r="CK502">
        <f>'T_SelfStock'!CI7</f>
        <v/>
      </c>
      <c r="CL502">
        <f>'T_SelfStock'!CJ7</f>
        <v/>
      </c>
      <c r="CM502">
        <f>'T_SelfStock'!CK7</f>
        <v/>
      </c>
      <c r="CN502">
        <f>'T_SelfStock'!CL7</f>
        <v/>
      </c>
      <c r="CO502">
        <f>'T_SelfStock'!CM7</f>
        <v/>
      </c>
      <c r="CP502">
        <f>'T_SelfStock'!CN7</f>
        <v/>
      </c>
      <c r="CQ502">
        <f>'T_SelfStock'!CO7</f>
        <v/>
      </c>
      <c r="CR502">
        <f>'T_SelfStock'!CP7</f>
        <v/>
      </c>
      <c r="CS502">
        <f>'T_SelfStock'!CQ7</f>
        <v/>
      </c>
      <c r="CT502">
        <f>'T_SelfStock'!CR7</f>
        <v/>
      </c>
      <c r="CU502">
        <f>'T_SelfStock'!CS7</f>
        <v/>
      </c>
      <c r="CV502">
        <f>'T_SelfStock'!CT7</f>
        <v/>
      </c>
      <c r="CW502">
        <f>'T_SelfStock'!CU7</f>
        <v/>
      </c>
      <c r="CX502">
        <f>'T_SelfStock'!CV7</f>
        <v/>
      </c>
      <c r="CY502">
        <f>'T_SelfStock'!CW7</f>
        <v/>
      </c>
      <c r="CZ502">
        <f>'T_SelfStock'!CX7</f>
        <v/>
      </c>
      <c r="DA502">
        <f>'T_SelfStock'!CY7</f>
        <v/>
      </c>
      <c r="DB502">
        <f>'T_SelfStock'!CZ7</f>
        <v/>
      </c>
      <c r="DC502">
        <f>'T_SelfStock'!DA7</f>
        <v/>
      </c>
    </row>
    <row r="503">
      <c r="B503" t="inlineStr">
        <is>
          <t>Order(発注予定,kg)</t>
        </is>
      </c>
      <c r="D503">
        <f>IF(SUMIFS(T_PlannedOrders[EffectiveQty],T_PlannedOrders[Part Name],$A485,T_PlannedOrders[WeekIndex],1)=0,"",SUMIFS(T_PlannedOrders[EffectiveQty],T_PlannedOrders[Part Name],$A485,T_PlannedOrders[WeekIndex],1)&amp;" ("&amp;TEXT(SUMPRODUCT(MAX((T_PlannedOrders[Part Name]=$A485)*(T_PlannedOrders[WeekIndex]=1)*(T_PlannedOrders[EffectiveQty]&gt;0)*T_PlannedOrders[Order_Month])),"m月")&amp;"発注)")</f>
        <v/>
      </c>
      <c r="E503">
        <f>IF(SUMIFS(T_PlannedOrders[EffectiveQty],T_PlannedOrders[Part Name],$A485,T_PlannedOrders[WeekIndex],2)=0,"",SUMIFS(T_PlannedOrders[EffectiveQty],T_PlannedOrders[Part Name],$A485,T_PlannedOrders[WeekIndex],2)&amp;" ("&amp;TEXT(SUMPRODUCT(MAX((T_PlannedOrders[Part Name]=$A485)*(T_PlannedOrders[WeekIndex]=2)*(T_PlannedOrders[EffectiveQty]&gt;0)*T_PlannedOrders[Order_Month])),"m月")&amp;"発注)")</f>
        <v/>
      </c>
      <c r="F503">
        <f>IF(SUMIFS(T_PlannedOrders[EffectiveQty],T_PlannedOrders[Part Name],$A485,T_PlannedOrders[WeekIndex],3)=0,"",SUMIFS(T_PlannedOrders[EffectiveQty],T_PlannedOrders[Part Name],$A485,T_PlannedOrders[WeekIndex],3)&amp;" ("&amp;TEXT(SUMPRODUCT(MAX((T_PlannedOrders[Part Name]=$A485)*(T_PlannedOrders[WeekIndex]=3)*(T_PlannedOrders[EffectiveQty]&gt;0)*T_PlannedOrders[Order_Month])),"m月")&amp;"発注)")</f>
        <v/>
      </c>
      <c r="G503">
        <f>IF(SUMIFS(T_PlannedOrders[EffectiveQty],T_PlannedOrders[Part Name],$A485,T_PlannedOrders[WeekIndex],4)=0,"",SUMIFS(T_PlannedOrders[EffectiveQty],T_PlannedOrders[Part Name],$A485,T_PlannedOrders[WeekIndex],4)&amp;" ("&amp;TEXT(SUMPRODUCT(MAX((T_PlannedOrders[Part Name]=$A485)*(T_PlannedOrders[WeekIndex]=4)*(T_PlannedOrders[EffectiveQty]&gt;0)*T_PlannedOrders[Order_Month])),"m月")&amp;"発注)")</f>
        <v/>
      </c>
      <c r="H503">
        <f>IF(SUMIFS(T_PlannedOrders[EffectiveQty],T_PlannedOrders[Part Name],$A485,T_PlannedOrders[WeekIndex],5)=0,"",SUMIFS(T_PlannedOrders[EffectiveQty],T_PlannedOrders[Part Name],$A485,T_PlannedOrders[WeekIndex],5)&amp;" ("&amp;TEXT(SUMPRODUCT(MAX((T_PlannedOrders[Part Name]=$A485)*(T_PlannedOrders[WeekIndex]=5)*(T_PlannedOrders[EffectiveQty]&gt;0)*T_PlannedOrders[Order_Month])),"m月")&amp;"発注)")</f>
        <v/>
      </c>
      <c r="I503">
        <f>IF(SUMIFS(T_PlannedOrders[EffectiveQty],T_PlannedOrders[Part Name],$A485,T_PlannedOrders[WeekIndex],6)=0,"",SUMIFS(T_PlannedOrders[EffectiveQty],T_PlannedOrders[Part Name],$A485,T_PlannedOrders[WeekIndex],6)&amp;" ("&amp;TEXT(SUMPRODUCT(MAX((T_PlannedOrders[Part Name]=$A485)*(T_PlannedOrders[WeekIndex]=6)*(T_PlannedOrders[EffectiveQty]&gt;0)*T_PlannedOrders[Order_Month])),"m月")&amp;"発注)")</f>
        <v/>
      </c>
      <c r="J503">
        <f>IF(SUMIFS(T_PlannedOrders[EffectiveQty],T_PlannedOrders[Part Name],$A485,T_PlannedOrders[WeekIndex],7)=0,"",SUMIFS(T_PlannedOrders[EffectiveQty],T_PlannedOrders[Part Name],$A485,T_PlannedOrders[WeekIndex],7)&amp;" ("&amp;TEXT(SUMPRODUCT(MAX((T_PlannedOrders[Part Name]=$A485)*(T_PlannedOrders[WeekIndex]=7)*(T_PlannedOrders[EffectiveQty]&gt;0)*T_PlannedOrders[Order_Month])),"m月")&amp;"発注)")</f>
        <v/>
      </c>
      <c r="K503">
        <f>IF(SUMIFS(T_PlannedOrders[EffectiveQty],T_PlannedOrders[Part Name],$A485,T_PlannedOrders[WeekIndex],8)=0,"",SUMIFS(T_PlannedOrders[EffectiveQty],T_PlannedOrders[Part Name],$A485,T_PlannedOrders[WeekIndex],8)&amp;" ("&amp;TEXT(SUMPRODUCT(MAX((T_PlannedOrders[Part Name]=$A485)*(T_PlannedOrders[WeekIndex]=8)*(T_PlannedOrders[EffectiveQty]&gt;0)*T_PlannedOrders[Order_Month])),"m月")&amp;"発注)")</f>
        <v/>
      </c>
      <c r="L503">
        <f>IF(SUMIFS(T_PlannedOrders[EffectiveQty],T_PlannedOrders[Part Name],$A485,T_PlannedOrders[WeekIndex],9)=0,"",SUMIFS(T_PlannedOrders[EffectiveQty],T_PlannedOrders[Part Name],$A485,T_PlannedOrders[WeekIndex],9)&amp;" ("&amp;TEXT(SUMPRODUCT(MAX((T_PlannedOrders[Part Name]=$A485)*(T_PlannedOrders[WeekIndex]=9)*(T_PlannedOrders[EffectiveQty]&gt;0)*T_PlannedOrders[Order_Month])),"m月")&amp;"発注)")</f>
        <v/>
      </c>
      <c r="M503">
        <f>IF(SUMIFS(T_PlannedOrders[EffectiveQty],T_PlannedOrders[Part Name],$A485,T_PlannedOrders[WeekIndex],10)=0,"",SUMIFS(T_PlannedOrders[EffectiveQty],T_PlannedOrders[Part Name],$A485,T_PlannedOrders[WeekIndex],10)&amp;" ("&amp;TEXT(SUMPRODUCT(MAX((T_PlannedOrders[Part Name]=$A485)*(T_PlannedOrders[WeekIndex]=10)*(T_PlannedOrders[EffectiveQty]&gt;0)*T_PlannedOrders[Order_Month])),"m月")&amp;"発注)")</f>
        <v/>
      </c>
      <c r="N503">
        <f>IF(SUMIFS(T_PlannedOrders[EffectiveQty],T_PlannedOrders[Part Name],$A485,T_PlannedOrders[WeekIndex],11)=0,"",SUMIFS(T_PlannedOrders[EffectiveQty],T_PlannedOrders[Part Name],$A485,T_PlannedOrders[WeekIndex],11)&amp;" ("&amp;TEXT(SUMPRODUCT(MAX((T_PlannedOrders[Part Name]=$A485)*(T_PlannedOrders[WeekIndex]=11)*(T_PlannedOrders[EffectiveQty]&gt;0)*T_PlannedOrders[Order_Month])),"m月")&amp;"発注)")</f>
        <v/>
      </c>
      <c r="O503">
        <f>IF(SUMIFS(T_PlannedOrders[EffectiveQty],T_PlannedOrders[Part Name],$A485,T_PlannedOrders[WeekIndex],12)=0,"",SUMIFS(T_PlannedOrders[EffectiveQty],T_PlannedOrders[Part Name],$A485,T_PlannedOrders[WeekIndex],12)&amp;" ("&amp;TEXT(SUMPRODUCT(MAX((T_PlannedOrders[Part Name]=$A485)*(T_PlannedOrders[WeekIndex]=12)*(T_PlannedOrders[EffectiveQty]&gt;0)*T_PlannedOrders[Order_Month])),"m月")&amp;"発注)")</f>
        <v/>
      </c>
      <c r="P503">
        <f>IF(SUMIFS(T_PlannedOrders[EffectiveQty],T_PlannedOrders[Part Name],$A485,T_PlannedOrders[WeekIndex],13)=0,"",SUMIFS(T_PlannedOrders[EffectiveQty],T_PlannedOrders[Part Name],$A485,T_PlannedOrders[WeekIndex],13)&amp;" ("&amp;TEXT(SUMPRODUCT(MAX((T_PlannedOrders[Part Name]=$A485)*(T_PlannedOrders[WeekIndex]=13)*(T_PlannedOrders[EffectiveQty]&gt;0)*T_PlannedOrders[Order_Month])),"m月")&amp;"発注)")</f>
        <v/>
      </c>
      <c r="Q503">
        <f>IF(SUMIFS(T_PlannedOrders[EffectiveQty],T_PlannedOrders[Part Name],$A485,T_PlannedOrders[WeekIndex],14)=0,"",SUMIFS(T_PlannedOrders[EffectiveQty],T_PlannedOrders[Part Name],$A485,T_PlannedOrders[WeekIndex],14)&amp;" ("&amp;TEXT(SUMPRODUCT(MAX((T_PlannedOrders[Part Name]=$A485)*(T_PlannedOrders[WeekIndex]=14)*(T_PlannedOrders[EffectiveQty]&gt;0)*T_PlannedOrders[Order_Month])),"m月")&amp;"発注)")</f>
        <v/>
      </c>
      <c r="R503">
        <f>IF(SUMIFS(T_PlannedOrders[EffectiveQty],T_PlannedOrders[Part Name],$A485,T_PlannedOrders[WeekIndex],15)=0,"",SUMIFS(T_PlannedOrders[EffectiveQty],T_PlannedOrders[Part Name],$A485,T_PlannedOrders[WeekIndex],15)&amp;" ("&amp;TEXT(SUMPRODUCT(MAX((T_PlannedOrders[Part Name]=$A485)*(T_PlannedOrders[WeekIndex]=15)*(T_PlannedOrders[EffectiveQty]&gt;0)*T_PlannedOrders[Order_Month])),"m月")&amp;"発注)")</f>
        <v/>
      </c>
      <c r="S503">
        <f>IF(SUMIFS(T_PlannedOrders[EffectiveQty],T_PlannedOrders[Part Name],$A485,T_PlannedOrders[WeekIndex],16)=0,"",SUMIFS(T_PlannedOrders[EffectiveQty],T_PlannedOrders[Part Name],$A485,T_PlannedOrders[WeekIndex],16)&amp;" ("&amp;TEXT(SUMPRODUCT(MAX((T_PlannedOrders[Part Name]=$A485)*(T_PlannedOrders[WeekIndex]=16)*(T_PlannedOrders[EffectiveQty]&gt;0)*T_PlannedOrders[Order_Month])),"m月")&amp;"発注)")</f>
        <v/>
      </c>
      <c r="T503">
        <f>IF(SUMIFS(T_PlannedOrders[EffectiveQty],T_PlannedOrders[Part Name],$A485,T_PlannedOrders[WeekIndex],17)=0,"",SUMIFS(T_PlannedOrders[EffectiveQty],T_PlannedOrders[Part Name],$A485,T_PlannedOrders[WeekIndex],17)&amp;" ("&amp;TEXT(SUMPRODUCT(MAX((T_PlannedOrders[Part Name]=$A485)*(T_PlannedOrders[WeekIndex]=17)*(T_PlannedOrders[EffectiveQty]&gt;0)*T_PlannedOrders[Order_Month])),"m月")&amp;"発注)")</f>
        <v/>
      </c>
      <c r="U503">
        <f>IF(SUMIFS(T_PlannedOrders[EffectiveQty],T_PlannedOrders[Part Name],$A485,T_PlannedOrders[WeekIndex],18)=0,"",SUMIFS(T_PlannedOrders[EffectiveQty],T_PlannedOrders[Part Name],$A485,T_PlannedOrders[WeekIndex],18)&amp;" ("&amp;TEXT(SUMPRODUCT(MAX((T_PlannedOrders[Part Name]=$A485)*(T_PlannedOrders[WeekIndex]=18)*(T_PlannedOrders[EffectiveQty]&gt;0)*T_PlannedOrders[Order_Month])),"m月")&amp;"発注)")</f>
        <v/>
      </c>
      <c r="V503">
        <f>IF(SUMIFS(T_PlannedOrders[EffectiveQty],T_PlannedOrders[Part Name],$A485,T_PlannedOrders[WeekIndex],19)=0,"",SUMIFS(T_PlannedOrders[EffectiveQty],T_PlannedOrders[Part Name],$A485,T_PlannedOrders[WeekIndex],19)&amp;" ("&amp;TEXT(SUMPRODUCT(MAX((T_PlannedOrders[Part Name]=$A485)*(T_PlannedOrders[WeekIndex]=19)*(T_PlannedOrders[EffectiveQty]&gt;0)*T_PlannedOrders[Order_Month])),"m月")&amp;"発注)")</f>
        <v/>
      </c>
      <c r="W503">
        <f>IF(SUMIFS(T_PlannedOrders[EffectiveQty],T_PlannedOrders[Part Name],$A485,T_PlannedOrders[WeekIndex],20)=0,"",SUMIFS(T_PlannedOrders[EffectiveQty],T_PlannedOrders[Part Name],$A485,T_PlannedOrders[WeekIndex],20)&amp;" ("&amp;TEXT(SUMPRODUCT(MAX((T_PlannedOrders[Part Name]=$A485)*(T_PlannedOrders[WeekIndex]=20)*(T_PlannedOrders[EffectiveQty]&gt;0)*T_PlannedOrders[Order_Month])),"m月")&amp;"発注)")</f>
        <v/>
      </c>
      <c r="X503">
        <f>IF(SUMIFS(T_PlannedOrders[EffectiveQty],T_PlannedOrders[Part Name],$A485,T_PlannedOrders[WeekIndex],21)=0,"",SUMIFS(T_PlannedOrders[EffectiveQty],T_PlannedOrders[Part Name],$A485,T_PlannedOrders[WeekIndex],21)&amp;" ("&amp;TEXT(SUMPRODUCT(MAX((T_PlannedOrders[Part Name]=$A485)*(T_PlannedOrders[WeekIndex]=21)*(T_PlannedOrders[EffectiveQty]&gt;0)*T_PlannedOrders[Order_Month])),"m月")&amp;"発注)")</f>
        <v/>
      </c>
      <c r="Y503">
        <f>IF(SUMIFS(T_PlannedOrders[EffectiveQty],T_PlannedOrders[Part Name],$A485,T_PlannedOrders[WeekIndex],22)=0,"",SUMIFS(T_PlannedOrders[EffectiveQty],T_PlannedOrders[Part Name],$A485,T_PlannedOrders[WeekIndex],22)&amp;" ("&amp;TEXT(SUMPRODUCT(MAX((T_PlannedOrders[Part Name]=$A485)*(T_PlannedOrders[WeekIndex]=22)*(T_PlannedOrders[EffectiveQty]&gt;0)*T_PlannedOrders[Order_Month])),"m月")&amp;"発注)")</f>
        <v/>
      </c>
      <c r="Z503">
        <f>IF(SUMIFS(T_PlannedOrders[EffectiveQty],T_PlannedOrders[Part Name],$A485,T_PlannedOrders[WeekIndex],23)=0,"",SUMIFS(T_PlannedOrders[EffectiveQty],T_PlannedOrders[Part Name],$A485,T_PlannedOrders[WeekIndex],23)&amp;" ("&amp;TEXT(SUMPRODUCT(MAX((T_PlannedOrders[Part Name]=$A485)*(T_PlannedOrders[WeekIndex]=23)*(T_PlannedOrders[EffectiveQty]&gt;0)*T_PlannedOrders[Order_Month])),"m月")&amp;"発注)")</f>
        <v/>
      </c>
      <c r="AA503">
        <f>IF(SUMIFS(T_PlannedOrders[EffectiveQty],T_PlannedOrders[Part Name],$A485,T_PlannedOrders[WeekIndex],24)=0,"",SUMIFS(T_PlannedOrders[EffectiveQty],T_PlannedOrders[Part Name],$A485,T_PlannedOrders[WeekIndex],24)&amp;" ("&amp;TEXT(SUMPRODUCT(MAX((T_PlannedOrders[Part Name]=$A485)*(T_PlannedOrders[WeekIndex]=24)*(T_PlannedOrders[EffectiveQty]&gt;0)*T_PlannedOrders[Order_Month])),"m月")&amp;"発注)")</f>
        <v/>
      </c>
      <c r="AB503">
        <f>IF(SUMIFS(T_PlannedOrders[EffectiveQty],T_PlannedOrders[Part Name],$A485,T_PlannedOrders[WeekIndex],25)=0,"",SUMIFS(T_PlannedOrders[EffectiveQty],T_PlannedOrders[Part Name],$A485,T_PlannedOrders[WeekIndex],25)&amp;" ("&amp;TEXT(SUMPRODUCT(MAX((T_PlannedOrders[Part Name]=$A485)*(T_PlannedOrders[WeekIndex]=25)*(T_PlannedOrders[EffectiveQty]&gt;0)*T_PlannedOrders[Order_Month])),"m月")&amp;"発注)")</f>
        <v/>
      </c>
      <c r="AC503">
        <f>IF(SUMIFS(T_PlannedOrders[EffectiveQty],T_PlannedOrders[Part Name],$A485,T_PlannedOrders[WeekIndex],26)=0,"",SUMIFS(T_PlannedOrders[EffectiveQty],T_PlannedOrders[Part Name],$A485,T_PlannedOrders[WeekIndex],26)&amp;" ("&amp;TEXT(SUMPRODUCT(MAX((T_PlannedOrders[Part Name]=$A485)*(T_PlannedOrders[WeekIndex]=26)*(T_PlannedOrders[EffectiveQty]&gt;0)*T_PlannedOrders[Order_Month])),"m月")&amp;"発注)")</f>
        <v/>
      </c>
      <c r="AD503">
        <f>IF(SUMIFS(T_PlannedOrders[EffectiveQty],T_PlannedOrders[Part Name],$A485,T_PlannedOrders[WeekIndex],27)=0,"",SUMIFS(T_PlannedOrders[EffectiveQty],T_PlannedOrders[Part Name],$A485,T_PlannedOrders[WeekIndex],27)&amp;" ("&amp;TEXT(SUMPRODUCT(MAX((T_PlannedOrders[Part Name]=$A485)*(T_PlannedOrders[WeekIndex]=27)*(T_PlannedOrders[EffectiveQty]&gt;0)*T_PlannedOrders[Order_Month])),"m月")&amp;"発注)")</f>
        <v/>
      </c>
      <c r="AE503">
        <f>IF(SUMIFS(T_PlannedOrders[EffectiveQty],T_PlannedOrders[Part Name],$A485,T_PlannedOrders[WeekIndex],28)=0,"",SUMIFS(T_PlannedOrders[EffectiveQty],T_PlannedOrders[Part Name],$A485,T_PlannedOrders[WeekIndex],28)&amp;" ("&amp;TEXT(SUMPRODUCT(MAX((T_PlannedOrders[Part Name]=$A485)*(T_PlannedOrders[WeekIndex]=28)*(T_PlannedOrders[EffectiveQty]&gt;0)*T_PlannedOrders[Order_Month])),"m月")&amp;"発注)")</f>
        <v/>
      </c>
      <c r="AF503">
        <f>IF(SUMIFS(T_PlannedOrders[EffectiveQty],T_PlannedOrders[Part Name],$A485,T_PlannedOrders[WeekIndex],29)=0,"",SUMIFS(T_PlannedOrders[EffectiveQty],T_PlannedOrders[Part Name],$A485,T_PlannedOrders[WeekIndex],29)&amp;" ("&amp;TEXT(SUMPRODUCT(MAX((T_PlannedOrders[Part Name]=$A485)*(T_PlannedOrders[WeekIndex]=29)*(T_PlannedOrders[EffectiveQty]&gt;0)*T_PlannedOrders[Order_Month])),"m月")&amp;"発注)")</f>
        <v/>
      </c>
      <c r="AG503">
        <f>IF(SUMIFS(T_PlannedOrders[EffectiveQty],T_PlannedOrders[Part Name],$A485,T_PlannedOrders[WeekIndex],30)=0,"",SUMIFS(T_PlannedOrders[EffectiveQty],T_PlannedOrders[Part Name],$A485,T_PlannedOrders[WeekIndex],30)&amp;" ("&amp;TEXT(SUMPRODUCT(MAX((T_PlannedOrders[Part Name]=$A485)*(T_PlannedOrders[WeekIndex]=30)*(T_PlannedOrders[EffectiveQty]&gt;0)*T_PlannedOrders[Order_Month])),"m月")&amp;"発注)")</f>
        <v/>
      </c>
      <c r="AH503">
        <f>IF(SUMIFS(T_PlannedOrders[EffectiveQty],T_PlannedOrders[Part Name],$A485,T_PlannedOrders[WeekIndex],31)=0,"",SUMIFS(T_PlannedOrders[EffectiveQty],T_PlannedOrders[Part Name],$A485,T_PlannedOrders[WeekIndex],31)&amp;" ("&amp;TEXT(SUMPRODUCT(MAX((T_PlannedOrders[Part Name]=$A485)*(T_PlannedOrders[WeekIndex]=31)*(T_PlannedOrders[EffectiveQty]&gt;0)*T_PlannedOrders[Order_Month])),"m月")&amp;"発注)")</f>
        <v/>
      </c>
      <c r="AI503">
        <f>IF(SUMIFS(T_PlannedOrders[EffectiveQty],T_PlannedOrders[Part Name],$A485,T_PlannedOrders[WeekIndex],32)=0,"",SUMIFS(T_PlannedOrders[EffectiveQty],T_PlannedOrders[Part Name],$A485,T_PlannedOrders[WeekIndex],32)&amp;" ("&amp;TEXT(SUMPRODUCT(MAX((T_PlannedOrders[Part Name]=$A485)*(T_PlannedOrders[WeekIndex]=32)*(T_PlannedOrders[EffectiveQty]&gt;0)*T_PlannedOrders[Order_Month])),"m月")&amp;"発注)")</f>
        <v/>
      </c>
      <c r="AJ503">
        <f>IF(SUMIFS(T_PlannedOrders[EffectiveQty],T_PlannedOrders[Part Name],$A485,T_PlannedOrders[WeekIndex],33)=0,"",SUMIFS(T_PlannedOrders[EffectiveQty],T_PlannedOrders[Part Name],$A485,T_PlannedOrders[WeekIndex],33)&amp;" ("&amp;TEXT(SUMPRODUCT(MAX((T_PlannedOrders[Part Name]=$A485)*(T_PlannedOrders[WeekIndex]=33)*(T_PlannedOrders[EffectiveQty]&gt;0)*T_PlannedOrders[Order_Month])),"m月")&amp;"発注)")</f>
        <v/>
      </c>
      <c r="AK503">
        <f>IF(SUMIFS(T_PlannedOrders[EffectiveQty],T_PlannedOrders[Part Name],$A485,T_PlannedOrders[WeekIndex],34)=0,"",SUMIFS(T_PlannedOrders[EffectiveQty],T_PlannedOrders[Part Name],$A485,T_PlannedOrders[WeekIndex],34)&amp;" ("&amp;TEXT(SUMPRODUCT(MAX((T_PlannedOrders[Part Name]=$A485)*(T_PlannedOrders[WeekIndex]=34)*(T_PlannedOrders[EffectiveQty]&gt;0)*T_PlannedOrders[Order_Month])),"m月")&amp;"発注)")</f>
        <v/>
      </c>
      <c r="AL503">
        <f>IF(SUMIFS(T_PlannedOrders[EffectiveQty],T_PlannedOrders[Part Name],$A485,T_PlannedOrders[WeekIndex],35)=0,"",SUMIFS(T_PlannedOrders[EffectiveQty],T_PlannedOrders[Part Name],$A485,T_PlannedOrders[WeekIndex],35)&amp;" ("&amp;TEXT(SUMPRODUCT(MAX((T_PlannedOrders[Part Name]=$A485)*(T_PlannedOrders[WeekIndex]=35)*(T_PlannedOrders[EffectiveQty]&gt;0)*T_PlannedOrders[Order_Month])),"m月")&amp;"発注)")</f>
        <v/>
      </c>
      <c r="AM503">
        <f>IF(SUMIFS(T_PlannedOrders[EffectiveQty],T_PlannedOrders[Part Name],$A485,T_PlannedOrders[WeekIndex],36)=0,"",SUMIFS(T_PlannedOrders[EffectiveQty],T_PlannedOrders[Part Name],$A485,T_PlannedOrders[WeekIndex],36)&amp;" ("&amp;TEXT(SUMPRODUCT(MAX((T_PlannedOrders[Part Name]=$A485)*(T_PlannedOrders[WeekIndex]=36)*(T_PlannedOrders[EffectiveQty]&gt;0)*T_PlannedOrders[Order_Month])),"m月")&amp;"発注)")</f>
        <v/>
      </c>
      <c r="AN503">
        <f>IF(SUMIFS(T_PlannedOrders[EffectiveQty],T_PlannedOrders[Part Name],$A485,T_PlannedOrders[WeekIndex],37)=0,"",SUMIFS(T_PlannedOrders[EffectiveQty],T_PlannedOrders[Part Name],$A485,T_PlannedOrders[WeekIndex],37)&amp;" ("&amp;TEXT(SUMPRODUCT(MAX((T_PlannedOrders[Part Name]=$A485)*(T_PlannedOrders[WeekIndex]=37)*(T_PlannedOrders[EffectiveQty]&gt;0)*T_PlannedOrders[Order_Month])),"m月")&amp;"発注)")</f>
        <v/>
      </c>
      <c r="AO503">
        <f>IF(SUMIFS(T_PlannedOrders[EffectiveQty],T_PlannedOrders[Part Name],$A485,T_PlannedOrders[WeekIndex],38)=0,"",SUMIFS(T_PlannedOrders[EffectiveQty],T_PlannedOrders[Part Name],$A485,T_PlannedOrders[WeekIndex],38)&amp;" ("&amp;TEXT(SUMPRODUCT(MAX((T_PlannedOrders[Part Name]=$A485)*(T_PlannedOrders[WeekIndex]=38)*(T_PlannedOrders[EffectiveQty]&gt;0)*T_PlannedOrders[Order_Month])),"m月")&amp;"発注)")</f>
        <v/>
      </c>
      <c r="AP503">
        <f>IF(SUMIFS(T_PlannedOrders[EffectiveQty],T_PlannedOrders[Part Name],$A485,T_PlannedOrders[WeekIndex],39)=0,"",SUMIFS(T_PlannedOrders[EffectiveQty],T_PlannedOrders[Part Name],$A485,T_PlannedOrders[WeekIndex],39)&amp;" ("&amp;TEXT(SUMPRODUCT(MAX((T_PlannedOrders[Part Name]=$A485)*(T_PlannedOrders[WeekIndex]=39)*(T_PlannedOrders[EffectiveQty]&gt;0)*T_PlannedOrders[Order_Month])),"m月")&amp;"発注)")</f>
        <v/>
      </c>
      <c r="AQ503">
        <f>IF(SUMIFS(T_PlannedOrders[EffectiveQty],T_PlannedOrders[Part Name],$A485,T_PlannedOrders[WeekIndex],40)=0,"",SUMIFS(T_PlannedOrders[EffectiveQty],T_PlannedOrders[Part Name],$A485,T_PlannedOrders[WeekIndex],40)&amp;" ("&amp;TEXT(SUMPRODUCT(MAX((T_PlannedOrders[Part Name]=$A485)*(T_PlannedOrders[WeekIndex]=40)*(T_PlannedOrders[EffectiveQty]&gt;0)*T_PlannedOrders[Order_Month])),"m月")&amp;"発注)")</f>
        <v/>
      </c>
      <c r="AR503">
        <f>IF(SUMIFS(T_PlannedOrders[EffectiveQty],T_PlannedOrders[Part Name],$A485,T_PlannedOrders[WeekIndex],41)=0,"",SUMIFS(T_PlannedOrders[EffectiveQty],T_PlannedOrders[Part Name],$A485,T_PlannedOrders[WeekIndex],41)&amp;" ("&amp;TEXT(SUMPRODUCT(MAX((T_PlannedOrders[Part Name]=$A485)*(T_PlannedOrders[WeekIndex]=41)*(T_PlannedOrders[EffectiveQty]&gt;0)*T_PlannedOrders[Order_Month])),"m月")&amp;"発注)")</f>
        <v/>
      </c>
      <c r="AS503">
        <f>IF(SUMIFS(T_PlannedOrders[EffectiveQty],T_PlannedOrders[Part Name],$A485,T_PlannedOrders[WeekIndex],42)=0,"",SUMIFS(T_PlannedOrders[EffectiveQty],T_PlannedOrders[Part Name],$A485,T_PlannedOrders[WeekIndex],42)&amp;" ("&amp;TEXT(SUMPRODUCT(MAX((T_PlannedOrders[Part Name]=$A485)*(T_PlannedOrders[WeekIndex]=42)*(T_PlannedOrders[EffectiveQty]&gt;0)*T_PlannedOrders[Order_Month])),"m月")&amp;"発注)")</f>
        <v/>
      </c>
      <c r="AT503">
        <f>IF(SUMIFS(T_PlannedOrders[EffectiveQty],T_PlannedOrders[Part Name],$A485,T_PlannedOrders[WeekIndex],43)=0,"",SUMIFS(T_PlannedOrders[EffectiveQty],T_PlannedOrders[Part Name],$A485,T_PlannedOrders[WeekIndex],43)&amp;" ("&amp;TEXT(SUMPRODUCT(MAX((T_PlannedOrders[Part Name]=$A485)*(T_PlannedOrders[WeekIndex]=43)*(T_PlannedOrders[EffectiveQty]&gt;0)*T_PlannedOrders[Order_Month])),"m月")&amp;"発注)")</f>
        <v/>
      </c>
      <c r="AU503">
        <f>IF(SUMIFS(T_PlannedOrders[EffectiveQty],T_PlannedOrders[Part Name],$A485,T_PlannedOrders[WeekIndex],44)=0,"",SUMIFS(T_PlannedOrders[EffectiveQty],T_PlannedOrders[Part Name],$A485,T_PlannedOrders[WeekIndex],44)&amp;" ("&amp;TEXT(SUMPRODUCT(MAX((T_PlannedOrders[Part Name]=$A485)*(T_PlannedOrders[WeekIndex]=44)*(T_PlannedOrders[EffectiveQty]&gt;0)*T_PlannedOrders[Order_Month])),"m月")&amp;"発注)")</f>
        <v/>
      </c>
      <c r="AV503">
        <f>IF(SUMIFS(T_PlannedOrders[EffectiveQty],T_PlannedOrders[Part Name],$A485,T_PlannedOrders[WeekIndex],45)=0,"",SUMIFS(T_PlannedOrders[EffectiveQty],T_PlannedOrders[Part Name],$A485,T_PlannedOrders[WeekIndex],45)&amp;" ("&amp;TEXT(SUMPRODUCT(MAX((T_PlannedOrders[Part Name]=$A485)*(T_PlannedOrders[WeekIndex]=45)*(T_PlannedOrders[EffectiveQty]&gt;0)*T_PlannedOrders[Order_Month])),"m月")&amp;"発注)")</f>
        <v/>
      </c>
      <c r="AW503">
        <f>IF(SUMIFS(T_PlannedOrders[EffectiveQty],T_PlannedOrders[Part Name],$A485,T_PlannedOrders[WeekIndex],46)=0,"",SUMIFS(T_PlannedOrders[EffectiveQty],T_PlannedOrders[Part Name],$A485,T_PlannedOrders[WeekIndex],46)&amp;" ("&amp;TEXT(SUMPRODUCT(MAX((T_PlannedOrders[Part Name]=$A485)*(T_PlannedOrders[WeekIndex]=46)*(T_PlannedOrders[EffectiveQty]&gt;0)*T_PlannedOrders[Order_Month])),"m月")&amp;"発注)")</f>
        <v/>
      </c>
      <c r="AX503">
        <f>IF(SUMIFS(T_PlannedOrders[EffectiveQty],T_PlannedOrders[Part Name],$A485,T_PlannedOrders[WeekIndex],47)=0,"",SUMIFS(T_PlannedOrders[EffectiveQty],T_PlannedOrders[Part Name],$A485,T_PlannedOrders[WeekIndex],47)&amp;" ("&amp;TEXT(SUMPRODUCT(MAX((T_PlannedOrders[Part Name]=$A485)*(T_PlannedOrders[WeekIndex]=47)*(T_PlannedOrders[EffectiveQty]&gt;0)*T_PlannedOrders[Order_Month])),"m月")&amp;"発注)")</f>
        <v/>
      </c>
      <c r="AY503">
        <f>IF(SUMIFS(T_PlannedOrders[EffectiveQty],T_PlannedOrders[Part Name],$A485,T_PlannedOrders[WeekIndex],48)=0,"",SUMIFS(T_PlannedOrders[EffectiveQty],T_PlannedOrders[Part Name],$A485,T_PlannedOrders[WeekIndex],48)&amp;" ("&amp;TEXT(SUMPRODUCT(MAX((T_PlannedOrders[Part Name]=$A485)*(T_PlannedOrders[WeekIndex]=48)*(T_PlannedOrders[EffectiveQty]&gt;0)*T_PlannedOrders[Order_Month])),"m月")&amp;"発注)")</f>
        <v/>
      </c>
      <c r="AZ503">
        <f>IF(SUMIFS(T_PlannedOrders[EffectiveQty],T_PlannedOrders[Part Name],$A485,T_PlannedOrders[WeekIndex],49)=0,"",SUMIFS(T_PlannedOrders[EffectiveQty],T_PlannedOrders[Part Name],$A485,T_PlannedOrders[WeekIndex],49)&amp;" ("&amp;TEXT(SUMPRODUCT(MAX((T_PlannedOrders[Part Name]=$A485)*(T_PlannedOrders[WeekIndex]=49)*(T_PlannedOrders[EffectiveQty]&gt;0)*T_PlannedOrders[Order_Month])),"m月")&amp;"発注)")</f>
        <v/>
      </c>
      <c r="BA503">
        <f>IF(SUMIFS(T_PlannedOrders[EffectiveQty],T_PlannedOrders[Part Name],$A485,T_PlannedOrders[WeekIndex],50)=0,"",SUMIFS(T_PlannedOrders[EffectiveQty],T_PlannedOrders[Part Name],$A485,T_PlannedOrders[WeekIndex],50)&amp;" ("&amp;TEXT(SUMPRODUCT(MAX((T_PlannedOrders[Part Name]=$A485)*(T_PlannedOrders[WeekIndex]=50)*(T_PlannedOrders[EffectiveQty]&gt;0)*T_PlannedOrders[Order_Month])),"m月")&amp;"発注)")</f>
        <v/>
      </c>
      <c r="BB503">
        <f>IF(SUMIFS(T_PlannedOrders[EffectiveQty],T_PlannedOrders[Part Name],$A485,T_PlannedOrders[WeekIndex],51)=0,"",SUMIFS(T_PlannedOrders[EffectiveQty],T_PlannedOrders[Part Name],$A485,T_PlannedOrders[WeekIndex],51)&amp;" ("&amp;TEXT(SUMPRODUCT(MAX((T_PlannedOrders[Part Name]=$A485)*(T_PlannedOrders[WeekIndex]=51)*(T_PlannedOrders[EffectiveQty]&gt;0)*T_PlannedOrders[Order_Month])),"m月")&amp;"発注)")</f>
        <v/>
      </c>
      <c r="BC503">
        <f>IF(SUMIFS(T_PlannedOrders[EffectiveQty],T_PlannedOrders[Part Name],$A485,T_PlannedOrders[WeekIndex],52)=0,"",SUMIFS(T_PlannedOrders[EffectiveQty],T_PlannedOrders[Part Name],$A485,T_PlannedOrders[WeekIndex],52)&amp;" ("&amp;TEXT(SUMPRODUCT(MAX((T_PlannedOrders[Part Name]=$A485)*(T_PlannedOrders[WeekIndex]=52)*(T_PlannedOrders[EffectiveQty]&gt;0)*T_PlannedOrders[Order_Month])),"m月")&amp;"発注)")</f>
        <v/>
      </c>
      <c r="BD503">
        <f>IF(SUMIFS(T_PlannedOrders[EffectiveQty],T_PlannedOrders[Part Name],$A485,T_PlannedOrders[WeekIndex],53)=0,"",SUMIFS(T_PlannedOrders[EffectiveQty],T_PlannedOrders[Part Name],$A485,T_PlannedOrders[WeekIndex],53)&amp;" ("&amp;TEXT(SUMPRODUCT(MAX((T_PlannedOrders[Part Name]=$A485)*(T_PlannedOrders[WeekIndex]=53)*(T_PlannedOrders[EffectiveQty]&gt;0)*T_PlannedOrders[Order_Month])),"m月")&amp;"発注)")</f>
        <v/>
      </c>
      <c r="BE503">
        <f>IF(SUMIFS(T_PlannedOrders[EffectiveQty],T_PlannedOrders[Part Name],$A485,T_PlannedOrders[WeekIndex],54)=0,"",SUMIFS(T_PlannedOrders[EffectiveQty],T_PlannedOrders[Part Name],$A485,T_PlannedOrders[WeekIndex],54)&amp;" ("&amp;TEXT(SUMPRODUCT(MAX((T_PlannedOrders[Part Name]=$A485)*(T_PlannedOrders[WeekIndex]=54)*(T_PlannedOrders[EffectiveQty]&gt;0)*T_PlannedOrders[Order_Month])),"m月")&amp;"発注)")</f>
        <v/>
      </c>
      <c r="BF503">
        <f>IF(SUMIFS(T_PlannedOrders[EffectiveQty],T_PlannedOrders[Part Name],$A485,T_PlannedOrders[WeekIndex],55)=0,"",SUMIFS(T_PlannedOrders[EffectiveQty],T_PlannedOrders[Part Name],$A485,T_PlannedOrders[WeekIndex],55)&amp;" ("&amp;TEXT(SUMPRODUCT(MAX((T_PlannedOrders[Part Name]=$A485)*(T_PlannedOrders[WeekIndex]=55)*(T_PlannedOrders[EffectiveQty]&gt;0)*T_PlannedOrders[Order_Month])),"m月")&amp;"発注)")</f>
        <v/>
      </c>
      <c r="BG503">
        <f>IF(SUMIFS(T_PlannedOrders[EffectiveQty],T_PlannedOrders[Part Name],$A485,T_PlannedOrders[WeekIndex],56)=0,"",SUMIFS(T_PlannedOrders[EffectiveQty],T_PlannedOrders[Part Name],$A485,T_PlannedOrders[WeekIndex],56)&amp;" ("&amp;TEXT(SUMPRODUCT(MAX((T_PlannedOrders[Part Name]=$A485)*(T_PlannedOrders[WeekIndex]=56)*(T_PlannedOrders[EffectiveQty]&gt;0)*T_PlannedOrders[Order_Month])),"m月")&amp;"発注)")</f>
        <v/>
      </c>
      <c r="BH503">
        <f>IF(SUMIFS(T_PlannedOrders[EffectiveQty],T_PlannedOrders[Part Name],$A485,T_PlannedOrders[WeekIndex],57)=0,"",SUMIFS(T_PlannedOrders[EffectiveQty],T_PlannedOrders[Part Name],$A485,T_PlannedOrders[WeekIndex],57)&amp;" ("&amp;TEXT(SUMPRODUCT(MAX((T_PlannedOrders[Part Name]=$A485)*(T_PlannedOrders[WeekIndex]=57)*(T_PlannedOrders[EffectiveQty]&gt;0)*T_PlannedOrders[Order_Month])),"m月")&amp;"発注)")</f>
        <v/>
      </c>
      <c r="BI503">
        <f>IF(SUMIFS(T_PlannedOrders[EffectiveQty],T_PlannedOrders[Part Name],$A485,T_PlannedOrders[WeekIndex],58)=0,"",SUMIFS(T_PlannedOrders[EffectiveQty],T_PlannedOrders[Part Name],$A485,T_PlannedOrders[WeekIndex],58)&amp;" ("&amp;TEXT(SUMPRODUCT(MAX((T_PlannedOrders[Part Name]=$A485)*(T_PlannedOrders[WeekIndex]=58)*(T_PlannedOrders[EffectiveQty]&gt;0)*T_PlannedOrders[Order_Month])),"m月")&amp;"発注)")</f>
        <v/>
      </c>
      <c r="BJ503">
        <f>IF(SUMIFS(T_PlannedOrders[EffectiveQty],T_PlannedOrders[Part Name],$A485,T_PlannedOrders[WeekIndex],59)=0,"",SUMIFS(T_PlannedOrders[EffectiveQty],T_PlannedOrders[Part Name],$A485,T_PlannedOrders[WeekIndex],59)&amp;" ("&amp;TEXT(SUMPRODUCT(MAX((T_PlannedOrders[Part Name]=$A485)*(T_PlannedOrders[WeekIndex]=59)*(T_PlannedOrders[EffectiveQty]&gt;0)*T_PlannedOrders[Order_Month])),"m月")&amp;"発注)")</f>
        <v/>
      </c>
      <c r="BK503">
        <f>IF(SUMIFS(T_PlannedOrders[EffectiveQty],T_PlannedOrders[Part Name],$A485,T_PlannedOrders[WeekIndex],60)=0,"",SUMIFS(T_PlannedOrders[EffectiveQty],T_PlannedOrders[Part Name],$A485,T_PlannedOrders[WeekIndex],60)&amp;" ("&amp;TEXT(SUMPRODUCT(MAX((T_PlannedOrders[Part Name]=$A485)*(T_PlannedOrders[WeekIndex]=60)*(T_PlannedOrders[EffectiveQty]&gt;0)*T_PlannedOrders[Order_Month])),"m月")&amp;"発注)")</f>
        <v/>
      </c>
      <c r="BL503">
        <f>IF(SUMIFS(T_PlannedOrders[EffectiveQty],T_PlannedOrders[Part Name],$A485,T_PlannedOrders[WeekIndex],61)=0,"",SUMIFS(T_PlannedOrders[EffectiveQty],T_PlannedOrders[Part Name],$A485,T_PlannedOrders[WeekIndex],61)&amp;" ("&amp;TEXT(SUMPRODUCT(MAX((T_PlannedOrders[Part Name]=$A485)*(T_PlannedOrders[WeekIndex]=61)*(T_PlannedOrders[EffectiveQty]&gt;0)*T_PlannedOrders[Order_Month])),"m月")&amp;"発注)")</f>
        <v/>
      </c>
      <c r="BM503">
        <f>IF(SUMIFS(T_PlannedOrders[EffectiveQty],T_PlannedOrders[Part Name],$A485,T_PlannedOrders[WeekIndex],62)=0,"",SUMIFS(T_PlannedOrders[EffectiveQty],T_PlannedOrders[Part Name],$A485,T_PlannedOrders[WeekIndex],62)&amp;" ("&amp;TEXT(SUMPRODUCT(MAX((T_PlannedOrders[Part Name]=$A485)*(T_PlannedOrders[WeekIndex]=62)*(T_PlannedOrders[EffectiveQty]&gt;0)*T_PlannedOrders[Order_Month])),"m月")&amp;"発注)")</f>
        <v/>
      </c>
      <c r="BN503">
        <f>IF(SUMIFS(T_PlannedOrders[EffectiveQty],T_PlannedOrders[Part Name],$A485,T_PlannedOrders[WeekIndex],63)=0,"",SUMIFS(T_PlannedOrders[EffectiveQty],T_PlannedOrders[Part Name],$A485,T_PlannedOrders[WeekIndex],63)&amp;" ("&amp;TEXT(SUMPRODUCT(MAX((T_PlannedOrders[Part Name]=$A485)*(T_PlannedOrders[WeekIndex]=63)*(T_PlannedOrders[EffectiveQty]&gt;0)*T_PlannedOrders[Order_Month])),"m月")&amp;"発注)")</f>
        <v/>
      </c>
      <c r="BO503">
        <f>IF(SUMIFS(T_PlannedOrders[EffectiveQty],T_PlannedOrders[Part Name],$A485,T_PlannedOrders[WeekIndex],64)=0,"",SUMIFS(T_PlannedOrders[EffectiveQty],T_PlannedOrders[Part Name],$A485,T_PlannedOrders[WeekIndex],64)&amp;" ("&amp;TEXT(SUMPRODUCT(MAX((T_PlannedOrders[Part Name]=$A485)*(T_PlannedOrders[WeekIndex]=64)*(T_PlannedOrders[EffectiveQty]&gt;0)*T_PlannedOrders[Order_Month])),"m月")&amp;"発注)")</f>
        <v/>
      </c>
      <c r="BP503">
        <f>IF(SUMIFS(T_PlannedOrders[EffectiveQty],T_PlannedOrders[Part Name],$A485,T_PlannedOrders[WeekIndex],65)=0,"",SUMIFS(T_PlannedOrders[EffectiveQty],T_PlannedOrders[Part Name],$A485,T_PlannedOrders[WeekIndex],65)&amp;" ("&amp;TEXT(SUMPRODUCT(MAX((T_PlannedOrders[Part Name]=$A485)*(T_PlannedOrders[WeekIndex]=65)*(T_PlannedOrders[EffectiveQty]&gt;0)*T_PlannedOrders[Order_Month])),"m月")&amp;"発注)")</f>
        <v/>
      </c>
      <c r="BQ503">
        <f>IF(SUMIFS(T_PlannedOrders[EffectiveQty],T_PlannedOrders[Part Name],$A485,T_PlannedOrders[WeekIndex],66)=0,"",SUMIFS(T_PlannedOrders[EffectiveQty],T_PlannedOrders[Part Name],$A485,T_PlannedOrders[WeekIndex],66)&amp;" ("&amp;TEXT(SUMPRODUCT(MAX((T_PlannedOrders[Part Name]=$A485)*(T_PlannedOrders[WeekIndex]=66)*(T_PlannedOrders[EffectiveQty]&gt;0)*T_PlannedOrders[Order_Month])),"m月")&amp;"発注)")</f>
        <v/>
      </c>
      <c r="BR503">
        <f>IF(SUMIFS(T_PlannedOrders[EffectiveQty],T_PlannedOrders[Part Name],$A485,T_PlannedOrders[WeekIndex],67)=0,"",SUMIFS(T_PlannedOrders[EffectiveQty],T_PlannedOrders[Part Name],$A485,T_PlannedOrders[WeekIndex],67)&amp;" ("&amp;TEXT(SUMPRODUCT(MAX((T_PlannedOrders[Part Name]=$A485)*(T_PlannedOrders[WeekIndex]=67)*(T_PlannedOrders[EffectiveQty]&gt;0)*T_PlannedOrders[Order_Month])),"m月")&amp;"発注)")</f>
        <v/>
      </c>
      <c r="BS503">
        <f>IF(SUMIFS(T_PlannedOrders[EffectiveQty],T_PlannedOrders[Part Name],$A485,T_PlannedOrders[WeekIndex],68)=0,"",SUMIFS(T_PlannedOrders[EffectiveQty],T_PlannedOrders[Part Name],$A485,T_PlannedOrders[WeekIndex],68)&amp;" ("&amp;TEXT(SUMPRODUCT(MAX((T_PlannedOrders[Part Name]=$A485)*(T_PlannedOrders[WeekIndex]=68)*(T_PlannedOrders[EffectiveQty]&gt;0)*T_PlannedOrders[Order_Month])),"m月")&amp;"発注)")</f>
        <v/>
      </c>
      <c r="BT503">
        <f>IF(SUMIFS(T_PlannedOrders[EffectiveQty],T_PlannedOrders[Part Name],$A485,T_PlannedOrders[WeekIndex],69)=0,"",SUMIFS(T_PlannedOrders[EffectiveQty],T_PlannedOrders[Part Name],$A485,T_PlannedOrders[WeekIndex],69)&amp;" ("&amp;TEXT(SUMPRODUCT(MAX((T_PlannedOrders[Part Name]=$A485)*(T_PlannedOrders[WeekIndex]=69)*(T_PlannedOrders[EffectiveQty]&gt;0)*T_PlannedOrders[Order_Month])),"m月")&amp;"発注)")</f>
        <v/>
      </c>
      <c r="BU503">
        <f>IF(SUMIFS(T_PlannedOrders[EffectiveQty],T_PlannedOrders[Part Name],$A485,T_PlannedOrders[WeekIndex],70)=0,"",SUMIFS(T_PlannedOrders[EffectiveQty],T_PlannedOrders[Part Name],$A485,T_PlannedOrders[WeekIndex],70)&amp;" ("&amp;TEXT(SUMPRODUCT(MAX((T_PlannedOrders[Part Name]=$A485)*(T_PlannedOrders[WeekIndex]=70)*(T_PlannedOrders[EffectiveQty]&gt;0)*T_PlannedOrders[Order_Month])),"m月")&amp;"発注)")</f>
        <v/>
      </c>
      <c r="BV503">
        <f>IF(SUMIFS(T_PlannedOrders[EffectiveQty],T_PlannedOrders[Part Name],$A485,T_PlannedOrders[WeekIndex],71)=0,"",SUMIFS(T_PlannedOrders[EffectiveQty],T_PlannedOrders[Part Name],$A485,T_PlannedOrders[WeekIndex],71)&amp;" ("&amp;TEXT(SUMPRODUCT(MAX((T_PlannedOrders[Part Name]=$A485)*(T_PlannedOrders[WeekIndex]=71)*(T_PlannedOrders[EffectiveQty]&gt;0)*T_PlannedOrders[Order_Month])),"m月")&amp;"発注)")</f>
        <v/>
      </c>
      <c r="BW503">
        <f>IF(SUMIFS(T_PlannedOrders[EffectiveQty],T_PlannedOrders[Part Name],$A485,T_PlannedOrders[WeekIndex],72)=0,"",SUMIFS(T_PlannedOrders[EffectiveQty],T_PlannedOrders[Part Name],$A485,T_PlannedOrders[WeekIndex],72)&amp;" ("&amp;TEXT(SUMPRODUCT(MAX((T_PlannedOrders[Part Name]=$A485)*(T_PlannedOrders[WeekIndex]=72)*(T_PlannedOrders[EffectiveQty]&gt;0)*T_PlannedOrders[Order_Month])),"m月")&amp;"発注)")</f>
        <v/>
      </c>
      <c r="BX503">
        <f>IF(SUMIFS(T_PlannedOrders[EffectiveQty],T_PlannedOrders[Part Name],$A485,T_PlannedOrders[WeekIndex],73)=0,"",SUMIFS(T_PlannedOrders[EffectiveQty],T_PlannedOrders[Part Name],$A485,T_PlannedOrders[WeekIndex],73)&amp;" ("&amp;TEXT(SUMPRODUCT(MAX((T_PlannedOrders[Part Name]=$A485)*(T_PlannedOrders[WeekIndex]=73)*(T_PlannedOrders[EffectiveQty]&gt;0)*T_PlannedOrders[Order_Month])),"m月")&amp;"発注)")</f>
        <v/>
      </c>
      <c r="BY503">
        <f>IF(SUMIFS(T_PlannedOrders[EffectiveQty],T_PlannedOrders[Part Name],$A485,T_PlannedOrders[WeekIndex],74)=0,"",SUMIFS(T_PlannedOrders[EffectiveQty],T_PlannedOrders[Part Name],$A485,T_PlannedOrders[WeekIndex],74)&amp;" ("&amp;TEXT(SUMPRODUCT(MAX((T_PlannedOrders[Part Name]=$A485)*(T_PlannedOrders[WeekIndex]=74)*(T_PlannedOrders[EffectiveQty]&gt;0)*T_PlannedOrders[Order_Month])),"m月")&amp;"発注)")</f>
        <v/>
      </c>
      <c r="BZ503">
        <f>IF(SUMIFS(T_PlannedOrders[EffectiveQty],T_PlannedOrders[Part Name],$A485,T_PlannedOrders[WeekIndex],75)=0,"",SUMIFS(T_PlannedOrders[EffectiveQty],T_PlannedOrders[Part Name],$A485,T_PlannedOrders[WeekIndex],75)&amp;" ("&amp;TEXT(SUMPRODUCT(MAX((T_PlannedOrders[Part Name]=$A485)*(T_PlannedOrders[WeekIndex]=75)*(T_PlannedOrders[EffectiveQty]&gt;0)*T_PlannedOrders[Order_Month])),"m月")&amp;"発注)")</f>
        <v/>
      </c>
      <c r="CA503">
        <f>IF(SUMIFS(T_PlannedOrders[EffectiveQty],T_PlannedOrders[Part Name],$A485,T_PlannedOrders[WeekIndex],76)=0,"",SUMIFS(T_PlannedOrders[EffectiveQty],T_PlannedOrders[Part Name],$A485,T_PlannedOrders[WeekIndex],76)&amp;" ("&amp;TEXT(SUMPRODUCT(MAX((T_PlannedOrders[Part Name]=$A485)*(T_PlannedOrders[WeekIndex]=76)*(T_PlannedOrders[EffectiveQty]&gt;0)*T_PlannedOrders[Order_Month])),"m月")&amp;"発注)")</f>
        <v/>
      </c>
      <c r="CB503">
        <f>IF(SUMIFS(T_PlannedOrders[EffectiveQty],T_PlannedOrders[Part Name],$A485,T_PlannedOrders[WeekIndex],77)=0,"",SUMIFS(T_PlannedOrders[EffectiveQty],T_PlannedOrders[Part Name],$A485,T_PlannedOrders[WeekIndex],77)&amp;" ("&amp;TEXT(SUMPRODUCT(MAX((T_PlannedOrders[Part Name]=$A485)*(T_PlannedOrders[WeekIndex]=77)*(T_PlannedOrders[EffectiveQty]&gt;0)*T_PlannedOrders[Order_Month])),"m月")&amp;"発注)")</f>
        <v/>
      </c>
      <c r="CC503">
        <f>IF(SUMIFS(T_PlannedOrders[EffectiveQty],T_PlannedOrders[Part Name],$A485,T_PlannedOrders[WeekIndex],78)=0,"",SUMIFS(T_PlannedOrders[EffectiveQty],T_PlannedOrders[Part Name],$A485,T_PlannedOrders[WeekIndex],78)&amp;" ("&amp;TEXT(SUMPRODUCT(MAX((T_PlannedOrders[Part Name]=$A485)*(T_PlannedOrders[WeekIndex]=78)*(T_PlannedOrders[EffectiveQty]&gt;0)*T_PlannedOrders[Order_Month])),"m月")&amp;"発注)")</f>
        <v/>
      </c>
      <c r="CD503">
        <f>IF(SUMIFS(T_PlannedOrders[EffectiveQty],T_PlannedOrders[Part Name],$A485,T_PlannedOrders[WeekIndex],79)=0,"",SUMIFS(T_PlannedOrders[EffectiveQty],T_PlannedOrders[Part Name],$A485,T_PlannedOrders[WeekIndex],79)&amp;" ("&amp;TEXT(SUMPRODUCT(MAX((T_PlannedOrders[Part Name]=$A485)*(T_PlannedOrders[WeekIndex]=79)*(T_PlannedOrders[EffectiveQty]&gt;0)*T_PlannedOrders[Order_Month])),"m月")&amp;"発注)")</f>
        <v/>
      </c>
      <c r="CE503">
        <f>IF(SUMIFS(T_PlannedOrders[EffectiveQty],T_PlannedOrders[Part Name],$A485,T_PlannedOrders[WeekIndex],80)=0,"",SUMIFS(T_PlannedOrders[EffectiveQty],T_PlannedOrders[Part Name],$A485,T_PlannedOrders[WeekIndex],80)&amp;" ("&amp;TEXT(SUMPRODUCT(MAX((T_PlannedOrders[Part Name]=$A485)*(T_PlannedOrders[WeekIndex]=80)*(T_PlannedOrders[EffectiveQty]&gt;0)*T_PlannedOrders[Order_Month])),"m月")&amp;"発注)")</f>
        <v/>
      </c>
      <c r="CF503">
        <f>IF(SUMIFS(T_PlannedOrders[EffectiveQty],T_PlannedOrders[Part Name],$A485,T_PlannedOrders[WeekIndex],81)=0,"",SUMIFS(T_PlannedOrders[EffectiveQty],T_PlannedOrders[Part Name],$A485,T_PlannedOrders[WeekIndex],81)&amp;" ("&amp;TEXT(SUMPRODUCT(MAX((T_PlannedOrders[Part Name]=$A485)*(T_PlannedOrders[WeekIndex]=81)*(T_PlannedOrders[EffectiveQty]&gt;0)*T_PlannedOrders[Order_Month])),"m月")&amp;"発注)")</f>
        <v/>
      </c>
      <c r="CG503">
        <f>IF(SUMIFS(T_PlannedOrders[EffectiveQty],T_PlannedOrders[Part Name],$A485,T_PlannedOrders[WeekIndex],82)=0,"",SUMIFS(T_PlannedOrders[EffectiveQty],T_PlannedOrders[Part Name],$A485,T_PlannedOrders[WeekIndex],82)&amp;" ("&amp;TEXT(SUMPRODUCT(MAX((T_PlannedOrders[Part Name]=$A485)*(T_PlannedOrders[WeekIndex]=82)*(T_PlannedOrders[EffectiveQty]&gt;0)*T_PlannedOrders[Order_Month])),"m月")&amp;"発注)")</f>
        <v/>
      </c>
      <c r="CH503">
        <f>IF(SUMIFS(T_PlannedOrders[EffectiveQty],T_PlannedOrders[Part Name],$A485,T_PlannedOrders[WeekIndex],83)=0,"",SUMIFS(T_PlannedOrders[EffectiveQty],T_PlannedOrders[Part Name],$A485,T_PlannedOrders[WeekIndex],83)&amp;" ("&amp;TEXT(SUMPRODUCT(MAX((T_PlannedOrders[Part Name]=$A485)*(T_PlannedOrders[WeekIndex]=83)*(T_PlannedOrders[EffectiveQty]&gt;0)*T_PlannedOrders[Order_Month])),"m月")&amp;"発注)")</f>
        <v/>
      </c>
      <c r="CI503">
        <f>IF(SUMIFS(T_PlannedOrders[EffectiveQty],T_PlannedOrders[Part Name],$A485,T_PlannedOrders[WeekIndex],84)=0,"",SUMIFS(T_PlannedOrders[EffectiveQty],T_PlannedOrders[Part Name],$A485,T_PlannedOrders[WeekIndex],84)&amp;" ("&amp;TEXT(SUMPRODUCT(MAX((T_PlannedOrders[Part Name]=$A485)*(T_PlannedOrders[WeekIndex]=84)*(T_PlannedOrders[EffectiveQty]&gt;0)*T_PlannedOrders[Order_Month])),"m月")&amp;"発注)")</f>
        <v/>
      </c>
      <c r="CJ503">
        <f>IF(SUMIFS(T_PlannedOrders[EffectiveQty],T_PlannedOrders[Part Name],$A485,T_PlannedOrders[WeekIndex],85)=0,"",SUMIFS(T_PlannedOrders[EffectiveQty],T_PlannedOrders[Part Name],$A485,T_PlannedOrders[WeekIndex],85)&amp;" ("&amp;TEXT(SUMPRODUCT(MAX((T_PlannedOrders[Part Name]=$A485)*(T_PlannedOrders[WeekIndex]=85)*(T_PlannedOrders[EffectiveQty]&gt;0)*T_PlannedOrders[Order_Month])),"m月")&amp;"発注)")</f>
        <v/>
      </c>
      <c r="CK503">
        <f>IF(SUMIFS(T_PlannedOrders[EffectiveQty],T_PlannedOrders[Part Name],$A485,T_PlannedOrders[WeekIndex],86)=0,"",SUMIFS(T_PlannedOrders[EffectiveQty],T_PlannedOrders[Part Name],$A485,T_PlannedOrders[WeekIndex],86)&amp;" ("&amp;TEXT(SUMPRODUCT(MAX((T_PlannedOrders[Part Name]=$A485)*(T_PlannedOrders[WeekIndex]=86)*(T_PlannedOrders[EffectiveQty]&gt;0)*T_PlannedOrders[Order_Month])),"m月")&amp;"発注)")</f>
        <v/>
      </c>
      <c r="CL503">
        <f>IF(SUMIFS(T_PlannedOrders[EffectiveQty],T_PlannedOrders[Part Name],$A485,T_PlannedOrders[WeekIndex],87)=0,"",SUMIFS(T_PlannedOrders[EffectiveQty],T_PlannedOrders[Part Name],$A485,T_PlannedOrders[WeekIndex],87)&amp;" ("&amp;TEXT(SUMPRODUCT(MAX((T_PlannedOrders[Part Name]=$A485)*(T_PlannedOrders[WeekIndex]=87)*(T_PlannedOrders[EffectiveQty]&gt;0)*T_PlannedOrders[Order_Month])),"m月")&amp;"発注)")</f>
        <v/>
      </c>
      <c r="CM503">
        <f>IF(SUMIFS(T_PlannedOrders[EffectiveQty],T_PlannedOrders[Part Name],$A485,T_PlannedOrders[WeekIndex],88)=0,"",SUMIFS(T_PlannedOrders[EffectiveQty],T_PlannedOrders[Part Name],$A485,T_PlannedOrders[WeekIndex],88)&amp;" ("&amp;TEXT(SUMPRODUCT(MAX((T_PlannedOrders[Part Name]=$A485)*(T_PlannedOrders[WeekIndex]=88)*(T_PlannedOrders[EffectiveQty]&gt;0)*T_PlannedOrders[Order_Month])),"m月")&amp;"発注)")</f>
        <v/>
      </c>
      <c r="CN503">
        <f>IF(SUMIFS(T_PlannedOrders[EffectiveQty],T_PlannedOrders[Part Name],$A485,T_PlannedOrders[WeekIndex],89)=0,"",SUMIFS(T_PlannedOrders[EffectiveQty],T_PlannedOrders[Part Name],$A485,T_PlannedOrders[WeekIndex],89)&amp;" ("&amp;TEXT(SUMPRODUCT(MAX((T_PlannedOrders[Part Name]=$A485)*(T_PlannedOrders[WeekIndex]=89)*(T_PlannedOrders[EffectiveQty]&gt;0)*T_PlannedOrders[Order_Month])),"m月")&amp;"発注)")</f>
        <v/>
      </c>
      <c r="CO503">
        <f>IF(SUMIFS(T_PlannedOrders[EffectiveQty],T_PlannedOrders[Part Name],$A485,T_PlannedOrders[WeekIndex],90)=0,"",SUMIFS(T_PlannedOrders[EffectiveQty],T_PlannedOrders[Part Name],$A485,T_PlannedOrders[WeekIndex],90)&amp;" ("&amp;TEXT(SUMPRODUCT(MAX((T_PlannedOrders[Part Name]=$A485)*(T_PlannedOrders[WeekIndex]=90)*(T_PlannedOrders[EffectiveQty]&gt;0)*T_PlannedOrders[Order_Month])),"m月")&amp;"発注)")</f>
        <v/>
      </c>
      <c r="CP503">
        <f>IF(SUMIFS(T_PlannedOrders[EffectiveQty],T_PlannedOrders[Part Name],$A485,T_PlannedOrders[WeekIndex],91)=0,"",SUMIFS(T_PlannedOrders[EffectiveQty],T_PlannedOrders[Part Name],$A485,T_PlannedOrders[WeekIndex],91)&amp;" ("&amp;TEXT(SUMPRODUCT(MAX((T_PlannedOrders[Part Name]=$A485)*(T_PlannedOrders[WeekIndex]=91)*(T_PlannedOrders[EffectiveQty]&gt;0)*T_PlannedOrders[Order_Month])),"m月")&amp;"発注)")</f>
        <v/>
      </c>
      <c r="CQ503">
        <f>IF(SUMIFS(T_PlannedOrders[EffectiveQty],T_PlannedOrders[Part Name],$A485,T_PlannedOrders[WeekIndex],92)=0,"",SUMIFS(T_PlannedOrders[EffectiveQty],T_PlannedOrders[Part Name],$A485,T_PlannedOrders[WeekIndex],92)&amp;" ("&amp;TEXT(SUMPRODUCT(MAX((T_PlannedOrders[Part Name]=$A485)*(T_PlannedOrders[WeekIndex]=92)*(T_PlannedOrders[EffectiveQty]&gt;0)*T_PlannedOrders[Order_Month])),"m月")&amp;"発注)")</f>
        <v/>
      </c>
      <c r="CR503">
        <f>IF(SUMIFS(T_PlannedOrders[EffectiveQty],T_PlannedOrders[Part Name],$A485,T_PlannedOrders[WeekIndex],93)=0,"",SUMIFS(T_PlannedOrders[EffectiveQty],T_PlannedOrders[Part Name],$A485,T_PlannedOrders[WeekIndex],93)&amp;" ("&amp;TEXT(SUMPRODUCT(MAX((T_PlannedOrders[Part Name]=$A485)*(T_PlannedOrders[WeekIndex]=93)*(T_PlannedOrders[EffectiveQty]&gt;0)*T_PlannedOrders[Order_Month])),"m月")&amp;"発注)")</f>
        <v/>
      </c>
      <c r="CS503">
        <f>IF(SUMIFS(T_PlannedOrders[EffectiveQty],T_PlannedOrders[Part Name],$A485,T_PlannedOrders[WeekIndex],94)=0,"",SUMIFS(T_PlannedOrders[EffectiveQty],T_PlannedOrders[Part Name],$A485,T_PlannedOrders[WeekIndex],94)&amp;" ("&amp;TEXT(SUMPRODUCT(MAX((T_PlannedOrders[Part Name]=$A485)*(T_PlannedOrders[WeekIndex]=94)*(T_PlannedOrders[EffectiveQty]&gt;0)*T_PlannedOrders[Order_Month])),"m月")&amp;"発注)")</f>
        <v/>
      </c>
      <c r="CT503">
        <f>IF(SUMIFS(T_PlannedOrders[EffectiveQty],T_PlannedOrders[Part Name],$A485,T_PlannedOrders[WeekIndex],95)=0,"",SUMIFS(T_PlannedOrders[EffectiveQty],T_PlannedOrders[Part Name],$A485,T_PlannedOrders[WeekIndex],95)&amp;" ("&amp;TEXT(SUMPRODUCT(MAX((T_PlannedOrders[Part Name]=$A485)*(T_PlannedOrders[WeekIndex]=95)*(T_PlannedOrders[EffectiveQty]&gt;0)*T_PlannedOrders[Order_Month])),"m月")&amp;"発注)")</f>
        <v/>
      </c>
      <c r="CU503">
        <f>IF(SUMIFS(T_PlannedOrders[EffectiveQty],T_PlannedOrders[Part Name],$A485,T_PlannedOrders[WeekIndex],96)=0,"",SUMIFS(T_PlannedOrders[EffectiveQty],T_PlannedOrders[Part Name],$A485,T_PlannedOrders[WeekIndex],96)&amp;" ("&amp;TEXT(SUMPRODUCT(MAX((T_PlannedOrders[Part Name]=$A485)*(T_PlannedOrders[WeekIndex]=96)*(T_PlannedOrders[EffectiveQty]&gt;0)*T_PlannedOrders[Order_Month])),"m月")&amp;"発注)")</f>
        <v/>
      </c>
      <c r="CV503">
        <f>IF(SUMIFS(T_PlannedOrders[EffectiveQty],T_PlannedOrders[Part Name],$A485,T_PlannedOrders[WeekIndex],97)=0,"",SUMIFS(T_PlannedOrders[EffectiveQty],T_PlannedOrders[Part Name],$A485,T_PlannedOrders[WeekIndex],97)&amp;" ("&amp;TEXT(SUMPRODUCT(MAX((T_PlannedOrders[Part Name]=$A485)*(T_PlannedOrders[WeekIndex]=97)*(T_PlannedOrders[EffectiveQty]&gt;0)*T_PlannedOrders[Order_Month])),"m月")&amp;"発注)")</f>
        <v/>
      </c>
      <c r="CW503">
        <f>IF(SUMIFS(T_PlannedOrders[EffectiveQty],T_PlannedOrders[Part Name],$A485,T_PlannedOrders[WeekIndex],98)=0,"",SUMIFS(T_PlannedOrders[EffectiveQty],T_PlannedOrders[Part Name],$A485,T_PlannedOrders[WeekIndex],98)&amp;" ("&amp;TEXT(SUMPRODUCT(MAX((T_PlannedOrders[Part Name]=$A485)*(T_PlannedOrders[WeekIndex]=98)*(T_PlannedOrders[EffectiveQty]&gt;0)*T_PlannedOrders[Order_Month])),"m月")&amp;"発注)")</f>
        <v/>
      </c>
      <c r="CX503">
        <f>IF(SUMIFS(T_PlannedOrders[EffectiveQty],T_PlannedOrders[Part Name],$A485,T_PlannedOrders[WeekIndex],99)=0,"",SUMIFS(T_PlannedOrders[EffectiveQty],T_PlannedOrders[Part Name],$A485,T_PlannedOrders[WeekIndex],99)&amp;" ("&amp;TEXT(SUMPRODUCT(MAX((T_PlannedOrders[Part Name]=$A485)*(T_PlannedOrders[WeekIndex]=99)*(T_PlannedOrders[EffectiveQty]&gt;0)*T_PlannedOrders[Order_Month])),"m月")&amp;"発注)")</f>
        <v/>
      </c>
      <c r="CY503">
        <f>IF(SUMIFS(T_PlannedOrders[EffectiveQty],T_PlannedOrders[Part Name],$A485,T_PlannedOrders[WeekIndex],100)=0,"",SUMIFS(T_PlannedOrders[EffectiveQty],T_PlannedOrders[Part Name],$A485,T_PlannedOrders[WeekIndex],100)&amp;" ("&amp;TEXT(SUMPRODUCT(MAX((T_PlannedOrders[Part Name]=$A485)*(T_PlannedOrders[WeekIndex]=100)*(T_PlannedOrders[EffectiveQty]&gt;0)*T_PlannedOrders[Order_Month])),"m月")&amp;"発注)")</f>
        <v/>
      </c>
      <c r="CZ503">
        <f>IF(SUMIFS(T_PlannedOrders[EffectiveQty],T_PlannedOrders[Part Name],$A485,T_PlannedOrders[WeekIndex],101)=0,"",SUMIFS(T_PlannedOrders[EffectiveQty],T_PlannedOrders[Part Name],$A485,T_PlannedOrders[WeekIndex],101)&amp;" ("&amp;TEXT(SUMPRODUCT(MAX((T_PlannedOrders[Part Name]=$A485)*(T_PlannedOrders[WeekIndex]=101)*(T_PlannedOrders[EffectiveQty]&gt;0)*T_PlannedOrders[Order_Month])),"m月")&amp;"発注)")</f>
        <v/>
      </c>
      <c r="DA503">
        <f>IF(SUMIFS(T_PlannedOrders[EffectiveQty],T_PlannedOrders[Part Name],$A485,T_PlannedOrders[WeekIndex],102)=0,"",SUMIFS(T_PlannedOrders[EffectiveQty],T_PlannedOrders[Part Name],$A485,T_PlannedOrders[WeekIndex],102)&amp;" ("&amp;TEXT(SUMPRODUCT(MAX((T_PlannedOrders[Part Name]=$A485)*(T_PlannedOrders[WeekIndex]=102)*(T_PlannedOrders[EffectiveQty]&gt;0)*T_PlannedOrders[Order_Month])),"m月")&amp;"発注)")</f>
        <v/>
      </c>
      <c r="DB503">
        <f>IF(SUMIFS(T_PlannedOrders[EffectiveQty],T_PlannedOrders[Part Name],$A485,T_PlannedOrders[WeekIndex],103)=0,"",SUMIFS(T_PlannedOrders[EffectiveQty],T_PlannedOrders[Part Name],$A485,T_PlannedOrders[WeekIndex],103)&amp;" ("&amp;TEXT(SUMPRODUCT(MAX((T_PlannedOrders[Part Name]=$A485)*(T_PlannedOrders[WeekIndex]=103)*(T_PlannedOrders[EffectiveQty]&gt;0)*T_PlannedOrders[Order_Month])),"m月")&amp;"発注)")</f>
        <v/>
      </c>
      <c r="DC503">
        <f>IF(SUMIFS(T_PlannedOrders[EffectiveQty],T_PlannedOrders[Part Name],$A485,T_PlannedOrders[WeekIndex],104)=0,"",SUMIFS(T_PlannedOrders[EffectiveQty],T_PlannedOrders[Part Name],$A485,T_PlannedOrders[WeekIndex],104)&amp;" ("&amp;TEXT(SUMPRODUCT(MAX((T_PlannedOrders[Part Name]=$A485)*(T_PlannedOrders[WeekIndex]=104)*(T_PlannedOrders[EffectiveQty]&gt;0)*T_PlannedOrders[Order_Month])),"m月")&amp;"発注)")</f>
        <v/>
      </c>
    </row>
    <row r="504">
      <c r="B504" s="4" t="inlineStr">
        <is>
          <t>合計在庫(週末時点,kg)</t>
        </is>
      </c>
      <c r="D504">
        <f>'Grid_Stock'!B3</f>
        <v/>
      </c>
      <c r="E504">
        <f>'Grid_Stock'!C3</f>
        <v/>
      </c>
      <c r="F504">
        <f>'Grid_Stock'!D3</f>
        <v/>
      </c>
      <c r="G504">
        <f>'Grid_Stock'!E3</f>
        <v/>
      </c>
      <c r="H504">
        <f>'Grid_Stock'!F3</f>
        <v/>
      </c>
      <c r="I504">
        <f>'Grid_Stock'!G3</f>
        <v/>
      </c>
      <c r="J504">
        <f>'Grid_Stock'!H3</f>
        <v/>
      </c>
      <c r="K504">
        <f>'Grid_Stock'!I3</f>
        <v/>
      </c>
      <c r="L504">
        <f>'Grid_Stock'!J3</f>
        <v/>
      </c>
      <c r="M504">
        <f>'Grid_Stock'!K3</f>
        <v/>
      </c>
      <c r="N504">
        <f>'Grid_Stock'!L3</f>
        <v/>
      </c>
      <c r="O504">
        <f>'Grid_Stock'!M3</f>
        <v/>
      </c>
      <c r="P504">
        <f>'Grid_Stock'!N3</f>
        <v/>
      </c>
      <c r="Q504">
        <f>'Grid_Stock'!O3</f>
        <v/>
      </c>
      <c r="R504">
        <f>'Grid_Stock'!P3</f>
        <v/>
      </c>
      <c r="S504">
        <f>'Grid_Stock'!Q3</f>
        <v/>
      </c>
      <c r="T504">
        <f>'Grid_Stock'!R3</f>
        <v/>
      </c>
      <c r="U504">
        <f>'Grid_Stock'!S3</f>
        <v/>
      </c>
      <c r="V504">
        <f>'Grid_Stock'!T3</f>
        <v/>
      </c>
      <c r="W504">
        <f>'Grid_Stock'!U3</f>
        <v/>
      </c>
      <c r="X504">
        <f>'Grid_Stock'!V3</f>
        <v/>
      </c>
      <c r="Y504">
        <f>'Grid_Stock'!W3</f>
        <v/>
      </c>
      <c r="Z504">
        <f>'Grid_Stock'!X3</f>
        <v/>
      </c>
      <c r="AA504">
        <f>'Grid_Stock'!Y3</f>
        <v/>
      </c>
      <c r="AB504">
        <f>'Grid_Stock'!Z3</f>
        <v/>
      </c>
      <c r="AC504">
        <f>'Grid_Stock'!AA3</f>
        <v/>
      </c>
      <c r="AD504">
        <f>'Grid_Stock'!AB3</f>
        <v/>
      </c>
      <c r="AE504">
        <f>'Grid_Stock'!AC3</f>
        <v/>
      </c>
      <c r="AF504">
        <f>'Grid_Stock'!AD3</f>
        <v/>
      </c>
      <c r="AG504">
        <f>'Grid_Stock'!AE3</f>
        <v/>
      </c>
      <c r="AH504">
        <f>'Grid_Stock'!AF3</f>
        <v/>
      </c>
      <c r="AI504">
        <f>'Grid_Stock'!AG3</f>
        <v/>
      </c>
      <c r="AJ504">
        <f>'Grid_Stock'!AH3</f>
        <v/>
      </c>
      <c r="AK504">
        <f>'Grid_Stock'!AI3</f>
        <v/>
      </c>
      <c r="AL504">
        <f>'Grid_Stock'!AJ3</f>
        <v/>
      </c>
      <c r="AM504">
        <f>'Grid_Stock'!AK3</f>
        <v/>
      </c>
      <c r="AN504">
        <f>'Grid_Stock'!AL3</f>
        <v/>
      </c>
      <c r="AO504">
        <f>'Grid_Stock'!AM3</f>
        <v/>
      </c>
      <c r="AP504">
        <f>'Grid_Stock'!AN3</f>
        <v/>
      </c>
      <c r="AQ504">
        <f>'Grid_Stock'!AO3</f>
        <v/>
      </c>
      <c r="AR504">
        <f>'Grid_Stock'!AP3</f>
        <v/>
      </c>
      <c r="AS504">
        <f>'Grid_Stock'!AQ3</f>
        <v/>
      </c>
      <c r="AT504">
        <f>'Grid_Stock'!AR3</f>
        <v/>
      </c>
      <c r="AU504">
        <f>'Grid_Stock'!AS3</f>
        <v/>
      </c>
      <c r="AV504">
        <f>'Grid_Stock'!AT3</f>
        <v/>
      </c>
      <c r="AW504">
        <f>'Grid_Stock'!AU3</f>
        <v/>
      </c>
      <c r="AX504">
        <f>'Grid_Stock'!AV3</f>
        <v/>
      </c>
      <c r="AY504">
        <f>'Grid_Stock'!AW3</f>
        <v/>
      </c>
      <c r="AZ504">
        <f>'Grid_Stock'!AX3</f>
        <v/>
      </c>
      <c r="BA504">
        <f>'Grid_Stock'!AY3</f>
        <v/>
      </c>
      <c r="BB504">
        <f>'Grid_Stock'!AZ3</f>
        <v/>
      </c>
      <c r="BC504">
        <f>'Grid_Stock'!BA3</f>
        <v/>
      </c>
      <c r="BD504">
        <f>'Grid_Stock'!BB3</f>
        <v/>
      </c>
      <c r="BE504">
        <f>'Grid_Stock'!BC3</f>
        <v/>
      </c>
      <c r="BF504">
        <f>'Grid_Stock'!BD3</f>
        <v/>
      </c>
      <c r="BG504">
        <f>'Grid_Stock'!BE3</f>
        <v/>
      </c>
      <c r="BH504">
        <f>'Grid_Stock'!BF3</f>
        <v/>
      </c>
      <c r="BI504">
        <f>'Grid_Stock'!BG3</f>
        <v/>
      </c>
      <c r="BJ504">
        <f>'Grid_Stock'!BH3</f>
        <v/>
      </c>
      <c r="BK504">
        <f>'Grid_Stock'!BI3</f>
        <v/>
      </c>
      <c r="BL504">
        <f>'Grid_Stock'!BJ3</f>
        <v/>
      </c>
      <c r="BM504">
        <f>'Grid_Stock'!BK3</f>
        <v/>
      </c>
      <c r="BN504">
        <f>'Grid_Stock'!BL3</f>
        <v/>
      </c>
      <c r="BO504">
        <f>'Grid_Stock'!BM3</f>
        <v/>
      </c>
      <c r="BP504">
        <f>'Grid_Stock'!BN3</f>
        <v/>
      </c>
      <c r="BQ504">
        <f>'Grid_Stock'!BO3</f>
        <v/>
      </c>
      <c r="BR504">
        <f>'Grid_Stock'!BP3</f>
        <v/>
      </c>
      <c r="BS504">
        <f>'Grid_Stock'!BQ3</f>
        <v/>
      </c>
      <c r="BT504">
        <f>'Grid_Stock'!BR3</f>
        <v/>
      </c>
      <c r="BU504">
        <f>'Grid_Stock'!BS3</f>
        <v/>
      </c>
      <c r="BV504">
        <f>'Grid_Stock'!BT3</f>
        <v/>
      </c>
      <c r="BW504">
        <f>'Grid_Stock'!BU3</f>
        <v/>
      </c>
      <c r="BX504">
        <f>'Grid_Stock'!BV3</f>
        <v/>
      </c>
      <c r="BY504">
        <f>'Grid_Stock'!BW3</f>
        <v/>
      </c>
      <c r="BZ504">
        <f>'Grid_Stock'!BX3</f>
        <v/>
      </c>
      <c r="CA504">
        <f>'Grid_Stock'!BY3</f>
        <v/>
      </c>
      <c r="CB504">
        <f>'Grid_Stock'!BZ3</f>
        <v/>
      </c>
      <c r="CC504">
        <f>'Grid_Stock'!CA3</f>
        <v/>
      </c>
      <c r="CD504">
        <f>'Grid_Stock'!CB3</f>
        <v/>
      </c>
      <c r="CE504">
        <f>'Grid_Stock'!CC3</f>
        <v/>
      </c>
      <c r="CF504">
        <f>'Grid_Stock'!CD3</f>
        <v/>
      </c>
      <c r="CG504">
        <f>'Grid_Stock'!CE3</f>
        <v/>
      </c>
      <c r="CH504">
        <f>'Grid_Stock'!CF3</f>
        <v/>
      </c>
      <c r="CI504">
        <f>'Grid_Stock'!CG3</f>
        <v/>
      </c>
      <c r="CJ504">
        <f>'Grid_Stock'!CH3</f>
        <v/>
      </c>
      <c r="CK504">
        <f>'Grid_Stock'!CI3</f>
        <v/>
      </c>
      <c r="CL504">
        <f>'Grid_Stock'!CJ3</f>
        <v/>
      </c>
      <c r="CM504">
        <f>'Grid_Stock'!CK3</f>
        <v/>
      </c>
      <c r="CN504">
        <f>'Grid_Stock'!CL3</f>
        <v/>
      </c>
      <c r="CO504">
        <f>'Grid_Stock'!CM3</f>
        <v/>
      </c>
      <c r="CP504">
        <f>'Grid_Stock'!CN3</f>
        <v/>
      </c>
      <c r="CQ504">
        <f>'Grid_Stock'!CO3</f>
        <v/>
      </c>
      <c r="CR504">
        <f>'Grid_Stock'!CP3</f>
        <v/>
      </c>
      <c r="CS504">
        <f>'Grid_Stock'!CQ3</f>
        <v/>
      </c>
      <c r="CT504">
        <f>'Grid_Stock'!CR3</f>
        <v/>
      </c>
      <c r="CU504">
        <f>'Grid_Stock'!CS3</f>
        <v/>
      </c>
      <c r="CV504">
        <f>'Grid_Stock'!CT3</f>
        <v/>
      </c>
      <c r="CW504">
        <f>'Grid_Stock'!CU3</f>
        <v/>
      </c>
      <c r="CX504">
        <f>'Grid_Stock'!CV3</f>
        <v/>
      </c>
      <c r="CY504">
        <f>'Grid_Stock'!CW3</f>
        <v/>
      </c>
      <c r="CZ504">
        <f>'Grid_Stock'!CX3</f>
        <v/>
      </c>
      <c r="DA504">
        <f>'Grid_Stock'!CY3</f>
        <v/>
      </c>
      <c r="DB504">
        <f>'Grid_Stock'!CZ3</f>
        <v/>
      </c>
      <c r="DC504">
        <f>'Grid_Stock'!DA3</f>
        <v/>
      </c>
    </row>
    <row r="505">
      <c r="B505" s="16" t="inlineStr">
        <is>
          <t>（発注の目安はDashboardの基準在庫[下限/上限]と色分けを参照）</t>
        </is>
      </c>
    </row>
    <row r="507">
      <c r="A507" s="14" t="inlineStr">
        <is>
          <t>CHEM-1600</t>
        </is>
      </c>
      <c r="B507" s="14" t="inlineStr">
        <is>
          <t>BF-1P</t>
        </is>
      </c>
      <c r="C507" s="15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  <c r="AA507" s="14" t="n"/>
      <c r="AB507" s="14" t="n"/>
      <c r="AC507" s="14" t="n"/>
      <c r="AD507" s="14" t="n"/>
      <c r="AE507" s="14" t="n"/>
      <c r="AF507" s="14" t="n"/>
      <c r="AG507" s="14" t="n"/>
      <c r="AH507" s="14" t="n"/>
      <c r="AI507" s="14" t="n"/>
      <c r="AJ507" s="14" t="n"/>
      <c r="AK507" s="14" t="n"/>
      <c r="AL507" s="14" t="n"/>
      <c r="AM507" s="14" t="n"/>
      <c r="AN507" s="14" t="n"/>
      <c r="AO507" s="14" t="n"/>
      <c r="AP507" s="14" t="n"/>
      <c r="AQ507" s="14" t="n"/>
      <c r="AR507" s="14" t="n"/>
      <c r="AS507" s="14" t="n"/>
      <c r="AT507" s="14" t="n"/>
      <c r="AU507" s="14" t="n"/>
      <c r="AV507" s="14" t="n"/>
      <c r="AW507" s="14" t="n"/>
      <c r="AX507" s="14" t="n"/>
      <c r="AY507" s="14" t="n"/>
      <c r="AZ507" s="14" t="n"/>
      <c r="BA507" s="14" t="n"/>
      <c r="BB507" s="14" t="n"/>
      <c r="BC507" s="14" t="n"/>
      <c r="BD507" s="14" t="n"/>
      <c r="BE507" s="14" t="n"/>
      <c r="BF507" s="14" t="n"/>
      <c r="BG507" s="14" t="n"/>
      <c r="BH507" s="14" t="n"/>
      <c r="BI507" s="14" t="n"/>
      <c r="BJ507" s="14" t="n"/>
      <c r="BK507" s="14" t="n"/>
      <c r="BL507" s="14" t="n"/>
      <c r="BM507" s="14" t="n"/>
      <c r="BN507" s="14" t="n"/>
      <c r="BO507" s="14" t="n"/>
      <c r="BP507" s="14" t="n"/>
      <c r="BQ507" s="14" t="n"/>
      <c r="BR507" s="14" t="n"/>
      <c r="BS507" s="14" t="n"/>
      <c r="BT507" s="14" t="n"/>
      <c r="BU507" s="14" t="n"/>
      <c r="BV507" s="14" t="n"/>
      <c r="BW507" s="14" t="n"/>
      <c r="BX507" s="14" t="n"/>
      <c r="BY507" s="14" t="n"/>
      <c r="BZ507" s="14" t="n"/>
      <c r="CA507" s="14" t="n"/>
      <c r="CB507" s="14" t="n"/>
      <c r="CC507" s="14" t="n"/>
      <c r="CD507" s="14" t="n"/>
      <c r="CE507" s="14" t="n"/>
      <c r="CF507" s="14" t="n"/>
      <c r="CG507" s="14" t="n"/>
      <c r="CH507" s="14" t="n"/>
      <c r="CI507" s="14" t="n"/>
      <c r="CJ507" s="14" t="n"/>
      <c r="CK507" s="14" t="n"/>
      <c r="CL507" s="14" t="n"/>
      <c r="CM507" s="14" t="n"/>
      <c r="CN507" s="14" t="n"/>
      <c r="CO507" s="14" t="n"/>
      <c r="CP507" s="14" t="n"/>
      <c r="CQ507" s="14" t="n"/>
      <c r="CR507" s="14" t="n"/>
      <c r="CS507" s="14" t="n"/>
      <c r="CT507" s="14" t="n"/>
      <c r="CU507" s="14" t="n"/>
      <c r="CV507" s="14" t="n"/>
      <c r="CW507" s="14" t="n"/>
      <c r="CX507" s="14" t="n"/>
      <c r="CY507" s="14" t="n"/>
      <c r="CZ507" s="14" t="n"/>
      <c r="DA507" s="14" t="n"/>
      <c r="DB507" s="14" t="n"/>
      <c r="DC507" s="14" t="n"/>
    </row>
    <row r="508">
      <c r="B508" t="inlineStr">
        <is>
          <t>TSP-219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7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Name],$A507)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TSP-828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7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Name],$A507)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TSZ-616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7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Name],$A507)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TSP-1449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7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Name],$A507)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VSP-567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Name],$A507)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VSP-600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Name],$A507)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VSP-601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Name],$A507)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VSP-603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Name],$A507)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VSP-604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Name],$A507)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VSP-606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Name],$A507)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VSP-607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Name],$A507)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VSP-738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Name],$A507)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VSP-739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Name],$A507)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VSP-820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Name],$A507)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VSP-869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Name],$A507)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VSP-989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Name],$A507)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VSZ-745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Name],$A507)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TSP-1388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Name],$A507)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TSP-924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Name],$A507)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TSP-925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Name],$A507)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s="4" t="inlineStr">
        <is>
          <t>合計使用量(kg)/週</t>
        </is>
      </c>
      <c r="D548">
        <f>'Grid_Requirement'!B19</f>
        <v/>
      </c>
      <c r="E548">
        <f>'Grid_Requirement'!C19</f>
        <v/>
      </c>
      <c r="F548">
        <f>'Grid_Requirement'!D19</f>
        <v/>
      </c>
      <c r="G548">
        <f>'Grid_Requirement'!E19</f>
        <v/>
      </c>
      <c r="H548">
        <f>'Grid_Requirement'!F19</f>
        <v/>
      </c>
      <c r="I548">
        <f>'Grid_Requirement'!G19</f>
        <v/>
      </c>
      <c r="J548">
        <f>'Grid_Requirement'!H19</f>
        <v/>
      </c>
      <c r="K548">
        <f>'Grid_Requirement'!I19</f>
        <v/>
      </c>
      <c r="L548">
        <f>'Grid_Requirement'!J19</f>
        <v/>
      </c>
      <c r="M548">
        <f>'Grid_Requirement'!K19</f>
        <v/>
      </c>
      <c r="N548">
        <f>'Grid_Requirement'!L19</f>
        <v/>
      </c>
      <c r="O548">
        <f>'Grid_Requirement'!M19</f>
        <v/>
      </c>
      <c r="P548">
        <f>'Grid_Requirement'!N19</f>
        <v/>
      </c>
      <c r="Q548">
        <f>'Grid_Requirement'!O19</f>
        <v/>
      </c>
      <c r="R548">
        <f>'Grid_Requirement'!P19</f>
        <v/>
      </c>
      <c r="S548">
        <f>'Grid_Requirement'!Q19</f>
        <v/>
      </c>
      <c r="T548">
        <f>'Grid_Requirement'!R19</f>
        <v/>
      </c>
      <c r="U548">
        <f>'Grid_Requirement'!S19</f>
        <v/>
      </c>
      <c r="V548">
        <f>'Grid_Requirement'!T19</f>
        <v/>
      </c>
      <c r="W548">
        <f>'Grid_Requirement'!U19</f>
        <v/>
      </c>
      <c r="X548">
        <f>'Grid_Requirement'!V19</f>
        <v/>
      </c>
      <c r="Y548">
        <f>'Grid_Requirement'!W19</f>
        <v/>
      </c>
      <c r="Z548">
        <f>'Grid_Requirement'!X19</f>
        <v/>
      </c>
      <c r="AA548">
        <f>'Grid_Requirement'!Y19</f>
        <v/>
      </c>
      <c r="AB548">
        <f>'Grid_Requirement'!Z19</f>
        <v/>
      </c>
      <c r="AC548">
        <f>'Grid_Requirement'!AA19</f>
        <v/>
      </c>
      <c r="AD548">
        <f>'Grid_Requirement'!AB19</f>
        <v/>
      </c>
      <c r="AE548">
        <f>'Grid_Requirement'!AC19</f>
        <v/>
      </c>
      <c r="AF548">
        <f>'Grid_Requirement'!AD19</f>
        <v/>
      </c>
      <c r="AG548">
        <f>'Grid_Requirement'!AE19</f>
        <v/>
      </c>
      <c r="AH548">
        <f>'Grid_Requirement'!AF19</f>
        <v/>
      </c>
      <c r="AI548">
        <f>'Grid_Requirement'!AG19</f>
        <v/>
      </c>
      <c r="AJ548">
        <f>'Grid_Requirement'!AH19</f>
        <v/>
      </c>
      <c r="AK548">
        <f>'Grid_Requirement'!AI19</f>
        <v/>
      </c>
      <c r="AL548">
        <f>'Grid_Requirement'!AJ19</f>
        <v/>
      </c>
      <c r="AM548">
        <f>'Grid_Requirement'!AK19</f>
        <v/>
      </c>
      <c r="AN548">
        <f>'Grid_Requirement'!AL19</f>
        <v/>
      </c>
      <c r="AO548">
        <f>'Grid_Requirement'!AM19</f>
        <v/>
      </c>
      <c r="AP548">
        <f>'Grid_Requirement'!AN19</f>
        <v/>
      </c>
      <c r="AQ548">
        <f>'Grid_Requirement'!AO19</f>
        <v/>
      </c>
      <c r="AR548">
        <f>'Grid_Requirement'!AP19</f>
        <v/>
      </c>
      <c r="AS548">
        <f>'Grid_Requirement'!AQ19</f>
        <v/>
      </c>
      <c r="AT548">
        <f>'Grid_Requirement'!AR19</f>
        <v/>
      </c>
      <c r="AU548">
        <f>'Grid_Requirement'!AS19</f>
        <v/>
      </c>
      <c r="AV548">
        <f>'Grid_Requirement'!AT19</f>
        <v/>
      </c>
      <c r="AW548">
        <f>'Grid_Requirement'!AU19</f>
        <v/>
      </c>
      <c r="AX548">
        <f>'Grid_Requirement'!AV19</f>
        <v/>
      </c>
      <c r="AY548">
        <f>'Grid_Requirement'!AW19</f>
        <v/>
      </c>
      <c r="AZ548">
        <f>'Grid_Requirement'!AX19</f>
        <v/>
      </c>
      <c r="BA548">
        <f>'Grid_Requirement'!AY19</f>
        <v/>
      </c>
      <c r="BB548">
        <f>'Grid_Requirement'!AZ19</f>
        <v/>
      </c>
      <c r="BC548">
        <f>'Grid_Requirement'!BA19</f>
        <v/>
      </c>
      <c r="BD548">
        <f>'Grid_Requirement'!BB19</f>
        <v/>
      </c>
      <c r="BE548">
        <f>'Grid_Requirement'!BC19</f>
        <v/>
      </c>
      <c r="BF548">
        <f>'Grid_Requirement'!BD19</f>
        <v/>
      </c>
      <c r="BG548">
        <f>'Grid_Requirement'!BE19</f>
        <v/>
      </c>
      <c r="BH548">
        <f>'Grid_Requirement'!BF19</f>
        <v/>
      </c>
      <c r="BI548">
        <f>'Grid_Requirement'!BG19</f>
        <v/>
      </c>
      <c r="BJ548">
        <f>'Grid_Requirement'!BH19</f>
        <v/>
      </c>
      <c r="BK548">
        <f>'Grid_Requirement'!BI19</f>
        <v/>
      </c>
      <c r="BL548">
        <f>'Grid_Requirement'!BJ19</f>
        <v/>
      </c>
      <c r="BM548">
        <f>'Grid_Requirement'!BK19</f>
        <v/>
      </c>
      <c r="BN548">
        <f>'Grid_Requirement'!BL19</f>
        <v/>
      </c>
      <c r="BO548">
        <f>'Grid_Requirement'!BM19</f>
        <v/>
      </c>
      <c r="BP548">
        <f>'Grid_Requirement'!BN19</f>
        <v/>
      </c>
      <c r="BQ548">
        <f>'Grid_Requirement'!BO19</f>
        <v/>
      </c>
      <c r="BR548">
        <f>'Grid_Requirement'!BP19</f>
        <v/>
      </c>
      <c r="BS548">
        <f>'Grid_Requirement'!BQ19</f>
        <v/>
      </c>
      <c r="BT548">
        <f>'Grid_Requirement'!BR19</f>
        <v/>
      </c>
      <c r="BU548">
        <f>'Grid_Requirement'!BS19</f>
        <v/>
      </c>
      <c r="BV548">
        <f>'Grid_Requirement'!BT19</f>
        <v/>
      </c>
      <c r="BW548">
        <f>'Grid_Requirement'!BU19</f>
        <v/>
      </c>
      <c r="BX548">
        <f>'Grid_Requirement'!BV19</f>
        <v/>
      </c>
      <c r="BY548">
        <f>'Grid_Requirement'!BW19</f>
        <v/>
      </c>
      <c r="BZ548">
        <f>'Grid_Requirement'!BX19</f>
        <v/>
      </c>
      <c r="CA548">
        <f>'Grid_Requirement'!BY19</f>
        <v/>
      </c>
      <c r="CB548">
        <f>'Grid_Requirement'!BZ19</f>
        <v/>
      </c>
      <c r="CC548">
        <f>'Grid_Requirement'!CA19</f>
        <v/>
      </c>
      <c r="CD548">
        <f>'Grid_Requirement'!CB19</f>
        <v/>
      </c>
      <c r="CE548">
        <f>'Grid_Requirement'!CC19</f>
        <v/>
      </c>
      <c r="CF548">
        <f>'Grid_Requirement'!CD19</f>
        <v/>
      </c>
      <c r="CG548">
        <f>'Grid_Requirement'!CE19</f>
        <v/>
      </c>
      <c r="CH548">
        <f>'Grid_Requirement'!CF19</f>
        <v/>
      </c>
      <c r="CI548">
        <f>'Grid_Requirement'!CG19</f>
        <v/>
      </c>
      <c r="CJ548">
        <f>'Grid_Requirement'!CH19</f>
        <v/>
      </c>
      <c r="CK548">
        <f>'Grid_Requirement'!CI19</f>
        <v/>
      </c>
      <c r="CL548">
        <f>'Grid_Requirement'!CJ19</f>
        <v/>
      </c>
      <c r="CM548">
        <f>'Grid_Requirement'!CK19</f>
        <v/>
      </c>
      <c r="CN548">
        <f>'Grid_Requirement'!CL19</f>
        <v/>
      </c>
      <c r="CO548">
        <f>'Grid_Requirement'!CM19</f>
        <v/>
      </c>
      <c r="CP548">
        <f>'Grid_Requirement'!CN19</f>
        <v/>
      </c>
      <c r="CQ548">
        <f>'Grid_Requirement'!CO19</f>
        <v/>
      </c>
      <c r="CR548">
        <f>'Grid_Requirement'!CP19</f>
        <v/>
      </c>
      <c r="CS548">
        <f>'Grid_Requirement'!CQ19</f>
        <v/>
      </c>
      <c r="CT548">
        <f>'Grid_Requirement'!CR19</f>
        <v/>
      </c>
      <c r="CU548">
        <f>'Grid_Requirement'!CS19</f>
        <v/>
      </c>
      <c r="CV548">
        <f>'Grid_Requirement'!CT19</f>
        <v/>
      </c>
      <c r="CW548">
        <f>'Grid_Requirement'!CU19</f>
        <v/>
      </c>
      <c r="CX548">
        <f>'Grid_Requirement'!CV19</f>
        <v/>
      </c>
      <c r="CY548">
        <f>'Grid_Requirement'!CW19</f>
        <v/>
      </c>
      <c r="CZ548">
        <f>'Grid_Requirement'!CX19</f>
        <v/>
      </c>
      <c r="DA548">
        <f>'Grid_Requirement'!CY19</f>
        <v/>
      </c>
      <c r="DB548">
        <f>'Grid_Requirement'!CZ19</f>
        <v/>
      </c>
      <c r="DC548">
        <f>'Grid_Requirement'!DA19</f>
        <v/>
      </c>
    </row>
    <row r="549">
      <c r="B549" t="inlineStr">
        <is>
          <t>TTAF在庫(実績,kg)</t>
        </is>
      </c>
      <c r="D549">
        <f>'T_TTAFStock'!B23</f>
        <v/>
      </c>
      <c r="E549">
        <f>'T_TTAFStock'!C23</f>
        <v/>
      </c>
      <c r="F549">
        <f>'T_TTAFStock'!D23</f>
        <v/>
      </c>
      <c r="G549">
        <f>'T_TTAFStock'!E23</f>
        <v/>
      </c>
      <c r="H549">
        <f>'T_TTAFStock'!F23</f>
        <v/>
      </c>
      <c r="I549">
        <f>'T_TTAFStock'!G23</f>
        <v/>
      </c>
      <c r="J549">
        <f>'T_TTAFStock'!H23</f>
        <v/>
      </c>
      <c r="K549">
        <f>'T_TTAFStock'!I23</f>
        <v/>
      </c>
      <c r="L549">
        <f>'T_TTAFStock'!J23</f>
        <v/>
      </c>
      <c r="M549">
        <f>'T_TTAFStock'!K23</f>
        <v/>
      </c>
      <c r="N549">
        <f>'T_TTAFStock'!L23</f>
        <v/>
      </c>
      <c r="O549">
        <f>'T_TTAFStock'!M23</f>
        <v/>
      </c>
      <c r="P549">
        <f>'T_TTAFStock'!N23</f>
        <v/>
      </c>
      <c r="Q549">
        <f>'T_TTAFStock'!O23</f>
        <v/>
      </c>
      <c r="R549">
        <f>'T_TTAFStock'!P23</f>
        <v/>
      </c>
      <c r="S549">
        <f>'T_TTAFStock'!Q23</f>
        <v/>
      </c>
      <c r="T549">
        <f>'T_TTAFStock'!R23</f>
        <v/>
      </c>
      <c r="U549">
        <f>'T_TTAFStock'!S23</f>
        <v/>
      </c>
      <c r="V549">
        <f>'T_TTAFStock'!T23</f>
        <v/>
      </c>
      <c r="W549">
        <f>'T_TTAFStock'!U23</f>
        <v/>
      </c>
      <c r="X549">
        <f>'T_TTAFStock'!V23</f>
        <v/>
      </c>
      <c r="Y549">
        <f>'T_TTAFStock'!W23</f>
        <v/>
      </c>
      <c r="Z549">
        <f>'T_TTAFStock'!X23</f>
        <v/>
      </c>
      <c r="AA549">
        <f>'T_TTAFStock'!Y23</f>
        <v/>
      </c>
      <c r="AB549">
        <f>'T_TTAFStock'!Z23</f>
        <v/>
      </c>
      <c r="AC549">
        <f>'T_TTAFStock'!AA23</f>
        <v/>
      </c>
      <c r="AD549">
        <f>'T_TTAFStock'!AB23</f>
        <v/>
      </c>
      <c r="AE549">
        <f>'T_TTAFStock'!AC23</f>
        <v/>
      </c>
      <c r="AF549">
        <f>'T_TTAFStock'!AD23</f>
        <v/>
      </c>
      <c r="AG549">
        <f>'T_TTAFStock'!AE23</f>
        <v/>
      </c>
      <c r="AH549">
        <f>'T_TTAFStock'!AF23</f>
        <v/>
      </c>
      <c r="AI549">
        <f>'T_TTAFStock'!AG23</f>
        <v/>
      </c>
      <c r="AJ549">
        <f>'T_TTAFStock'!AH23</f>
        <v/>
      </c>
      <c r="AK549">
        <f>'T_TTAFStock'!AI23</f>
        <v/>
      </c>
      <c r="AL549">
        <f>'T_TTAFStock'!AJ23</f>
        <v/>
      </c>
      <c r="AM549">
        <f>'T_TTAFStock'!AK23</f>
        <v/>
      </c>
      <c r="AN549">
        <f>'T_TTAFStock'!AL23</f>
        <v/>
      </c>
      <c r="AO549">
        <f>'T_TTAFStock'!AM23</f>
        <v/>
      </c>
      <c r="AP549">
        <f>'T_TTAFStock'!AN23</f>
        <v/>
      </c>
      <c r="AQ549">
        <f>'T_TTAFStock'!AO23</f>
        <v/>
      </c>
      <c r="AR549">
        <f>'T_TTAFStock'!AP23</f>
        <v/>
      </c>
      <c r="AS549">
        <f>'T_TTAFStock'!AQ23</f>
        <v/>
      </c>
      <c r="AT549">
        <f>'T_TTAFStock'!AR23</f>
        <v/>
      </c>
      <c r="AU549">
        <f>'T_TTAFStock'!AS23</f>
        <v/>
      </c>
      <c r="AV549">
        <f>'T_TTAFStock'!AT23</f>
        <v/>
      </c>
      <c r="AW549">
        <f>'T_TTAFStock'!AU23</f>
        <v/>
      </c>
      <c r="AX549">
        <f>'T_TTAFStock'!AV23</f>
        <v/>
      </c>
      <c r="AY549">
        <f>'T_TTAFStock'!AW23</f>
        <v/>
      </c>
      <c r="AZ549">
        <f>'T_TTAFStock'!AX23</f>
        <v/>
      </c>
      <c r="BA549">
        <f>'T_TTAFStock'!AY23</f>
        <v/>
      </c>
      <c r="BB549">
        <f>'T_TTAFStock'!AZ23</f>
        <v/>
      </c>
      <c r="BC549">
        <f>'T_TTAFStock'!BA23</f>
        <v/>
      </c>
      <c r="BD549">
        <f>'T_TTAFStock'!BB23</f>
        <v/>
      </c>
      <c r="BE549">
        <f>'T_TTAFStock'!BC23</f>
        <v/>
      </c>
      <c r="BF549">
        <f>'T_TTAFStock'!BD23</f>
        <v/>
      </c>
      <c r="BG549">
        <f>'T_TTAFStock'!BE23</f>
        <v/>
      </c>
      <c r="BH549">
        <f>'T_TTAFStock'!BF23</f>
        <v/>
      </c>
      <c r="BI549">
        <f>'T_TTAFStock'!BG23</f>
        <v/>
      </c>
      <c r="BJ549">
        <f>'T_TTAFStock'!BH23</f>
        <v/>
      </c>
      <c r="BK549">
        <f>'T_TTAFStock'!BI23</f>
        <v/>
      </c>
      <c r="BL549">
        <f>'T_TTAFStock'!BJ23</f>
        <v/>
      </c>
      <c r="BM549">
        <f>'T_TTAFStock'!BK23</f>
        <v/>
      </c>
      <c r="BN549">
        <f>'T_TTAFStock'!BL23</f>
        <v/>
      </c>
      <c r="BO549">
        <f>'T_TTAFStock'!BM23</f>
        <v/>
      </c>
      <c r="BP549">
        <f>'T_TTAFStock'!BN23</f>
        <v/>
      </c>
      <c r="BQ549">
        <f>'T_TTAFStock'!BO23</f>
        <v/>
      </c>
      <c r="BR549">
        <f>'T_TTAFStock'!BP23</f>
        <v/>
      </c>
      <c r="BS549">
        <f>'T_TTAFStock'!BQ23</f>
        <v/>
      </c>
      <c r="BT549">
        <f>'T_TTAFStock'!BR23</f>
        <v/>
      </c>
      <c r="BU549">
        <f>'T_TTAFStock'!BS23</f>
        <v/>
      </c>
      <c r="BV549">
        <f>'T_TTAFStock'!BT23</f>
        <v/>
      </c>
      <c r="BW549">
        <f>'T_TTAFStock'!BU23</f>
        <v/>
      </c>
      <c r="BX549">
        <f>'T_TTAFStock'!BV23</f>
        <v/>
      </c>
      <c r="BY549">
        <f>'T_TTAFStock'!BW23</f>
        <v/>
      </c>
      <c r="BZ549">
        <f>'T_TTAFStock'!BX23</f>
        <v/>
      </c>
      <c r="CA549">
        <f>'T_TTAFStock'!BY23</f>
        <v/>
      </c>
      <c r="CB549">
        <f>'T_TTAFStock'!BZ23</f>
        <v/>
      </c>
      <c r="CC549">
        <f>'T_TTAFStock'!CA23</f>
        <v/>
      </c>
      <c r="CD549">
        <f>'T_TTAFStock'!CB23</f>
        <v/>
      </c>
      <c r="CE549">
        <f>'T_TTAFStock'!CC23</f>
        <v/>
      </c>
      <c r="CF549">
        <f>'T_TTAFStock'!CD23</f>
        <v/>
      </c>
      <c r="CG549">
        <f>'T_TTAFStock'!CE23</f>
        <v/>
      </c>
      <c r="CH549">
        <f>'T_TTAFStock'!CF23</f>
        <v/>
      </c>
      <c r="CI549">
        <f>'T_TTAFStock'!CG23</f>
        <v/>
      </c>
      <c r="CJ549">
        <f>'T_TTAFStock'!CH23</f>
        <v/>
      </c>
      <c r="CK549">
        <f>'T_TTAFStock'!CI23</f>
        <v/>
      </c>
      <c r="CL549">
        <f>'T_TTAFStock'!CJ23</f>
        <v/>
      </c>
      <c r="CM549">
        <f>'T_TTAFStock'!CK23</f>
        <v/>
      </c>
      <c r="CN549">
        <f>'T_TTAFStock'!CL23</f>
        <v/>
      </c>
      <c r="CO549">
        <f>'T_TTAFStock'!CM23</f>
        <v/>
      </c>
      <c r="CP549">
        <f>'T_TTAFStock'!CN23</f>
        <v/>
      </c>
      <c r="CQ549">
        <f>'T_TTAFStock'!CO23</f>
        <v/>
      </c>
      <c r="CR549">
        <f>'T_TTAFStock'!CP23</f>
        <v/>
      </c>
      <c r="CS549">
        <f>'T_TTAFStock'!CQ23</f>
        <v/>
      </c>
      <c r="CT549">
        <f>'T_TTAFStock'!CR23</f>
        <v/>
      </c>
      <c r="CU549">
        <f>'T_TTAFStock'!CS23</f>
        <v/>
      </c>
      <c r="CV549">
        <f>'T_TTAFStock'!CT23</f>
        <v/>
      </c>
      <c r="CW549">
        <f>'T_TTAFStock'!CU23</f>
        <v/>
      </c>
      <c r="CX549">
        <f>'T_TTAFStock'!CV23</f>
        <v/>
      </c>
      <c r="CY549">
        <f>'T_TTAFStock'!CW23</f>
        <v/>
      </c>
      <c r="CZ549">
        <f>'T_TTAFStock'!CX23</f>
        <v/>
      </c>
      <c r="DA549">
        <f>'T_TTAFStock'!CY23</f>
        <v/>
      </c>
      <c r="DB549">
        <f>'T_TTAFStock'!CZ23</f>
        <v/>
      </c>
      <c r="DC549">
        <f>'T_TTAFStock'!DA23</f>
        <v/>
      </c>
    </row>
    <row r="550">
      <c r="B550" t="inlineStr">
        <is>
          <t>自社在庫(実績,kg)</t>
        </is>
      </c>
      <c r="D550">
        <f>'T_SelfStock'!B23</f>
        <v/>
      </c>
      <c r="E550">
        <f>'T_SelfStock'!C23</f>
        <v/>
      </c>
      <c r="F550">
        <f>'T_SelfStock'!D23</f>
        <v/>
      </c>
      <c r="G550">
        <f>'T_SelfStock'!E23</f>
        <v/>
      </c>
      <c r="H550">
        <f>'T_SelfStock'!F23</f>
        <v/>
      </c>
      <c r="I550">
        <f>'T_SelfStock'!G23</f>
        <v/>
      </c>
      <c r="J550">
        <f>'T_SelfStock'!H23</f>
        <v/>
      </c>
      <c r="K550">
        <f>'T_SelfStock'!I23</f>
        <v/>
      </c>
      <c r="L550">
        <f>'T_SelfStock'!J23</f>
        <v/>
      </c>
      <c r="M550">
        <f>'T_SelfStock'!K23</f>
        <v/>
      </c>
      <c r="N550">
        <f>'T_SelfStock'!L23</f>
        <v/>
      </c>
      <c r="O550">
        <f>'T_SelfStock'!M23</f>
        <v/>
      </c>
      <c r="P550">
        <f>'T_SelfStock'!N23</f>
        <v/>
      </c>
      <c r="Q550">
        <f>'T_SelfStock'!O23</f>
        <v/>
      </c>
      <c r="R550">
        <f>'T_SelfStock'!P23</f>
        <v/>
      </c>
      <c r="S550">
        <f>'T_SelfStock'!Q23</f>
        <v/>
      </c>
      <c r="T550">
        <f>'T_SelfStock'!R23</f>
        <v/>
      </c>
      <c r="U550">
        <f>'T_SelfStock'!S23</f>
        <v/>
      </c>
      <c r="V550">
        <f>'T_SelfStock'!T23</f>
        <v/>
      </c>
      <c r="W550">
        <f>'T_SelfStock'!U23</f>
        <v/>
      </c>
      <c r="X550">
        <f>'T_SelfStock'!V23</f>
        <v/>
      </c>
      <c r="Y550">
        <f>'T_SelfStock'!W23</f>
        <v/>
      </c>
      <c r="Z550">
        <f>'T_SelfStock'!X23</f>
        <v/>
      </c>
      <c r="AA550">
        <f>'T_SelfStock'!Y23</f>
        <v/>
      </c>
      <c r="AB550">
        <f>'T_SelfStock'!Z23</f>
        <v/>
      </c>
      <c r="AC550">
        <f>'T_SelfStock'!AA23</f>
        <v/>
      </c>
      <c r="AD550">
        <f>'T_SelfStock'!AB23</f>
        <v/>
      </c>
      <c r="AE550">
        <f>'T_SelfStock'!AC23</f>
        <v/>
      </c>
      <c r="AF550">
        <f>'T_SelfStock'!AD23</f>
        <v/>
      </c>
      <c r="AG550">
        <f>'T_SelfStock'!AE23</f>
        <v/>
      </c>
      <c r="AH550">
        <f>'T_SelfStock'!AF23</f>
        <v/>
      </c>
      <c r="AI550">
        <f>'T_SelfStock'!AG23</f>
        <v/>
      </c>
      <c r="AJ550">
        <f>'T_SelfStock'!AH23</f>
        <v/>
      </c>
      <c r="AK550">
        <f>'T_SelfStock'!AI23</f>
        <v/>
      </c>
      <c r="AL550">
        <f>'T_SelfStock'!AJ23</f>
        <v/>
      </c>
      <c r="AM550">
        <f>'T_SelfStock'!AK23</f>
        <v/>
      </c>
      <c r="AN550">
        <f>'T_SelfStock'!AL23</f>
        <v/>
      </c>
      <c r="AO550">
        <f>'T_SelfStock'!AM23</f>
        <v/>
      </c>
      <c r="AP550">
        <f>'T_SelfStock'!AN23</f>
        <v/>
      </c>
      <c r="AQ550">
        <f>'T_SelfStock'!AO23</f>
        <v/>
      </c>
      <c r="AR550">
        <f>'T_SelfStock'!AP23</f>
        <v/>
      </c>
      <c r="AS550">
        <f>'T_SelfStock'!AQ23</f>
        <v/>
      </c>
      <c r="AT550">
        <f>'T_SelfStock'!AR23</f>
        <v/>
      </c>
      <c r="AU550">
        <f>'T_SelfStock'!AS23</f>
        <v/>
      </c>
      <c r="AV550">
        <f>'T_SelfStock'!AT23</f>
        <v/>
      </c>
      <c r="AW550">
        <f>'T_SelfStock'!AU23</f>
        <v/>
      </c>
      <c r="AX550">
        <f>'T_SelfStock'!AV23</f>
        <v/>
      </c>
      <c r="AY550">
        <f>'T_SelfStock'!AW23</f>
        <v/>
      </c>
      <c r="AZ550">
        <f>'T_SelfStock'!AX23</f>
        <v/>
      </c>
      <c r="BA550">
        <f>'T_SelfStock'!AY23</f>
        <v/>
      </c>
      <c r="BB550">
        <f>'T_SelfStock'!AZ23</f>
        <v/>
      </c>
      <c r="BC550">
        <f>'T_SelfStock'!BA23</f>
        <v/>
      </c>
      <c r="BD550">
        <f>'T_SelfStock'!BB23</f>
        <v/>
      </c>
      <c r="BE550">
        <f>'T_SelfStock'!BC23</f>
        <v/>
      </c>
      <c r="BF550">
        <f>'T_SelfStock'!BD23</f>
        <v/>
      </c>
      <c r="BG550">
        <f>'T_SelfStock'!BE23</f>
        <v/>
      </c>
      <c r="BH550">
        <f>'T_SelfStock'!BF23</f>
        <v/>
      </c>
      <c r="BI550">
        <f>'T_SelfStock'!BG23</f>
        <v/>
      </c>
      <c r="BJ550">
        <f>'T_SelfStock'!BH23</f>
        <v/>
      </c>
      <c r="BK550">
        <f>'T_SelfStock'!BI23</f>
        <v/>
      </c>
      <c r="BL550">
        <f>'T_SelfStock'!BJ23</f>
        <v/>
      </c>
      <c r="BM550">
        <f>'T_SelfStock'!BK23</f>
        <v/>
      </c>
      <c r="BN550">
        <f>'T_SelfStock'!BL23</f>
        <v/>
      </c>
      <c r="BO550">
        <f>'T_SelfStock'!BM23</f>
        <v/>
      </c>
      <c r="BP550">
        <f>'T_SelfStock'!BN23</f>
        <v/>
      </c>
      <c r="BQ550">
        <f>'T_SelfStock'!BO23</f>
        <v/>
      </c>
      <c r="BR550">
        <f>'T_SelfStock'!BP23</f>
        <v/>
      </c>
      <c r="BS550">
        <f>'T_SelfStock'!BQ23</f>
        <v/>
      </c>
      <c r="BT550">
        <f>'T_SelfStock'!BR23</f>
        <v/>
      </c>
      <c r="BU550">
        <f>'T_SelfStock'!BS23</f>
        <v/>
      </c>
      <c r="BV550">
        <f>'T_SelfStock'!BT23</f>
        <v/>
      </c>
      <c r="BW550">
        <f>'T_SelfStock'!BU23</f>
        <v/>
      </c>
      <c r="BX550">
        <f>'T_SelfStock'!BV23</f>
        <v/>
      </c>
      <c r="BY550">
        <f>'T_SelfStock'!BW23</f>
        <v/>
      </c>
      <c r="BZ550">
        <f>'T_SelfStock'!BX23</f>
        <v/>
      </c>
      <c r="CA550">
        <f>'T_SelfStock'!BY23</f>
        <v/>
      </c>
      <c r="CB550">
        <f>'T_SelfStock'!BZ23</f>
        <v/>
      </c>
      <c r="CC550">
        <f>'T_SelfStock'!CA23</f>
        <v/>
      </c>
      <c r="CD550">
        <f>'T_SelfStock'!CB23</f>
        <v/>
      </c>
      <c r="CE550">
        <f>'T_SelfStock'!CC23</f>
        <v/>
      </c>
      <c r="CF550">
        <f>'T_SelfStock'!CD23</f>
        <v/>
      </c>
      <c r="CG550">
        <f>'T_SelfStock'!CE23</f>
        <v/>
      </c>
      <c r="CH550">
        <f>'T_SelfStock'!CF23</f>
        <v/>
      </c>
      <c r="CI550">
        <f>'T_SelfStock'!CG23</f>
        <v/>
      </c>
      <c r="CJ550">
        <f>'T_SelfStock'!CH23</f>
        <v/>
      </c>
      <c r="CK550">
        <f>'T_SelfStock'!CI23</f>
        <v/>
      </c>
      <c r="CL550">
        <f>'T_SelfStock'!CJ23</f>
        <v/>
      </c>
      <c r="CM550">
        <f>'T_SelfStock'!CK23</f>
        <v/>
      </c>
      <c r="CN550">
        <f>'T_SelfStock'!CL23</f>
        <v/>
      </c>
      <c r="CO550">
        <f>'T_SelfStock'!CM23</f>
        <v/>
      </c>
      <c r="CP550">
        <f>'T_SelfStock'!CN23</f>
        <v/>
      </c>
      <c r="CQ550">
        <f>'T_SelfStock'!CO23</f>
        <v/>
      </c>
      <c r="CR550">
        <f>'T_SelfStock'!CP23</f>
        <v/>
      </c>
      <c r="CS550">
        <f>'T_SelfStock'!CQ23</f>
        <v/>
      </c>
      <c r="CT550">
        <f>'T_SelfStock'!CR23</f>
        <v/>
      </c>
      <c r="CU550">
        <f>'T_SelfStock'!CS23</f>
        <v/>
      </c>
      <c r="CV550">
        <f>'T_SelfStock'!CT23</f>
        <v/>
      </c>
      <c r="CW550">
        <f>'T_SelfStock'!CU23</f>
        <v/>
      </c>
      <c r="CX550">
        <f>'T_SelfStock'!CV23</f>
        <v/>
      </c>
      <c r="CY550">
        <f>'T_SelfStock'!CW23</f>
        <v/>
      </c>
      <c r="CZ550">
        <f>'T_SelfStock'!CX23</f>
        <v/>
      </c>
      <c r="DA550">
        <f>'T_SelfStock'!CY23</f>
        <v/>
      </c>
      <c r="DB550">
        <f>'T_SelfStock'!CZ23</f>
        <v/>
      </c>
      <c r="DC550">
        <f>'T_SelfStock'!DA23</f>
        <v/>
      </c>
    </row>
    <row r="551">
      <c r="B551" t="inlineStr">
        <is>
          <t>Order(発注予定,kg)</t>
        </is>
      </c>
      <c r="D551">
        <f>IF(SUMIFS(T_PlannedOrders[EffectiveQty],T_PlannedOrders[Part Name],$A507,T_PlannedOrders[WeekIndex],1)=0,"",SUMIFS(T_PlannedOrders[EffectiveQty],T_PlannedOrders[Part Name],$A507,T_PlannedOrders[WeekIndex],1)&amp;" ("&amp;TEXT(SUMPRODUCT(MAX((T_PlannedOrders[Part Name]=$A507)*(T_PlannedOrders[WeekIndex]=1)*(T_PlannedOrders[EffectiveQty]&gt;0)*T_PlannedOrders[Order_Month])),"m月")&amp;"発注)")</f>
        <v/>
      </c>
      <c r="E551">
        <f>IF(SUMIFS(T_PlannedOrders[EffectiveQty],T_PlannedOrders[Part Name],$A507,T_PlannedOrders[WeekIndex],2)=0,"",SUMIFS(T_PlannedOrders[EffectiveQty],T_PlannedOrders[Part Name],$A507,T_PlannedOrders[WeekIndex],2)&amp;" ("&amp;TEXT(SUMPRODUCT(MAX((T_PlannedOrders[Part Name]=$A507)*(T_PlannedOrders[WeekIndex]=2)*(T_PlannedOrders[EffectiveQty]&gt;0)*T_PlannedOrders[Order_Month])),"m月")&amp;"発注)")</f>
        <v/>
      </c>
      <c r="F551">
        <f>IF(SUMIFS(T_PlannedOrders[EffectiveQty],T_PlannedOrders[Part Name],$A507,T_PlannedOrders[WeekIndex],3)=0,"",SUMIFS(T_PlannedOrders[EffectiveQty],T_PlannedOrders[Part Name],$A507,T_PlannedOrders[WeekIndex],3)&amp;" ("&amp;TEXT(SUMPRODUCT(MAX((T_PlannedOrders[Part Name]=$A507)*(T_PlannedOrders[WeekIndex]=3)*(T_PlannedOrders[EffectiveQty]&gt;0)*T_PlannedOrders[Order_Month])),"m月")&amp;"発注)")</f>
        <v/>
      </c>
      <c r="G551">
        <f>IF(SUMIFS(T_PlannedOrders[EffectiveQty],T_PlannedOrders[Part Name],$A507,T_PlannedOrders[WeekIndex],4)=0,"",SUMIFS(T_PlannedOrders[EffectiveQty],T_PlannedOrders[Part Name],$A507,T_PlannedOrders[WeekIndex],4)&amp;" ("&amp;TEXT(SUMPRODUCT(MAX((T_PlannedOrders[Part Name]=$A507)*(T_PlannedOrders[WeekIndex]=4)*(T_PlannedOrders[EffectiveQty]&gt;0)*T_PlannedOrders[Order_Month])),"m月")&amp;"発注)")</f>
        <v/>
      </c>
      <c r="H551">
        <f>IF(SUMIFS(T_PlannedOrders[EffectiveQty],T_PlannedOrders[Part Name],$A507,T_PlannedOrders[WeekIndex],5)=0,"",SUMIFS(T_PlannedOrders[EffectiveQty],T_PlannedOrders[Part Name],$A507,T_PlannedOrders[WeekIndex],5)&amp;" ("&amp;TEXT(SUMPRODUCT(MAX((T_PlannedOrders[Part Name]=$A507)*(T_PlannedOrders[WeekIndex]=5)*(T_PlannedOrders[EffectiveQty]&gt;0)*T_PlannedOrders[Order_Month])),"m月")&amp;"発注)")</f>
        <v/>
      </c>
      <c r="I551">
        <f>IF(SUMIFS(T_PlannedOrders[EffectiveQty],T_PlannedOrders[Part Name],$A507,T_PlannedOrders[WeekIndex],6)=0,"",SUMIFS(T_PlannedOrders[EffectiveQty],T_PlannedOrders[Part Name],$A507,T_PlannedOrders[WeekIndex],6)&amp;" ("&amp;TEXT(SUMPRODUCT(MAX((T_PlannedOrders[Part Name]=$A507)*(T_PlannedOrders[WeekIndex]=6)*(T_PlannedOrders[EffectiveQty]&gt;0)*T_PlannedOrders[Order_Month])),"m月")&amp;"発注)")</f>
        <v/>
      </c>
      <c r="J551">
        <f>IF(SUMIFS(T_PlannedOrders[EffectiveQty],T_PlannedOrders[Part Name],$A507,T_PlannedOrders[WeekIndex],7)=0,"",SUMIFS(T_PlannedOrders[EffectiveQty],T_PlannedOrders[Part Name],$A507,T_PlannedOrders[WeekIndex],7)&amp;" ("&amp;TEXT(SUMPRODUCT(MAX((T_PlannedOrders[Part Name]=$A507)*(T_PlannedOrders[WeekIndex]=7)*(T_PlannedOrders[EffectiveQty]&gt;0)*T_PlannedOrders[Order_Month])),"m月")&amp;"発注)")</f>
        <v/>
      </c>
      <c r="K551">
        <f>IF(SUMIFS(T_PlannedOrders[EffectiveQty],T_PlannedOrders[Part Name],$A507,T_PlannedOrders[WeekIndex],8)=0,"",SUMIFS(T_PlannedOrders[EffectiveQty],T_PlannedOrders[Part Name],$A507,T_PlannedOrders[WeekIndex],8)&amp;" ("&amp;TEXT(SUMPRODUCT(MAX((T_PlannedOrders[Part Name]=$A507)*(T_PlannedOrders[WeekIndex]=8)*(T_PlannedOrders[EffectiveQty]&gt;0)*T_PlannedOrders[Order_Month])),"m月")&amp;"発注)")</f>
        <v/>
      </c>
      <c r="L551">
        <f>IF(SUMIFS(T_PlannedOrders[EffectiveQty],T_PlannedOrders[Part Name],$A507,T_PlannedOrders[WeekIndex],9)=0,"",SUMIFS(T_PlannedOrders[EffectiveQty],T_PlannedOrders[Part Name],$A507,T_PlannedOrders[WeekIndex],9)&amp;" ("&amp;TEXT(SUMPRODUCT(MAX((T_PlannedOrders[Part Name]=$A507)*(T_PlannedOrders[WeekIndex]=9)*(T_PlannedOrders[EffectiveQty]&gt;0)*T_PlannedOrders[Order_Month])),"m月")&amp;"発注)")</f>
        <v/>
      </c>
      <c r="M551">
        <f>IF(SUMIFS(T_PlannedOrders[EffectiveQty],T_PlannedOrders[Part Name],$A507,T_PlannedOrders[WeekIndex],10)=0,"",SUMIFS(T_PlannedOrders[EffectiveQty],T_PlannedOrders[Part Name],$A507,T_PlannedOrders[WeekIndex],10)&amp;" ("&amp;TEXT(SUMPRODUCT(MAX((T_PlannedOrders[Part Name]=$A507)*(T_PlannedOrders[WeekIndex]=10)*(T_PlannedOrders[EffectiveQty]&gt;0)*T_PlannedOrders[Order_Month])),"m月")&amp;"発注)")</f>
        <v/>
      </c>
      <c r="N551">
        <f>IF(SUMIFS(T_PlannedOrders[EffectiveQty],T_PlannedOrders[Part Name],$A507,T_PlannedOrders[WeekIndex],11)=0,"",SUMIFS(T_PlannedOrders[EffectiveQty],T_PlannedOrders[Part Name],$A507,T_PlannedOrders[WeekIndex],11)&amp;" ("&amp;TEXT(SUMPRODUCT(MAX((T_PlannedOrders[Part Name]=$A507)*(T_PlannedOrders[WeekIndex]=11)*(T_PlannedOrders[EffectiveQty]&gt;0)*T_PlannedOrders[Order_Month])),"m月")&amp;"発注)")</f>
        <v/>
      </c>
      <c r="O551">
        <f>IF(SUMIFS(T_PlannedOrders[EffectiveQty],T_PlannedOrders[Part Name],$A507,T_PlannedOrders[WeekIndex],12)=0,"",SUMIFS(T_PlannedOrders[EffectiveQty],T_PlannedOrders[Part Name],$A507,T_PlannedOrders[WeekIndex],12)&amp;" ("&amp;TEXT(SUMPRODUCT(MAX((T_PlannedOrders[Part Name]=$A507)*(T_PlannedOrders[WeekIndex]=12)*(T_PlannedOrders[EffectiveQty]&gt;0)*T_PlannedOrders[Order_Month])),"m月")&amp;"発注)")</f>
        <v/>
      </c>
      <c r="P551">
        <f>IF(SUMIFS(T_PlannedOrders[EffectiveQty],T_PlannedOrders[Part Name],$A507,T_PlannedOrders[WeekIndex],13)=0,"",SUMIFS(T_PlannedOrders[EffectiveQty],T_PlannedOrders[Part Name],$A507,T_PlannedOrders[WeekIndex],13)&amp;" ("&amp;TEXT(SUMPRODUCT(MAX((T_PlannedOrders[Part Name]=$A507)*(T_PlannedOrders[WeekIndex]=13)*(T_PlannedOrders[EffectiveQty]&gt;0)*T_PlannedOrders[Order_Month])),"m月")&amp;"発注)")</f>
        <v/>
      </c>
      <c r="Q551">
        <f>IF(SUMIFS(T_PlannedOrders[EffectiveQty],T_PlannedOrders[Part Name],$A507,T_PlannedOrders[WeekIndex],14)=0,"",SUMIFS(T_PlannedOrders[EffectiveQty],T_PlannedOrders[Part Name],$A507,T_PlannedOrders[WeekIndex],14)&amp;" ("&amp;TEXT(SUMPRODUCT(MAX((T_PlannedOrders[Part Name]=$A507)*(T_PlannedOrders[WeekIndex]=14)*(T_PlannedOrders[EffectiveQty]&gt;0)*T_PlannedOrders[Order_Month])),"m月")&amp;"発注)")</f>
        <v/>
      </c>
      <c r="R551">
        <f>IF(SUMIFS(T_PlannedOrders[EffectiveQty],T_PlannedOrders[Part Name],$A507,T_PlannedOrders[WeekIndex],15)=0,"",SUMIFS(T_PlannedOrders[EffectiveQty],T_PlannedOrders[Part Name],$A507,T_PlannedOrders[WeekIndex],15)&amp;" ("&amp;TEXT(SUMPRODUCT(MAX((T_PlannedOrders[Part Name]=$A507)*(T_PlannedOrders[WeekIndex]=15)*(T_PlannedOrders[EffectiveQty]&gt;0)*T_PlannedOrders[Order_Month])),"m月")&amp;"発注)")</f>
        <v/>
      </c>
      <c r="S551">
        <f>IF(SUMIFS(T_PlannedOrders[EffectiveQty],T_PlannedOrders[Part Name],$A507,T_PlannedOrders[WeekIndex],16)=0,"",SUMIFS(T_PlannedOrders[EffectiveQty],T_PlannedOrders[Part Name],$A507,T_PlannedOrders[WeekIndex],16)&amp;" ("&amp;TEXT(SUMPRODUCT(MAX((T_PlannedOrders[Part Name]=$A507)*(T_PlannedOrders[WeekIndex]=16)*(T_PlannedOrders[EffectiveQty]&gt;0)*T_PlannedOrders[Order_Month])),"m月")&amp;"発注)")</f>
        <v/>
      </c>
      <c r="T551">
        <f>IF(SUMIFS(T_PlannedOrders[EffectiveQty],T_PlannedOrders[Part Name],$A507,T_PlannedOrders[WeekIndex],17)=0,"",SUMIFS(T_PlannedOrders[EffectiveQty],T_PlannedOrders[Part Name],$A507,T_PlannedOrders[WeekIndex],17)&amp;" ("&amp;TEXT(SUMPRODUCT(MAX((T_PlannedOrders[Part Name]=$A507)*(T_PlannedOrders[WeekIndex]=17)*(T_PlannedOrders[EffectiveQty]&gt;0)*T_PlannedOrders[Order_Month])),"m月")&amp;"発注)")</f>
        <v/>
      </c>
      <c r="U551">
        <f>IF(SUMIFS(T_PlannedOrders[EffectiveQty],T_PlannedOrders[Part Name],$A507,T_PlannedOrders[WeekIndex],18)=0,"",SUMIFS(T_PlannedOrders[EffectiveQty],T_PlannedOrders[Part Name],$A507,T_PlannedOrders[WeekIndex],18)&amp;" ("&amp;TEXT(SUMPRODUCT(MAX((T_PlannedOrders[Part Name]=$A507)*(T_PlannedOrders[WeekIndex]=18)*(T_PlannedOrders[EffectiveQty]&gt;0)*T_PlannedOrders[Order_Month])),"m月")&amp;"発注)")</f>
        <v/>
      </c>
      <c r="V551">
        <f>IF(SUMIFS(T_PlannedOrders[EffectiveQty],T_PlannedOrders[Part Name],$A507,T_PlannedOrders[WeekIndex],19)=0,"",SUMIFS(T_PlannedOrders[EffectiveQty],T_PlannedOrders[Part Name],$A507,T_PlannedOrders[WeekIndex],19)&amp;" ("&amp;TEXT(SUMPRODUCT(MAX((T_PlannedOrders[Part Name]=$A507)*(T_PlannedOrders[WeekIndex]=19)*(T_PlannedOrders[EffectiveQty]&gt;0)*T_PlannedOrders[Order_Month])),"m月")&amp;"発注)")</f>
        <v/>
      </c>
      <c r="W551">
        <f>IF(SUMIFS(T_PlannedOrders[EffectiveQty],T_PlannedOrders[Part Name],$A507,T_PlannedOrders[WeekIndex],20)=0,"",SUMIFS(T_PlannedOrders[EffectiveQty],T_PlannedOrders[Part Name],$A507,T_PlannedOrders[WeekIndex],20)&amp;" ("&amp;TEXT(SUMPRODUCT(MAX((T_PlannedOrders[Part Name]=$A507)*(T_PlannedOrders[WeekIndex]=20)*(T_PlannedOrders[EffectiveQty]&gt;0)*T_PlannedOrders[Order_Month])),"m月")&amp;"発注)")</f>
        <v/>
      </c>
      <c r="X551">
        <f>IF(SUMIFS(T_PlannedOrders[EffectiveQty],T_PlannedOrders[Part Name],$A507,T_PlannedOrders[WeekIndex],21)=0,"",SUMIFS(T_PlannedOrders[EffectiveQty],T_PlannedOrders[Part Name],$A507,T_PlannedOrders[WeekIndex],21)&amp;" ("&amp;TEXT(SUMPRODUCT(MAX((T_PlannedOrders[Part Name]=$A507)*(T_PlannedOrders[WeekIndex]=21)*(T_PlannedOrders[EffectiveQty]&gt;0)*T_PlannedOrders[Order_Month])),"m月")&amp;"発注)")</f>
        <v/>
      </c>
      <c r="Y551">
        <f>IF(SUMIFS(T_PlannedOrders[EffectiveQty],T_PlannedOrders[Part Name],$A507,T_PlannedOrders[WeekIndex],22)=0,"",SUMIFS(T_PlannedOrders[EffectiveQty],T_PlannedOrders[Part Name],$A507,T_PlannedOrders[WeekIndex],22)&amp;" ("&amp;TEXT(SUMPRODUCT(MAX((T_PlannedOrders[Part Name]=$A507)*(T_PlannedOrders[WeekIndex]=22)*(T_PlannedOrders[EffectiveQty]&gt;0)*T_PlannedOrders[Order_Month])),"m月")&amp;"発注)")</f>
        <v/>
      </c>
      <c r="Z551">
        <f>IF(SUMIFS(T_PlannedOrders[EffectiveQty],T_PlannedOrders[Part Name],$A507,T_PlannedOrders[WeekIndex],23)=0,"",SUMIFS(T_PlannedOrders[EffectiveQty],T_PlannedOrders[Part Name],$A507,T_PlannedOrders[WeekIndex],23)&amp;" ("&amp;TEXT(SUMPRODUCT(MAX((T_PlannedOrders[Part Name]=$A507)*(T_PlannedOrders[WeekIndex]=23)*(T_PlannedOrders[EffectiveQty]&gt;0)*T_PlannedOrders[Order_Month])),"m月")&amp;"発注)")</f>
        <v/>
      </c>
      <c r="AA551">
        <f>IF(SUMIFS(T_PlannedOrders[EffectiveQty],T_PlannedOrders[Part Name],$A507,T_PlannedOrders[WeekIndex],24)=0,"",SUMIFS(T_PlannedOrders[EffectiveQty],T_PlannedOrders[Part Name],$A507,T_PlannedOrders[WeekIndex],24)&amp;" ("&amp;TEXT(SUMPRODUCT(MAX((T_PlannedOrders[Part Name]=$A507)*(T_PlannedOrders[WeekIndex]=24)*(T_PlannedOrders[EffectiveQty]&gt;0)*T_PlannedOrders[Order_Month])),"m月")&amp;"発注)")</f>
        <v/>
      </c>
      <c r="AB551">
        <f>IF(SUMIFS(T_PlannedOrders[EffectiveQty],T_PlannedOrders[Part Name],$A507,T_PlannedOrders[WeekIndex],25)=0,"",SUMIFS(T_PlannedOrders[EffectiveQty],T_PlannedOrders[Part Name],$A507,T_PlannedOrders[WeekIndex],25)&amp;" ("&amp;TEXT(SUMPRODUCT(MAX((T_PlannedOrders[Part Name]=$A507)*(T_PlannedOrders[WeekIndex]=25)*(T_PlannedOrders[EffectiveQty]&gt;0)*T_PlannedOrders[Order_Month])),"m月")&amp;"発注)")</f>
        <v/>
      </c>
      <c r="AC551">
        <f>IF(SUMIFS(T_PlannedOrders[EffectiveQty],T_PlannedOrders[Part Name],$A507,T_PlannedOrders[WeekIndex],26)=0,"",SUMIFS(T_PlannedOrders[EffectiveQty],T_PlannedOrders[Part Name],$A507,T_PlannedOrders[WeekIndex],26)&amp;" ("&amp;TEXT(SUMPRODUCT(MAX((T_PlannedOrders[Part Name]=$A507)*(T_PlannedOrders[WeekIndex]=26)*(T_PlannedOrders[EffectiveQty]&gt;0)*T_PlannedOrders[Order_Month])),"m月")&amp;"発注)")</f>
        <v/>
      </c>
      <c r="AD551">
        <f>IF(SUMIFS(T_PlannedOrders[EffectiveQty],T_PlannedOrders[Part Name],$A507,T_PlannedOrders[WeekIndex],27)=0,"",SUMIFS(T_PlannedOrders[EffectiveQty],T_PlannedOrders[Part Name],$A507,T_PlannedOrders[WeekIndex],27)&amp;" ("&amp;TEXT(SUMPRODUCT(MAX((T_PlannedOrders[Part Name]=$A507)*(T_PlannedOrders[WeekIndex]=27)*(T_PlannedOrders[EffectiveQty]&gt;0)*T_PlannedOrders[Order_Month])),"m月")&amp;"発注)")</f>
        <v/>
      </c>
      <c r="AE551">
        <f>IF(SUMIFS(T_PlannedOrders[EffectiveQty],T_PlannedOrders[Part Name],$A507,T_PlannedOrders[WeekIndex],28)=0,"",SUMIFS(T_PlannedOrders[EffectiveQty],T_PlannedOrders[Part Name],$A507,T_PlannedOrders[WeekIndex],28)&amp;" ("&amp;TEXT(SUMPRODUCT(MAX((T_PlannedOrders[Part Name]=$A507)*(T_PlannedOrders[WeekIndex]=28)*(T_PlannedOrders[EffectiveQty]&gt;0)*T_PlannedOrders[Order_Month])),"m月")&amp;"発注)")</f>
        <v/>
      </c>
      <c r="AF551">
        <f>IF(SUMIFS(T_PlannedOrders[EffectiveQty],T_PlannedOrders[Part Name],$A507,T_PlannedOrders[WeekIndex],29)=0,"",SUMIFS(T_PlannedOrders[EffectiveQty],T_PlannedOrders[Part Name],$A507,T_PlannedOrders[WeekIndex],29)&amp;" ("&amp;TEXT(SUMPRODUCT(MAX((T_PlannedOrders[Part Name]=$A507)*(T_PlannedOrders[WeekIndex]=29)*(T_PlannedOrders[EffectiveQty]&gt;0)*T_PlannedOrders[Order_Month])),"m月")&amp;"発注)")</f>
        <v/>
      </c>
      <c r="AG551">
        <f>IF(SUMIFS(T_PlannedOrders[EffectiveQty],T_PlannedOrders[Part Name],$A507,T_PlannedOrders[WeekIndex],30)=0,"",SUMIFS(T_PlannedOrders[EffectiveQty],T_PlannedOrders[Part Name],$A507,T_PlannedOrders[WeekIndex],30)&amp;" ("&amp;TEXT(SUMPRODUCT(MAX((T_PlannedOrders[Part Name]=$A507)*(T_PlannedOrders[WeekIndex]=30)*(T_PlannedOrders[EffectiveQty]&gt;0)*T_PlannedOrders[Order_Month])),"m月")&amp;"発注)")</f>
        <v/>
      </c>
      <c r="AH551">
        <f>IF(SUMIFS(T_PlannedOrders[EffectiveQty],T_PlannedOrders[Part Name],$A507,T_PlannedOrders[WeekIndex],31)=0,"",SUMIFS(T_PlannedOrders[EffectiveQty],T_PlannedOrders[Part Name],$A507,T_PlannedOrders[WeekIndex],31)&amp;" ("&amp;TEXT(SUMPRODUCT(MAX((T_PlannedOrders[Part Name]=$A507)*(T_PlannedOrders[WeekIndex]=31)*(T_PlannedOrders[EffectiveQty]&gt;0)*T_PlannedOrders[Order_Month])),"m月")&amp;"発注)")</f>
        <v/>
      </c>
      <c r="AI551">
        <f>IF(SUMIFS(T_PlannedOrders[EffectiveQty],T_PlannedOrders[Part Name],$A507,T_PlannedOrders[WeekIndex],32)=0,"",SUMIFS(T_PlannedOrders[EffectiveQty],T_PlannedOrders[Part Name],$A507,T_PlannedOrders[WeekIndex],32)&amp;" ("&amp;TEXT(SUMPRODUCT(MAX((T_PlannedOrders[Part Name]=$A507)*(T_PlannedOrders[WeekIndex]=32)*(T_PlannedOrders[EffectiveQty]&gt;0)*T_PlannedOrders[Order_Month])),"m月")&amp;"発注)")</f>
        <v/>
      </c>
      <c r="AJ551">
        <f>IF(SUMIFS(T_PlannedOrders[EffectiveQty],T_PlannedOrders[Part Name],$A507,T_PlannedOrders[WeekIndex],33)=0,"",SUMIFS(T_PlannedOrders[EffectiveQty],T_PlannedOrders[Part Name],$A507,T_PlannedOrders[WeekIndex],33)&amp;" ("&amp;TEXT(SUMPRODUCT(MAX((T_PlannedOrders[Part Name]=$A507)*(T_PlannedOrders[WeekIndex]=33)*(T_PlannedOrders[EffectiveQty]&gt;0)*T_PlannedOrders[Order_Month])),"m月")&amp;"発注)")</f>
        <v/>
      </c>
      <c r="AK551">
        <f>IF(SUMIFS(T_PlannedOrders[EffectiveQty],T_PlannedOrders[Part Name],$A507,T_PlannedOrders[WeekIndex],34)=0,"",SUMIFS(T_PlannedOrders[EffectiveQty],T_PlannedOrders[Part Name],$A507,T_PlannedOrders[WeekIndex],34)&amp;" ("&amp;TEXT(SUMPRODUCT(MAX((T_PlannedOrders[Part Name]=$A507)*(T_PlannedOrders[WeekIndex]=34)*(T_PlannedOrders[EffectiveQty]&gt;0)*T_PlannedOrders[Order_Month])),"m月")&amp;"発注)")</f>
        <v/>
      </c>
      <c r="AL551">
        <f>IF(SUMIFS(T_PlannedOrders[EffectiveQty],T_PlannedOrders[Part Name],$A507,T_PlannedOrders[WeekIndex],35)=0,"",SUMIFS(T_PlannedOrders[EffectiveQty],T_PlannedOrders[Part Name],$A507,T_PlannedOrders[WeekIndex],35)&amp;" ("&amp;TEXT(SUMPRODUCT(MAX((T_PlannedOrders[Part Name]=$A507)*(T_PlannedOrders[WeekIndex]=35)*(T_PlannedOrders[EffectiveQty]&gt;0)*T_PlannedOrders[Order_Month])),"m月")&amp;"発注)")</f>
        <v/>
      </c>
      <c r="AM551">
        <f>IF(SUMIFS(T_PlannedOrders[EffectiveQty],T_PlannedOrders[Part Name],$A507,T_PlannedOrders[WeekIndex],36)=0,"",SUMIFS(T_PlannedOrders[EffectiveQty],T_PlannedOrders[Part Name],$A507,T_PlannedOrders[WeekIndex],36)&amp;" ("&amp;TEXT(SUMPRODUCT(MAX((T_PlannedOrders[Part Name]=$A507)*(T_PlannedOrders[WeekIndex]=36)*(T_PlannedOrders[EffectiveQty]&gt;0)*T_PlannedOrders[Order_Month])),"m月")&amp;"発注)")</f>
        <v/>
      </c>
      <c r="AN551">
        <f>IF(SUMIFS(T_PlannedOrders[EffectiveQty],T_PlannedOrders[Part Name],$A507,T_PlannedOrders[WeekIndex],37)=0,"",SUMIFS(T_PlannedOrders[EffectiveQty],T_PlannedOrders[Part Name],$A507,T_PlannedOrders[WeekIndex],37)&amp;" ("&amp;TEXT(SUMPRODUCT(MAX((T_PlannedOrders[Part Name]=$A507)*(T_PlannedOrders[WeekIndex]=37)*(T_PlannedOrders[EffectiveQty]&gt;0)*T_PlannedOrders[Order_Month])),"m月")&amp;"発注)")</f>
        <v/>
      </c>
      <c r="AO551">
        <f>IF(SUMIFS(T_PlannedOrders[EffectiveQty],T_PlannedOrders[Part Name],$A507,T_PlannedOrders[WeekIndex],38)=0,"",SUMIFS(T_PlannedOrders[EffectiveQty],T_PlannedOrders[Part Name],$A507,T_PlannedOrders[WeekIndex],38)&amp;" ("&amp;TEXT(SUMPRODUCT(MAX((T_PlannedOrders[Part Name]=$A507)*(T_PlannedOrders[WeekIndex]=38)*(T_PlannedOrders[EffectiveQty]&gt;0)*T_PlannedOrders[Order_Month])),"m月")&amp;"発注)")</f>
        <v/>
      </c>
      <c r="AP551">
        <f>IF(SUMIFS(T_PlannedOrders[EffectiveQty],T_PlannedOrders[Part Name],$A507,T_PlannedOrders[WeekIndex],39)=0,"",SUMIFS(T_PlannedOrders[EffectiveQty],T_PlannedOrders[Part Name],$A507,T_PlannedOrders[WeekIndex],39)&amp;" ("&amp;TEXT(SUMPRODUCT(MAX((T_PlannedOrders[Part Name]=$A507)*(T_PlannedOrders[WeekIndex]=39)*(T_PlannedOrders[EffectiveQty]&gt;0)*T_PlannedOrders[Order_Month])),"m月")&amp;"発注)")</f>
        <v/>
      </c>
      <c r="AQ551">
        <f>IF(SUMIFS(T_PlannedOrders[EffectiveQty],T_PlannedOrders[Part Name],$A507,T_PlannedOrders[WeekIndex],40)=0,"",SUMIFS(T_PlannedOrders[EffectiveQty],T_PlannedOrders[Part Name],$A507,T_PlannedOrders[WeekIndex],40)&amp;" ("&amp;TEXT(SUMPRODUCT(MAX((T_PlannedOrders[Part Name]=$A507)*(T_PlannedOrders[WeekIndex]=40)*(T_PlannedOrders[EffectiveQty]&gt;0)*T_PlannedOrders[Order_Month])),"m月")&amp;"発注)")</f>
        <v/>
      </c>
      <c r="AR551">
        <f>IF(SUMIFS(T_PlannedOrders[EffectiveQty],T_PlannedOrders[Part Name],$A507,T_PlannedOrders[WeekIndex],41)=0,"",SUMIFS(T_PlannedOrders[EffectiveQty],T_PlannedOrders[Part Name],$A507,T_PlannedOrders[WeekIndex],41)&amp;" ("&amp;TEXT(SUMPRODUCT(MAX((T_PlannedOrders[Part Name]=$A507)*(T_PlannedOrders[WeekIndex]=41)*(T_PlannedOrders[EffectiveQty]&gt;0)*T_PlannedOrders[Order_Month])),"m月")&amp;"発注)")</f>
        <v/>
      </c>
      <c r="AS551">
        <f>IF(SUMIFS(T_PlannedOrders[EffectiveQty],T_PlannedOrders[Part Name],$A507,T_PlannedOrders[WeekIndex],42)=0,"",SUMIFS(T_PlannedOrders[EffectiveQty],T_PlannedOrders[Part Name],$A507,T_PlannedOrders[WeekIndex],42)&amp;" ("&amp;TEXT(SUMPRODUCT(MAX((T_PlannedOrders[Part Name]=$A507)*(T_PlannedOrders[WeekIndex]=42)*(T_PlannedOrders[EffectiveQty]&gt;0)*T_PlannedOrders[Order_Month])),"m月")&amp;"発注)")</f>
        <v/>
      </c>
      <c r="AT551">
        <f>IF(SUMIFS(T_PlannedOrders[EffectiveQty],T_PlannedOrders[Part Name],$A507,T_PlannedOrders[WeekIndex],43)=0,"",SUMIFS(T_PlannedOrders[EffectiveQty],T_PlannedOrders[Part Name],$A507,T_PlannedOrders[WeekIndex],43)&amp;" ("&amp;TEXT(SUMPRODUCT(MAX((T_PlannedOrders[Part Name]=$A507)*(T_PlannedOrders[WeekIndex]=43)*(T_PlannedOrders[EffectiveQty]&gt;0)*T_PlannedOrders[Order_Month])),"m月")&amp;"発注)")</f>
        <v/>
      </c>
      <c r="AU551">
        <f>IF(SUMIFS(T_PlannedOrders[EffectiveQty],T_PlannedOrders[Part Name],$A507,T_PlannedOrders[WeekIndex],44)=0,"",SUMIFS(T_PlannedOrders[EffectiveQty],T_PlannedOrders[Part Name],$A507,T_PlannedOrders[WeekIndex],44)&amp;" ("&amp;TEXT(SUMPRODUCT(MAX((T_PlannedOrders[Part Name]=$A507)*(T_PlannedOrders[WeekIndex]=44)*(T_PlannedOrders[EffectiveQty]&gt;0)*T_PlannedOrders[Order_Month])),"m月")&amp;"発注)")</f>
        <v/>
      </c>
      <c r="AV551">
        <f>IF(SUMIFS(T_PlannedOrders[EffectiveQty],T_PlannedOrders[Part Name],$A507,T_PlannedOrders[WeekIndex],45)=0,"",SUMIFS(T_PlannedOrders[EffectiveQty],T_PlannedOrders[Part Name],$A507,T_PlannedOrders[WeekIndex],45)&amp;" ("&amp;TEXT(SUMPRODUCT(MAX((T_PlannedOrders[Part Name]=$A507)*(T_PlannedOrders[WeekIndex]=45)*(T_PlannedOrders[EffectiveQty]&gt;0)*T_PlannedOrders[Order_Month])),"m月")&amp;"発注)")</f>
        <v/>
      </c>
      <c r="AW551">
        <f>IF(SUMIFS(T_PlannedOrders[EffectiveQty],T_PlannedOrders[Part Name],$A507,T_PlannedOrders[WeekIndex],46)=0,"",SUMIFS(T_PlannedOrders[EffectiveQty],T_PlannedOrders[Part Name],$A507,T_PlannedOrders[WeekIndex],46)&amp;" ("&amp;TEXT(SUMPRODUCT(MAX((T_PlannedOrders[Part Name]=$A507)*(T_PlannedOrders[WeekIndex]=46)*(T_PlannedOrders[EffectiveQty]&gt;0)*T_PlannedOrders[Order_Month])),"m月")&amp;"発注)")</f>
        <v/>
      </c>
      <c r="AX551">
        <f>IF(SUMIFS(T_PlannedOrders[EffectiveQty],T_PlannedOrders[Part Name],$A507,T_PlannedOrders[WeekIndex],47)=0,"",SUMIFS(T_PlannedOrders[EffectiveQty],T_PlannedOrders[Part Name],$A507,T_PlannedOrders[WeekIndex],47)&amp;" ("&amp;TEXT(SUMPRODUCT(MAX((T_PlannedOrders[Part Name]=$A507)*(T_PlannedOrders[WeekIndex]=47)*(T_PlannedOrders[EffectiveQty]&gt;0)*T_PlannedOrders[Order_Month])),"m月")&amp;"発注)")</f>
        <v/>
      </c>
      <c r="AY551">
        <f>IF(SUMIFS(T_PlannedOrders[EffectiveQty],T_PlannedOrders[Part Name],$A507,T_PlannedOrders[WeekIndex],48)=0,"",SUMIFS(T_PlannedOrders[EffectiveQty],T_PlannedOrders[Part Name],$A507,T_PlannedOrders[WeekIndex],48)&amp;" ("&amp;TEXT(SUMPRODUCT(MAX((T_PlannedOrders[Part Name]=$A507)*(T_PlannedOrders[WeekIndex]=48)*(T_PlannedOrders[EffectiveQty]&gt;0)*T_PlannedOrders[Order_Month])),"m月")&amp;"発注)")</f>
        <v/>
      </c>
      <c r="AZ551">
        <f>IF(SUMIFS(T_PlannedOrders[EffectiveQty],T_PlannedOrders[Part Name],$A507,T_PlannedOrders[WeekIndex],49)=0,"",SUMIFS(T_PlannedOrders[EffectiveQty],T_PlannedOrders[Part Name],$A507,T_PlannedOrders[WeekIndex],49)&amp;" ("&amp;TEXT(SUMPRODUCT(MAX((T_PlannedOrders[Part Name]=$A507)*(T_PlannedOrders[WeekIndex]=49)*(T_PlannedOrders[EffectiveQty]&gt;0)*T_PlannedOrders[Order_Month])),"m月")&amp;"発注)")</f>
        <v/>
      </c>
      <c r="BA551">
        <f>IF(SUMIFS(T_PlannedOrders[EffectiveQty],T_PlannedOrders[Part Name],$A507,T_PlannedOrders[WeekIndex],50)=0,"",SUMIFS(T_PlannedOrders[EffectiveQty],T_PlannedOrders[Part Name],$A507,T_PlannedOrders[WeekIndex],50)&amp;" ("&amp;TEXT(SUMPRODUCT(MAX((T_PlannedOrders[Part Name]=$A507)*(T_PlannedOrders[WeekIndex]=50)*(T_PlannedOrders[EffectiveQty]&gt;0)*T_PlannedOrders[Order_Month])),"m月")&amp;"発注)")</f>
        <v/>
      </c>
      <c r="BB551">
        <f>IF(SUMIFS(T_PlannedOrders[EffectiveQty],T_PlannedOrders[Part Name],$A507,T_PlannedOrders[WeekIndex],51)=0,"",SUMIFS(T_PlannedOrders[EffectiveQty],T_PlannedOrders[Part Name],$A507,T_PlannedOrders[WeekIndex],51)&amp;" ("&amp;TEXT(SUMPRODUCT(MAX((T_PlannedOrders[Part Name]=$A507)*(T_PlannedOrders[WeekIndex]=51)*(T_PlannedOrders[EffectiveQty]&gt;0)*T_PlannedOrders[Order_Month])),"m月")&amp;"発注)")</f>
        <v/>
      </c>
      <c r="BC551">
        <f>IF(SUMIFS(T_PlannedOrders[EffectiveQty],T_PlannedOrders[Part Name],$A507,T_PlannedOrders[WeekIndex],52)=0,"",SUMIFS(T_PlannedOrders[EffectiveQty],T_PlannedOrders[Part Name],$A507,T_PlannedOrders[WeekIndex],52)&amp;" ("&amp;TEXT(SUMPRODUCT(MAX((T_PlannedOrders[Part Name]=$A507)*(T_PlannedOrders[WeekIndex]=52)*(T_PlannedOrders[EffectiveQty]&gt;0)*T_PlannedOrders[Order_Month])),"m月")&amp;"発注)")</f>
        <v/>
      </c>
      <c r="BD551">
        <f>IF(SUMIFS(T_PlannedOrders[EffectiveQty],T_PlannedOrders[Part Name],$A507,T_PlannedOrders[WeekIndex],53)=0,"",SUMIFS(T_PlannedOrders[EffectiveQty],T_PlannedOrders[Part Name],$A507,T_PlannedOrders[WeekIndex],53)&amp;" ("&amp;TEXT(SUMPRODUCT(MAX((T_PlannedOrders[Part Name]=$A507)*(T_PlannedOrders[WeekIndex]=53)*(T_PlannedOrders[EffectiveQty]&gt;0)*T_PlannedOrders[Order_Month])),"m月")&amp;"発注)")</f>
        <v/>
      </c>
      <c r="BE551">
        <f>IF(SUMIFS(T_PlannedOrders[EffectiveQty],T_PlannedOrders[Part Name],$A507,T_PlannedOrders[WeekIndex],54)=0,"",SUMIFS(T_PlannedOrders[EffectiveQty],T_PlannedOrders[Part Name],$A507,T_PlannedOrders[WeekIndex],54)&amp;" ("&amp;TEXT(SUMPRODUCT(MAX((T_PlannedOrders[Part Name]=$A507)*(T_PlannedOrders[WeekIndex]=54)*(T_PlannedOrders[EffectiveQty]&gt;0)*T_PlannedOrders[Order_Month])),"m月")&amp;"発注)")</f>
        <v/>
      </c>
      <c r="BF551">
        <f>IF(SUMIFS(T_PlannedOrders[EffectiveQty],T_PlannedOrders[Part Name],$A507,T_PlannedOrders[WeekIndex],55)=0,"",SUMIFS(T_PlannedOrders[EffectiveQty],T_PlannedOrders[Part Name],$A507,T_PlannedOrders[WeekIndex],55)&amp;" ("&amp;TEXT(SUMPRODUCT(MAX((T_PlannedOrders[Part Name]=$A507)*(T_PlannedOrders[WeekIndex]=55)*(T_PlannedOrders[EffectiveQty]&gt;0)*T_PlannedOrders[Order_Month])),"m月")&amp;"発注)")</f>
        <v/>
      </c>
      <c r="BG551">
        <f>IF(SUMIFS(T_PlannedOrders[EffectiveQty],T_PlannedOrders[Part Name],$A507,T_PlannedOrders[WeekIndex],56)=0,"",SUMIFS(T_PlannedOrders[EffectiveQty],T_PlannedOrders[Part Name],$A507,T_PlannedOrders[WeekIndex],56)&amp;" ("&amp;TEXT(SUMPRODUCT(MAX((T_PlannedOrders[Part Name]=$A507)*(T_PlannedOrders[WeekIndex]=56)*(T_PlannedOrders[EffectiveQty]&gt;0)*T_PlannedOrders[Order_Month])),"m月")&amp;"発注)")</f>
        <v/>
      </c>
      <c r="BH551">
        <f>IF(SUMIFS(T_PlannedOrders[EffectiveQty],T_PlannedOrders[Part Name],$A507,T_PlannedOrders[WeekIndex],57)=0,"",SUMIFS(T_PlannedOrders[EffectiveQty],T_PlannedOrders[Part Name],$A507,T_PlannedOrders[WeekIndex],57)&amp;" ("&amp;TEXT(SUMPRODUCT(MAX((T_PlannedOrders[Part Name]=$A507)*(T_PlannedOrders[WeekIndex]=57)*(T_PlannedOrders[EffectiveQty]&gt;0)*T_PlannedOrders[Order_Month])),"m月")&amp;"発注)")</f>
        <v/>
      </c>
      <c r="BI551">
        <f>IF(SUMIFS(T_PlannedOrders[EffectiveQty],T_PlannedOrders[Part Name],$A507,T_PlannedOrders[WeekIndex],58)=0,"",SUMIFS(T_PlannedOrders[EffectiveQty],T_PlannedOrders[Part Name],$A507,T_PlannedOrders[WeekIndex],58)&amp;" ("&amp;TEXT(SUMPRODUCT(MAX((T_PlannedOrders[Part Name]=$A507)*(T_PlannedOrders[WeekIndex]=58)*(T_PlannedOrders[EffectiveQty]&gt;0)*T_PlannedOrders[Order_Month])),"m月")&amp;"発注)")</f>
        <v/>
      </c>
      <c r="BJ551">
        <f>IF(SUMIFS(T_PlannedOrders[EffectiveQty],T_PlannedOrders[Part Name],$A507,T_PlannedOrders[WeekIndex],59)=0,"",SUMIFS(T_PlannedOrders[EffectiveQty],T_PlannedOrders[Part Name],$A507,T_PlannedOrders[WeekIndex],59)&amp;" ("&amp;TEXT(SUMPRODUCT(MAX((T_PlannedOrders[Part Name]=$A507)*(T_PlannedOrders[WeekIndex]=59)*(T_PlannedOrders[EffectiveQty]&gt;0)*T_PlannedOrders[Order_Month])),"m月")&amp;"発注)")</f>
        <v/>
      </c>
      <c r="BK551">
        <f>IF(SUMIFS(T_PlannedOrders[EffectiveQty],T_PlannedOrders[Part Name],$A507,T_PlannedOrders[WeekIndex],60)=0,"",SUMIFS(T_PlannedOrders[EffectiveQty],T_PlannedOrders[Part Name],$A507,T_PlannedOrders[WeekIndex],60)&amp;" ("&amp;TEXT(SUMPRODUCT(MAX((T_PlannedOrders[Part Name]=$A507)*(T_PlannedOrders[WeekIndex]=60)*(T_PlannedOrders[EffectiveQty]&gt;0)*T_PlannedOrders[Order_Month])),"m月")&amp;"発注)")</f>
        <v/>
      </c>
      <c r="BL551">
        <f>IF(SUMIFS(T_PlannedOrders[EffectiveQty],T_PlannedOrders[Part Name],$A507,T_PlannedOrders[WeekIndex],61)=0,"",SUMIFS(T_PlannedOrders[EffectiveQty],T_PlannedOrders[Part Name],$A507,T_PlannedOrders[WeekIndex],61)&amp;" ("&amp;TEXT(SUMPRODUCT(MAX((T_PlannedOrders[Part Name]=$A507)*(T_PlannedOrders[WeekIndex]=61)*(T_PlannedOrders[EffectiveQty]&gt;0)*T_PlannedOrders[Order_Month])),"m月")&amp;"発注)")</f>
        <v/>
      </c>
      <c r="BM551">
        <f>IF(SUMIFS(T_PlannedOrders[EffectiveQty],T_PlannedOrders[Part Name],$A507,T_PlannedOrders[WeekIndex],62)=0,"",SUMIFS(T_PlannedOrders[EffectiveQty],T_PlannedOrders[Part Name],$A507,T_PlannedOrders[WeekIndex],62)&amp;" ("&amp;TEXT(SUMPRODUCT(MAX((T_PlannedOrders[Part Name]=$A507)*(T_PlannedOrders[WeekIndex]=62)*(T_PlannedOrders[EffectiveQty]&gt;0)*T_PlannedOrders[Order_Month])),"m月")&amp;"発注)")</f>
        <v/>
      </c>
      <c r="BN551">
        <f>IF(SUMIFS(T_PlannedOrders[EffectiveQty],T_PlannedOrders[Part Name],$A507,T_PlannedOrders[WeekIndex],63)=0,"",SUMIFS(T_PlannedOrders[EffectiveQty],T_PlannedOrders[Part Name],$A507,T_PlannedOrders[WeekIndex],63)&amp;" ("&amp;TEXT(SUMPRODUCT(MAX((T_PlannedOrders[Part Name]=$A507)*(T_PlannedOrders[WeekIndex]=63)*(T_PlannedOrders[EffectiveQty]&gt;0)*T_PlannedOrders[Order_Month])),"m月")&amp;"発注)")</f>
        <v/>
      </c>
      <c r="BO551">
        <f>IF(SUMIFS(T_PlannedOrders[EffectiveQty],T_PlannedOrders[Part Name],$A507,T_PlannedOrders[WeekIndex],64)=0,"",SUMIFS(T_PlannedOrders[EffectiveQty],T_PlannedOrders[Part Name],$A507,T_PlannedOrders[WeekIndex],64)&amp;" ("&amp;TEXT(SUMPRODUCT(MAX((T_PlannedOrders[Part Name]=$A507)*(T_PlannedOrders[WeekIndex]=64)*(T_PlannedOrders[EffectiveQty]&gt;0)*T_PlannedOrders[Order_Month])),"m月")&amp;"発注)")</f>
        <v/>
      </c>
      <c r="BP551">
        <f>IF(SUMIFS(T_PlannedOrders[EffectiveQty],T_PlannedOrders[Part Name],$A507,T_PlannedOrders[WeekIndex],65)=0,"",SUMIFS(T_PlannedOrders[EffectiveQty],T_PlannedOrders[Part Name],$A507,T_PlannedOrders[WeekIndex],65)&amp;" ("&amp;TEXT(SUMPRODUCT(MAX((T_PlannedOrders[Part Name]=$A507)*(T_PlannedOrders[WeekIndex]=65)*(T_PlannedOrders[EffectiveQty]&gt;0)*T_PlannedOrders[Order_Month])),"m月")&amp;"発注)")</f>
        <v/>
      </c>
      <c r="BQ551">
        <f>IF(SUMIFS(T_PlannedOrders[EffectiveQty],T_PlannedOrders[Part Name],$A507,T_PlannedOrders[WeekIndex],66)=0,"",SUMIFS(T_PlannedOrders[EffectiveQty],T_PlannedOrders[Part Name],$A507,T_PlannedOrders[WeekIndex],66)&amp;" ("&amp;TEXT(SUMPRODUCT(MAX((T_PlannedOrders[Part Name]=$A507)*(T_PlannedOrders[WeekIndex]=66)*(T_PlannedOrders[EffectiveQty]&gt;0)*T_PlannedOrders[Order_Month])),"m月")&amp;"発注)")</f>
        <v/>
      </c>
      <c r="BR551">
        <f>IF(SUMIFS(T_PlannedOrders[EffectiveQty],T_PlannedOrders[Part Name],$A507,T_PlannedOrders[WeekIndex],67)=0,"",SUMIFS(T_PlannedOrders[EffectiveQty],T_PlannedOrders[Part Name],$A507,T_PlannedOrders[WeekIndex],67)&amp;" ("&amp;TEXT(SUMPRODUCT(MAX((T_PlannedOrders[Part Name]=$A507)*(T_PlannedOrders[WeekIndex]=67)*(T_PlannedOrders[EffectiveQty]&gt;0)*T_PlannedOrders[Order_Month])),"m月")&amp;"発注)")</f>
        <v/>
      </c>
      <c r="BS551">
        <f>IF(SUMIFS(T_PlannedOrders[EffectiveQty],T_PlannedOrders[Part Name],$A507,T_PlannedOrders[WeekIndex],68)=0,"",SUMIFS(T_PlannedOrders[EffectiveQty],T_PlannedOrders[Part Name],$A507,T_PlannedOrders[WeekIndex],68)&amp;" ("&amp;TEXT(SUMPRODUCT(MAX((T_PlannedOrders[Part Name]=$A507)*(T_PlannedOrders[WeekIndex]=68)*(T_PlannedOrders[EffectiveQty]&gt;0)*T_PlannedOrders[Order_Month])),"m月")&amp;"発注)")</f>
        <v/>
      </c>
      <c r="BT551">
        <f>IF(SUMIFS(T_PlannedOrders[EffectiveQty],T_PlannedOrders[Part Name],$A507,T_PlannedOrders[WeekIndex],69)=0,"",SUMIFS(T_PlannedOrders[EffectiveQty],T_PlannedOrders[Part Name],$A507,T_PlannedOrders[WeekIndex],69)&amp;" ("&amp;TEXT(SUMPRODUCT(MAX((T_PlannedOrders[Part Name]=$A507)*(T_PlannedOrders[WeekIndex]=69)*(T_PlannedOrders[EffectiveQty]&gt;0)*T_PlannedOrders[Order_Month])),"m月")&amp;"発注)")</f>
        <v/>
      </c>
      <c r="BU551">
        <f>IF(SUMIFS(T_PlannedOrders[EffectiveQty],T_PlannedOrders[Part Name],$A507,T_PlannedOrders[WeekIndex],70)=0,"",SUMIFS(T_PlannedOrders[EffectiveQty],T_PlannedOrders[Part Name],$A507,T_PlannedOrders[WeekIndex],70)&amp;" ("&amp;TEXT(SUMPRODUCT(MAX((T_PlannedOrders[Part Name]=$A507)*(T_PlannedOrders[WeekIndex]=70)*(T_PlannedOrders[EffectiveQty]&gt;0)*T_PlannedOrders[Order_Month])),"m月")&amp;"発注)")</f>
        <v/>
      </c>
      <c r="BV551">
        <f>IF(SUMIFS(T_PlannedOrders[EffectiveQty],T_PlannedOrders[Part Name],$A507,T_PlannedOrders[WeekIndex],71)=0,"",SUMIFS(T_PlannedOrders[EffectiveQty],T_PlannedOrders[Part Name],$A507,T_PlannedOrders[WeekIndex],71)&amp;" ("&amp;TEXT(SUMPRODUCT(MAX((T_PlannedOrders[Part Name]=$A507)*(T_PlannedOrders[WeekIndex]=71)*(T_PlannedOrders[EffectiveQty]&gt;0)*T_PlannedOrders[Order_Month])),"m月")&amp;"発注)")</f>
        <v/>
      </c>
      <c r="BW551">
        <f>IF(SUMIFS(T_PlannedOrders[EffectiveQty],T_PlannedOrders[Part Name],$A507,T_PlannedOrders[WeekIndex],72)=0,"",SUMIFS(T_PlannedOrders[EffectiveQty],T_PlannedOrders[Part Name],$A507,T_PlannedOrders[WeekIndex],72)&amp;" ("&amp;TEXT(SUMPRODUCT(MAX((T_PlannedOrders[Part Name]=$A507)*(T_PlannedOrders[WeekIndex]=72)*(T_PlannedOrders[EffectiveQty]&gt;0)*T_PlannedOrders[Order_Month])),"m月")&amp;"発注)")</f>
        <v/>
      </c>
      <c r="BX551">
        <f>IF(SUMIFS(T_PlannedOrders[EffectiveQty],T_PlannedOrders[Part Name],$A507,T_PlannedOrders[WeekIndex],73)=0,"",SUMIFS(T_PlannedOrders[EffectiveQty],T_PlannedOrders[Part Name],$A507,T_PlannedOrders[WeekIndex],73)&amp;" ("&amp;TEXT(SUMPRODUCT(MAX((T_PlannedOrders[Part Name]=$A507)*(T_PlannedOrders[WeekIndex]=73)*(T_PlannedOrders[EffectiveQty]&gt;0)*T_PlannedOrders[Order_Month])),"m月")&amp;"発注)")</f>
        <v/>
      </c>
      <c r="BY551">
        <f>IF(SUMIFS(T_PlannedOrders[EffectiveQty],T_PlannedOrders[Part Name],$A507,T_PlannedOrders[WeekIndex],74)=0,"",SUMIFS(T_PlannedOrders[EffectiveQty],T_PlannedOrders[Part Name],$A507,T_PlannedOrders[WeekIndex],74)&amp;" ("&amp;TEXT(SUMPRODUCT(MAX((T_PlannedOrders[Part Name]=$A507)*(T_PlannedOrders[WeekIndex]=74)*(T_PlannedOrders[EffectiveQty]&gt;0)*T_PlannedOrders[Order_Month])),"m月")&amp;"発注)")</f>
        <v/>
      </c>
      <c r="BZ551">
        <f>IF(SUMIFS(T_PlannedOrders[EffectiveQty],T_PlannedOrders[Part Name],$A507,T_PlannedOrders[WeekIndex],75)=0,"",SUMIFS(T_PlannedOrders[EffectiveQty],T_PlannedOrders[Part Name],$A507,T_PlannedOrders[WeekIndex],75)&amp;" ("&amp;TEXT(SUMPRODUCT(MAX((T_PlannedOrders[Part Name]=$A507)*(T_PlannedOrders[WeekIndex]=75)*(T_PlannedOrders[EffectiveQty]&gt;0)*T_PlannedOrders[Order_Month])),"m月")&amp;"発注)")</f>
        <v/>
      </c>
      <c r="CA551">
        <f>IF(SUMIFS(T_PlannedOrders[EffectiveQty],T_PlannedOrders[Part Name],$A507,T_PlannedOrders[WeekIndex],76)=0,"",SUMIFS(T_PlannedOrders[EffectiveQty],T_PlannedOrders[Part Name],$A507,T_PlannedOrders[WeekIndex],76)&amp;" ("&amp;TEXT(SUMPRODUCT(MAX((T_PlannedOrders[Part Name]=$A507)*(T_PlannedOrders[WeekIndex]=76)*(T_PlannedOrders[EffectiveQty]&gt;0)*T_PlannedOrders[Order_Month])),"m月")&amp;"発注)")</f>
        <v/>
      </c>
      <c r="CB551">
        <f>IF(SUMIFS(T_PlannedOrders[EffectiveQty],T_PlannedOrders[Part Name],$A507,T_PlannedOrders[WeekIndex],77)=0,"",SUMIFS(T_PlannedOrders[EffectiveQty],T_PlannedOrders[Part Name],$A507,T_PlannedOrders[WeekIndex],77)&amp;" ("&amp;TEXT(SUMPRODUCT(MAX((T_PlannedOrders[Part Name]=$A507)*(T_PlannedOrders[WeekIndex]=77)*(T_PlannedOrders[EffectiveQty]&gt;0)*T_PlannedOrders[Order_Month])),"m月")&amp;"発注)")</f>
        <v/>
      </c>
      <c r="CC551">
        <f>IF(SUMIFS(T_PlannedOrders[EffectiveQty],T_PlannedOrders[Part Name],$A507,T_PlannedOrders[WeekIndex],78)=0,"",SUMIFS(T_PlannedOrders[EffectiveQty],T_PlannedOrders[Part Name],$A507,T_PlannedOrders[WeekIndex],78)&amp;" ("&amp;TEXT(SUMPRODUCT(MAX((T_PlannedOrders[Part Name]=$A507)*(T_PlannedOrders[WeekIndex]=78)*(T_PlannedOrders[EffectiveQty]&gt;0)*T_PlannedOrders[Order_Month])),"m月")&amp;"発注)")</f>
        <v/>
      </c>
      <c r="CD551">
        <f>IF(SUMIFS(T_PlannedOrders[EffectiveQty],T_PlannedOrders[Part Name],$A507,T_PlannedOrders[WeekIndex],79)=0,"",SUMIFS(T_PlannedOrders[EffectiveQty],T_PlannedOrders[Part Name],$A507,T_PlannedOrders[WeekIndex],79)&amp;" ("&amp;TEXT(SUMPRODUCT(MAX((T_PlannedOrders[Part Name]=$A507)*(T_PlannedOrders[WeekIndex]=79)*(T_PlannedOrders[EffectiveQty]&gt;0)*T_PlannedOrders[Order_Month])),"m月")&amp;"発注)")</f>
        <v/>
      </c>
      <c r="CE551">
        <f>IF(SUMIFS(T_PlannedOrders[EffectiveQty],T_PlannedOrders[Part Name],$A507,T_PlannedOrders[WeekIndex],80)=0,"",SUMIFS(T_PlannedOrders[EffectiveQty],T_PlannedOrders[Part Name],$A507,T_PlannedOrders[WeekIndex],80)&amp;" ("&amp;TEXT(SUMPRODUCT(MAX((T_PlannedOrders[Part Name]=$A507)*(T_PlannedOrders[WeekIndex]=80)*(T_PlannedOrders[EffectiveQty]&gt;0)*T_PlannedOrders[Order_Month])),"m月")&amp;"発注)")</f>
        <v/>
      </c>
      <c r="CF551">
        <f>IF(SUMIFS(T_PlannedOrders[EffectiveQty],T_PlannedOrders[Part Name],$A507,T_PlannedOrders[WeekIndex],81)=0,"",SUMIFS(T_PlannedOrders[EffectiveQty],T_PlannedOrders[Part Name],$A507,T_PlannedOrders[WeekIndex],81)&amp;" ("&amp;TEXT(SUMPRODUCT(MAX((T_PlannedOrders[Part Name]=$A507)*(T_PlannedOrders[WeekIndex]=81)*(T_PlannedOrders[EffectiveQty]&gt;0)*T_PlannedOrders[Order_Month])),"m月")&amp;"発注)")</f>
        <v/>
      </c>
      <c r="CG551">
        <f>IF(SUMIFS(T_PlannedOrders[EffectiveQty],T_PlannedOrders[Part Name],$A507,T_PlannedOrders[WeekIndex],82)=0,"",SUMIFS(T_PlannedOrders[EffectiveQty],T_PlannedOrders[Part Name],$A507,T_PlannedOrders[WeekIndex],82)&amp;" ("&amp;TEXT(SUMPRODUCT(MAX((T_PlannedOrders[Part Name]=$A507)*(T_PlannedOrders[WeekIndex]=82)*(T_PlannedOrders[EffectiveQty]&gt;0)*T_PlannedOrders[Order_Month])),"m月")&amp;"発注)")</f>
        <v/>
      </c>
      <c r="CH551">
        <f>IF(SUMIFS(T_PlannedOrders[EffectiveQty],T_PlannedOrders[Part Name],$A507,T_PlannedOrders[WeekIndex],83)=0,"",SUMIFS(T_PlannedOrders[EffectiveQty],T_PlannedOrders[Part Name],$A507,T_PlannedOrders[WeekIndex],83)&amp;" ("&amp;TEXT(SUMPRODUCT(MAX((T_PlannedOrders[Part Name]=$A507)*(T_PlannedOrders[WeekIndex]=83)*(T_PlannedOrders[EffectiveQty]&gt;0)*T_PlannedOrders[Order_Month])),"m月")&amp;"発注)")</f>
        <v/>
      </c>
      <c r="CI551">
        <f>IF(SUMIFS(T_PlannedOrders[EffectiveQty],T_PlannedOrders[Part Name],$A507,T_PlannedOrders[WeekIndex],84)=0,"",SUMIFS(T_PlannedOrders[EffectiveQty],T_PlannedOrders[Part Name],$A507,T_PlannedOrders[WeekIndex],84)&amp;" ("&amp;TEXT(SUMPRODUCT(MAX((T_PlannedOrders[Part Name]=$A507)*(T_PlannedOrders[WeekIndex]=84)*(T_PlannedOrders[EffectiveQty]&gt;0)*T_PlannedOrders[Order_Month])),"m月")&amp;"発注)")</f>
        <v/>
      </c>
      <c r="CJ551">
        <f>IF(SUMIFS(T_PlannedOrders[EffectiveQty],T_PlannedOrders[Part Name],$A507,T_PlannedOrders[WeekIndex],85)=0,"",SUMIFS(T_PlannedOrders[EffectiveQty],T_PlannedOrders[Part Name],$A507,T_PlannedOrders[WeekIndex],85)&amp;" ("&amp;TEXT(SUMPRODUCT(MAX((T_PlannedOrders[Part Name]=$A507)*(T_PlannedOrders[WeekIndex]=85)*(T_PlannedOrders[EffectiveQty]&gt;0)*T_PlannedOrders[Order_Month])),"m月")&amp;"発注)")</f>
        <v/>
      </c>
      <c r="CK551">
        <f>IF(SUMIFS(T_PlannedOrders[EffectiveQty],T_PlannedOrders[Part Name],$A507,T_PlannedOrders[WeekIndex],86)=0,"",SUMIFS(T_PlannedOrders[EffectiveQty],T_PlannedOrders[Part Name],$A507,T_PlannedOrders[WeekIndex],86)&amp;" ("&amp;TEXT(SUMPRODUCT(MAX((T_PlannedOrders[Part Name]=$A507)*(T_PlannedOrders[WeekIndex]=86)*(T_PlannedOrders[EffectiveQty]&gt;0)*T_PlannedOrders[Order_Month])),"m月")&amp;"発注)")</f>
        <v/>
      </c>
      <c r="CL551">
        <f>IF(SUMIFS(T_PlannedOrders[EffectiveQty],T_PlannedOrders[Part Name],$A507,T_PlannedOrders[WeekIndex],87)=0,"",SUMIFS(T_PlannedOrders[EffectiveQty],T_PlannedOrders[Part Name],$A507,T_PlannedOrders[WeekIndex],87)&amp;" ("&amp;TEXT(SUMPRODUCT(MAX((T_PlannedOrders[Part Name]=$A507)*(T_PlannedOrders[WeekIndex]=87)*(T_PlannedOrders[EffectiveQty]&gt;0)*T_PlannedOrders[Order_Month])),"m月")&amp;"発注)")</f>
        <v/>
      </c>
      <c r="CM551">
        <f>IF(SUMIFS(T_PlannedOrders[EffectiveQty],T_PlannedOrders[Part Name],$A507,T_PlannedOrders[WeekIndex],88)=0,"",SUMIFS(T_PlannedOrders[EffectiveQty],T_PlannedOrders[Part Name],$A507,T_PlannedOrders[WeekIndex],88)&amp;" ("&amp;TEXT(SUMPRODUCT(MAX((T_PlannedOrders[Part Name]=$A507)*(T_PlannedOrders[WeekIndex]=88)*(T_PlannedOrders[EffectiveQty]&gt;0)*T_PlannedOrders[Order_Month])),"m月")&amp;"発注)")</f>
        <v/>
      </c>
      <c r="CN551">
        <f>IF(SUMIFS(T_PlannedOrders[EffectiveQty],T_PlannedOrders[Part Name],$A507,T_PlannedOrders[WeekIndex],89)=0,"",SUMIFS(T_PlannedOrders[EffectiveQty],T_PlannedOrders[Part Name],$A507,T_PlannedOrders[WeekIndex],89)&amp;" ("&amp;TEXT(SUMPRODUCT(MAX((T_PlannedOrders[Part Name]=$A507)*(T_PlannedOrders[WeekIndex]=89)*(T_PlannedOrders[EffectiveQty]&gt;0)*T_PlannedOrders[Order_Month])),"m月")&amp;"発注)")</f>
        <v/>
      </c>
      <c r="CO551">
        <f>IF(SUMIFS(T_PlannedOrders[EffectiveQty],T_PlannedOrders[Part Name],$A507,T_PlannedOrders[WeekIndex],90)=0,"",SUMIFS(T_PlannedOrders[EffectiveQty],T_PlannedOrders[Part Name],$A507,T_PlannedOrders[WeekIndex],90)&amp;" ("&amp;TEXT(SUMPRODUCT(MAX((T_PlannedOrders[Part Name]=$A507)*(T_PlannedOrders[WeekIndex]=90)*(T_PlannedOrders[EffectiveQty]&gt;0)*T_PlannedOrders[Order_Month])),"m月")&amp;"発注)")</f>
        <v/>
      </c>
      <c r="CP551">
        <f>IF(SUMIFS(T_PlannedOrders[EffectiveQty],T_PlannedOrders[Part Name],$A507,T_PlannedOrders[WeekIndex],91)=0,"",SUMIFS(T_PlannedOrders[EffectiveQty],T_PlannedOrders[Part Name],$A507,T_PlannedOrders[WeekIndex],91)&amp;" ("&amp;TEXT(SUMPRODUCT(MAX((T_PlannedOrders[Part Name]=$A507)*(T_PlannedOrders[WeekIndex]=91)*(T_PlannedOrders[EffectiveQty]&gt;0)*T_PlannedOrders[Order_Month])),"m月")&amp;"発注)")</f>
        <v/>
      </c>
      <c r="CQ551">
        <f>IF(SUMIFS(T_PlannedOrders[EffectiveQty],T_PlannedOrders[Part Name],$A507,T_PlannedOrders[WeekIndex],92)=0,"",SUMIFS(T_PlannedOrders[EffectiveQty],T_PlannedOrders[Part Name],$A507,T_PlannedOrders[WeekIndex],92)&amp;" ("&amp;TEXT(SUMPRODUCT(MAX((T_PlannedOrders[Part Name]=$A507)*(T_PlannedOrders[WeekIndex]=92)*(T_PlannedOrders[EffectiveQty]&gt;0)*T_PlannedOrders[Order_Month])),"m月")&amp;"発注)")</f>
        <v/>
      </c>
      <c r="CR551">
        <f>IF(SUMIFS(T_PlannedOrders[EffectiveQty],T_PlannedOrders[Part Name],$A507,T_PlannedOrders[WeekIndex],93)=0,"",SUMIFS(T_PlannedOrders[EffectiveQty],T_PlannedOrders[Part Name],$A507,T_PlannedOrders[WeekIndex],93)&amp;" ("&amp;TEXT(SUMPRODUCT(MAX((T_PlannedOrders[Part Name]=$A507)*(T_PlannedOrders[WeekIndex]=93)*(T_PlannedOrders[EffectiveQty]&gt;0)*T_PlannedOrders[Order_Month])),"m月")&amp;"発注)")</f>
        <v/>
      </c>
      <c r="CS551">
        <f>IF(SUMIFS(T_PlannedOrders[EffectiveQty],T_PlannedOrders[Part Name],$A507,T_PlannedOrders[WeekIndex],94)=0,"",SUMIFS(T_PlannedOrders[EffectiveQty],T_PlannedOrders[Part Name],$A507,T_PlannedOrders[WeekIndex],94)&amp;" ("&amp;TEXT(SUMPRODUCT(MAX((T_PlannedOrders[Part Name]=$A507)*(T_PlannedOrders[WeekIndex]=94)*(T_PlannedOrders[EffectiveQty]&gt;0)*T_PlannedOrders[Order_Month])),"m月")&amp;"発注)")</f>
        <v/>
      </c>
      <c r="CT551">
        <f>IF(SUMIFS(T_PlannedOrders[EffectiveQty],T_PlannedOrders[Part Name],$A507,T_PlannedOrders[WeekIndex],95)=0,"",SUMIFS(T_PlannedOrders[EffectiveQty],T_PlannedOrders[Part Name],$A507,T_PlannedOrders[WeekIndex],95)&amp;" ("&amp;TEXT(SUMPRODUCT(MAX((T_PlannedOrders[Part Name]=$A507)*(T_PlannedOrders[WeekIndex]=95)*(T_PlannedOrders[EffectiveQty]&gt;0)*T_PlannedOrders[Order_Month])),"m月")&amp;"発注)")</f>
        <v/>
      </c>
      <c r="CU551">
        <f>IF(SUMIFS(T_PlannedOrders[EffectiveQty],T_PlannedOrders[Part Name],$A507,T_PlannedOrders[WeekIndex],96)=0,"",SUMIFS(T_PlannedOrders[EffectiveQty],T_PlannedOrders[Part Name],$A507,T_PlannedOrders[WeekIndex],96)&amp;" ("&amp;TEXT(SUMPRODUCT(MAX((T_PlannedOrders[Part Name]=$A507)*(T_PlannedOrders[WeekIndex]=96)*(T_PlannedOrders[EffectiveQty]&gt;0)*T_PlannedOrders[Order_Month])),"m月")&amp;"発注)")</f>
        <v/>
      </c>
      <c r="CV551">
        <f>IF(SUMIFS(T_PlannedOrders[EffectiveQty],T_PlannedOrders[Part Name],$A507,T_PlannedOrders[WeekIndex],97)=0,"",SUMIFS(T_PlannedOrders[EffectiveQty],T_PlannedOrders[Part Name],$A507,T_PlannedOrders[WeekIndex],97)&amp;" ("&amp;TEXT(SUMPRODUCT(MAX((T_PlannedOrders[Part Name]=$A507)*(T_PlannedOrders[WeekIndex]=97)*(T_PlannedOrders[EffectiveQty]&gt;0)*T_PlannedOrders[Order_Month])),"m月")&amp;"発注)")</f>
        <v/>
      </c>
      <c r="CW551">
        <f>IF(SUMIFS(T_PlannedOrders[EffectiveQty],T_PlannedOrders[Part Name],$A507,T_PlannedOrders[WeekIndex],98)=0,"",SUMIFS(T_PlannedOrders[EffectiveQty],T_PlannedOrders[Part Name],$A507,T_PlannedOrders[WeekIndex],98)&amp;" ("&amp;TEXT(SUMPRODUCT(MAX((T_PlannedOrders[Part Name]=$A507)*(T_PlannedOrders[WeekIndex]=98)*(T_PlannedOrders[EffectiveQty]&gt;0)*T_PlannedOrders[Order_Month])),"m月")&amp;"発注)")</f>
        <v/>
      </c>
      <c r="CX551">
        <f>IF(SUMIFS(T_PlannedOrders[EffectiveQty],T_PlannedOrders[Part Name],$A507,T_PlannedOrders[WeekIndex],99)=0,"",SUMIFS(T_PlannedOrders[EffectiveQty],T_PlannedOrders[Part Name],$A507,T_PlannedOrders[WeekIndex],99)&amp;" ("&amp;TEXT(SUMPRODUCT(MAX((T_PlannedOrders[Part Name]=$A507)*(T_PlannedOrders[WeekIndex]=99)*(T_PlannedOrders[EffectiveQty]&gt;0)*T_PlannedOrders[Order_Month])),"m月")&amp;"発注)")</f>
        <v/>
      </c>
      <c r="CY551">
        <f>IF(SUMIFS(T_PlannedOrders[EffectiveQty],T_PlannedOrders[Part Name],$A507,T_PlannedOrders[WeekIndex],100)=0,"",SUMIFS(T_PlannedOrders[EffectiveQty],T_PlannedOrders[Part Name],$A507,T_PlannedOrders[WeekIndex],100)&amp;" ("&amp;TEXT(SUMPRODUCT(MAX((T_PlannedOrders[Part Name]=$A507)*(T_PlannedOrders[WeekIndex]=100)*(T_PlannedOrders[EffectiveQty]&gt;0)*T_PlannedOrders[Order_Month])),"m月")&amp;"発注)")</f>
        <v/>
      </c>
      <c r="CZ551">
        <f>IF(SUMIFS(T_PlannedOrders[EffectiveQty],T_PlannedOrders[Part Name],$A507,T_PlannedOrders[WeekIndex],101)=0,"",SUMIFS(T_PlannedOrders[EffectiveQty],T_PlannedOrders[Part Name],$A507,T_PlannedOrders[WeekIndex],101)&amp;" ("&amp;TEXT(SUMPRODUCT(MAX((T_PlannedOrders[Part Name]=$A507)*(T_PlannedOrders[WeekIndex]=101)*(T_PlannedOrders[EffectiveQty]&gt;0)*T_PlannedOrders[Order_Month])),"m月")&amp;"発注)")</f>
        <v/>
      </c>
      <c r="DA551">
        <f>IF(SUMIFS(T_PlannedOrders[EffectiveQty],T_PlannedOrders[Part Name],$A507,T_PlannedOrders[WeekIndex],102)=0,"",SUMIFS(T_PlannedOrders[EffectiveQty],T_PlannedOrders[Part Name],$A507,T_PlannedOrders[WeekIndex],102)&amp;" ("&amp;TEXT(SUMPRODUCT(MAX((T_PlannedOrders[Part Name]=$A507)*(T_PlannedOrders[WeekIndex]=102)*(T_PlannedOrders[EffectiveQty]&gt;0)*T_PlannedOrders[Order_Month])),"m月")&amp;"発注)")</f>
        <v/>
      </c>
      <c r="DB551">
        <f>IF(SUMIFS(T_PlannedOrders[EffectiveQty],T_PlannedOrders[Part Name],$A507,T_PlannedOrders[WeekIndex],103)=0,"",SUMIFS(T_PlannedOrders[EffectiveQty],T_PlannedOrders[Part Name],$A507,T_PlannedOrders[WeekIndex],103)&amp;" ("&amp;TEXT(SUMPRODUCT(MAX((T_PlannedOrders[Part Name]=$A507)*(T_PlannedOrders[WeekIndex]=103)*(T_PlannedOrders[EffectiveQty]&gt;0)*T_PlannedOrders[Order_Month])),"m月")&amp;"発注)")</f>
        <v/>
      </c>
      <c r="DC551">
        <f>IF(SUMIFS(T_PlannedOrders[EffectiveQty],T_PlannedOrders[Part Name],$A507,T_PlannedOrders[WeekIndex],104)=0,"",SUMIFS(T_PlannedOrders[EffectiveQty],T_PlannedOrders[Part Name],$A507,T_PlannedOrders[WeekIndex],104)&amp;" ("&amp;TEXT(SUMPRODUCT(MAX((T_PlannedOrders[Part Name]=$A507)*(T_PlannedOrders[WeekIndex]=104)*(T_PlannedOrders[EffectiveQty]&gt;0)*T_PlannedOrders[Order_Month])),"m月")&amp;"発注)")</f>
        <v/>
      </c>
    </row>
    <row r="552">
      <c r="B552" s="4" t="inlineStr">
        <is>
          <t>合計在庫(週末時点,kg)</t>
        </is>
      </c>
      <c r="D552">
        <f>'Grid_Stock'!B19</f>
        <v/>
      </c>
      <c r="E552">
        <f>'Grid_Stock'!C19</f>
        <v/>
      </c>
      <c r="F552">
        <f>'Grid_Stock'!D19</f>
        <v/>
      </c>
      <c r="G552">
        <f>'Grid_Stock'!E19</f>
        <v/>
      </c>
      <c r="H552">
        <f>'Grid_Stock'!F19</f>
        <v/>
      </c>
      <c r="I552">
        <f>'Grid_Stock'!G19</f>
        <v/>
      </c>
      <c r="J552">
        <f>'Grid_Stock'!H19</f>
        <v/>
      </c>
      <c r="K552">
        <f>'Grid_Stock'!I19</f>
        <v/>
      </c>
      <c r="L552">
        <f>'Grid_Stock'!J19</f>
        <v/>
      </c>
      <c r="M552">
        <f>'Grid_Stock'!K19</f>
        <v/>
      </c>
      <c r="N552">
        <f>'Grid_Stock'!L19</f>
        <v/>
      </c>
      <c r="O552">
        <f>'Grid_Stock'!M19</f>
        <v/>
      </c>
      <c r="P552">
        <f>'Grid_Stock'!N19</f>
        <v/>
      </c>
      <c r="Q552">
        <f>'Grid_Stock'!O19</f>
        <v/>
      </c>
      <c r="R552">
        <f>'Grid_Stock'!P19</f>
        <v/>
      </c>
      <c r="S552">
        <f>'Grid_Stock'!Q19</f>
        <v/>
      </c>
      <c r="T552">
        <f>'Grid_Stock'!R19</f>
        <v/>
      </c>
      <c r="U552">
        <f>'Grid_Stock'!S19</f>
        <v/>
      </c>
      <c r="V552">
        <f>'Grid_Stock'!T19</f>
        <v/>
      </c>
      <c r="W552">
        <f>'Grid_Stock'!U19</f>
        <v/>
      </c>
      <c r="X552">
        <f>'Grid_Stock'!V19</f>
        <v/>
      </c>
      <c r="Y552">
        <f>'Grid_Stock'!W19</f>
        <v/>
      </c>
      <c r="Z552">
        <f>'Grid_Stock'!X19</f>
        <v/>
      </c>
      <c r="AA552">
        <f>'Grid_Stock'!Y19</f>
        <v/>
      </c>
      <c r="AB552">
        <f>'Grid_Stock'!Z19</f>
        <v/>
      </c>
      <c r="AC552">
        <f>'Grid_Stock'!AA19</f>
        <v/>
      </c>
      <c r="AD552">
        <f>'Grid_Stock'!AB19</f>
        <v/>
      </c>
      <c r="AE552">
        <f>'Grid_Stock'!AC19</f>
        <v/>
      </c>
      <c r="AF552">
        <f>'Grid_Stock'!AD19</f>
        <v/>
      </c>
      <c r="AG552">
        <f>'Grid_Stock'!AE19</f>
        <v/>
      </c>
      <c r="AH552">
        <f>'Grid_Stock'!AF19</f>
        <v/>
      </c>
      <c r="AI552">
        <f>'Grid_Stock'!AG19</f>
        <v/>
      </c>
      <c r="AJ552">
        <f>'Grid_Stock'!AH19</f>
        <v/>
      </c>
      <c r="AK552">
        <f>'Grid_Stock'!AI19</f>
        <v/>
      </c>
      <c r="AL552">
        <f>'Grid_Stock'!AJ19</f>
        <v/>
      </c>
      <c r="AM552">
        <f>'Grid_Stock'!AK19</f>
        <v/>
      </c>
      <c r="AN552">
        <f>'Grid_Stock'!AL19</f>
        <v/>
      </c>
      <c r="AO552">
        <f>'Grid_Stock'!AM19</f>
        <v/>
      </c>
      <c r="AP552">
        <f>'Grid_Stock'!AN19</f>
        <v/>
      </c>
      <c r="AQ552">
        <f>'Grid_Stock'!AO19</f>
        <v/>
      </c>
      <c r="AR552">
        <f>'Grid_Stock'!AP19</f>
        <v/>
      </c>
      <c r="AS552">
        <f>'Grid_Stock'!AQ19</f>
        <v/>
      </c>
      <c r="AT552">
        <f>'Grid_Stock'!AR19</f>
        <v/>
      </c>
      <c r="AU552">
        <f>'Grid_Stock'!AS19</f>
        <v/>
      </c>
      <c r="AV552">
        <f>'Grid_Stock'!AT19</f>
        <v/>
      </c>
      <c r="AW552">
        <f>'Grid_Stock'!AU19</f>
        <v/>
      </c>
      <c r="AX552">
        <f>'Grid_Stock'!AV19</f>
        <v/>
      </c>
      <c r="AY552">
        <f>'Grid_Stock'!AW19</f>
        <v/>
      </c>
      <c r="AZ552">
        <f>'Grid_Stock'!AX19</f>
        <v/>
      </c>
      <c r="BA552">
        <f>'Grid_Stock'!AY19</f>
        <v/>
      </c>
      <c r="BB552">
        <f>'Grid_Stock'!AZ19</f>
        <v/>
      </c>
      <c r="BC552">
        <f>'Grid_Stock'!BA19</f>
        <v/>
      </c>
      <c r="BD552">
        <f>'Grid_Stock'!BB19</f>
        <v/>
      </c>
      <c r="BE552">
        <f>'Grid_Stock'!BC19</f>
        <v/>
      </c>
      <c r="BF552">
        <f>'Grid_Stock'!BD19</f>
        <v/>
      </c>
      <c r="BG552">
        <f>'Grid_Stock'!BE19</f>
        <v/>
      </c>
      <c r="BH552">
        <f>'Grid_Stock'!BF19</f>
        <v/>
      </c>
      <c r="BI552">
        <f>'Grid_Stock'!BG19</f>
        <v/>
      </c>
      <c r="BJ552">
        <f>'Grid_Stock'!BH19</f>
        <v/>
      </c>
      <c r="BK552">
        <f>'Grid_Stock'!BI19</f>
        <v/>
      </c>
      <c r="BL552">
        <f>'Grid_Stock'!BJ19</f>
        <v/>
      </c>
      <c r="BM552">
        <f>'Grid_Stock'!BK19</f>
        <v/>
      </c>
      <c r="BN552">
        <f>'Grid_Stock'!BL19</f>
        <v/>
      </c>
      <c r="BO552">
        <f>'Grid_Stock'!BM19</f>
        <v/>
      </c>
      <c r="BP552">
        <f>'Grid_Stock'!BN19</f>
        <v/>
      </c>
      <c r="BQ552">
        <f>'Grid_Stock'!BO19</f>
        <v/>
      </c>
      <c r="BR552">
        <f>'Grid_Stock'!BP19</f>
        <v/>
      </c>
      <c r="BS552">
        <f>'Grid_Stock'!BQ19</f>
        <v/>
      </c>
      <c r="BT552">
        <f>'Grid_Stock'!BR19</f>
        <v/>
      </c>
      <c r="BU552">
        <f>'Grid_Stock'!BS19</f>
        <v/>
      </c>
      <c r="BV552">
        <f>'Grid_Stock'!BT19</f>
        <v/>
      </c>
      <c r="BW552">
        <f>'Grid_Stock'!BU19</f>
        <v/>
      </c>
      <c r="BX552">
        <f>'Grid_Stock'!BV19</f>
        <v/>
      </c>
      <c r="BY552">
        <f>'Grid_Stock'!BW19</f>
        <v/>
      </c>
      <c r="BZ552">
        <f>'Grid_Stock'!BX19</f>
        <v/>
      </c>
      <c r="CA552">
        <f>'Grid_Stock'!BY19</f>
        <v/>
      </c>
      <c r="CB552">
        <f>'Grid_Stock'!BZ19</f>
        <v/>
      </c>
      <c r="CC552">
        <f>'Grid_Stock'!CA19</f>
        <v/>
      </c>
      <c r="CD552">
        <f>'Grid_Stock'!CB19</f>
        <v/>
      </c>
      <c r="CE552">
        <f>'Grid_Stock'!CC19</f>
        <v/>
      </c>
      <c r="CF552">
        <f>'Grid_Stock'!CD19</f>
        <v/>
      </c>
      <c r="CG552">
        <f>'Grid_Stock'!CE19</f>
        <v/>
      </c>
      <c r="CH552">
        <f>'Grid_Stock'!CF19</f>
        <v/>
      </c>
      <c r="CI552">
        <f>'Grid_Stock'!CG19</f>
        <v/>
      </c>
      <c r="CJ552">
        <f>'Grid_Stock'!CH19</f>
        <v/>
      </c>
      <c r="CK552">
        <f>'Grid_Stock'!CI19</f>
        <v/>
      </c>
      <c r="CL552">
        <f>'Grid_Stock'!CJ19</f>
        <v/>
      </c>
      <c r="CM552">
        <f>'Grid_Stock'!CK19</f>
        <v/>
      </c>
      <c r="CN552">
        <f>'Grid_Stock'!CL19</f>
        <v/>
      </c>
      <c r="CO552">
        <f>'Grid_Stock'!CM19</f>
        <v/>
      </c>
      <c r="CP552">
        <f>'Grid_Stock'!CN19</f>
        <v/>
      </c>
      <c r="CQ552">
        <f>'Grid_Stock'!CO19</f>
        <v/>
      </c>
      <c r="CR552">
        <f>'Grid_Stock'!CP19</f>
        <v/>
      </c>
      <c r="CS552">
        <f>'Grid_Stock'!CQ19</f>
        <v/>
      </c>
      <c r="CT552">
        <f>'Grid_Stock'!CR19</f>
        <v/>
      </c>
      <c r="CU552">
        <f>'Grid_Stock'!CS19</f>
        <v/>
      </c>
      <c r="CV552">
        <f>'Grid_Stock'!CT19</f>
        <v/>
      </c>
      <c r="CW552">
        <f>'Grid_Stock'!CU19</f>
        <v/>
      </c>
      <c r="CX552">
        <f>'Grid_Stock'!CV19</f>
        <v/>
      </c>
      <c r="CY552">
        <f>'Grid_Stock'!CW19</f>
        <v/>
      </c>
      <c r="CZ552">
        <f>'Grid_Stock'!CX19</f>
        <v/>
      </c>
      <c r="DA552">
        <f>'Grid_Stock'!CY19</f>
        <v/>
      </c>
      <c r="DB552">
        <f>'Grid_Stock'!CZ19</f>
        <v/>
      </c>
      <c r="DC552">
        <f>'Grid_Stock'!DA19</f>
        <v/>
      </c>
    </row>
    <row r="553">
      <c r="B553" s="16" t="inlineStr">
        <is>
          <t>（発注の目安はDashboardの基準在庫[下限/上限]と色分けを参照）</t>
        </is>
      </c>
    </row>
    <row r="555">
      <c r="A555" s="14" t="inlineStr">
        <is>
          <t>CHEM-1510</t>
        </is>
      </c>
      <c r="B555" s="14" t="inlineStr">
        <is>
          <t>BA-070</t>
        </is>
      </c>
      <c r="C555" s="15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  <c r="AA555" s="14" t="n"/>
      <c r="AB555" s="14" t="n"/>
      <c r="AC555" s="14" t="n"/>
      <c r="AD555" s="14" t="n"/>
      <c r="AE555" s="14" t="n"/>
      <c r="AF555" s="14" t="n"/>
      <c r="AG555" s="14" t="n"/>
      <c r="AH555" s="14" t="n"/>
      <c r="AI555" s="14" t="n"/>
      <c r="AJ555" s="14" t="n"/>
      <c r="AK555" s="14" t="n"/>
      <c r="AL555" s="14" t="n"/>
      <c r="AM555" s="14" t="n"/>
      <c r="AN555" s="14" t="n"/>
      <c r="AO555" s="14" t="n"/>
      <c r="AP555" s="14" t="n"/>
      <c r="AQ555" s="14" t="n"/>
      <c r="AR555" s="14" t="n"/>
      <c r="AS555" s="14" t="n"/>
      <c r="AT555" s="14" t="n"/>
      <c r="AU555" s="14" t="n"/>
      <c r="AV555" s="14" t="n"/>
      <c r="AW555" s="14" t="n"/>
      <c r="AX555" s="14" t="n"/>
      <c r="AY555" s="14" t="n"/>
      <c r="AZ555" s="14" t="n"/>
      <c r="BA555" s="14" t="n"/>
      <c r="BB555" s="14" t="n"/>
      <c r="BC555" s="14" t="n"/>
      <c r="BD555" s="14" t="n"/>
      <c r="BE555" s="14" t="n"/>
      <c r="BF555" s="14" t="n"/>
      <c r="BG555" s="14" t="n"/>
      <c r="BH555" s="14" t="n"/>
      <c r="BI555" s="14" t="n"/>
      <c r="BJ555" s="14" t="n"/>
      <c r="BK555" s="14" t="n"/>
      <c r="BL555" s="14" t="n"/>
      <c r="BM555" s="14" t="n"/>
      <c r="BN555" s="14" t="n"/>
      <c r="BO555" s="14" t="n"/>
      <c r="BP555" s="14" t="n"/>
      <c r="BQ555" s="14" t="n"/>
      <c r="BR555" s="14" t="n"/>
      <c r="BS555" s="14" t="n"/>
      <c r="BT555" s="14" t="n"/>
      <c r="BU555" s="14" t="n"/>
      <c r="BV555" s="14" t="n"/>
      <c r="BW555" s="14" t="n"/>
      <c r="BX555" s="14" t="n"/>
      <c r="BY555" s="14" t="n"/>
      <c r="BZ555" s="14" t="n"/>
      <c r="CA555" s="14" t="n"/>
      <c r="CB555" s="14" t="n"/>
      <c r="CC555" s="14" t="n"/>
      <c r="CD555" s="14" t="n"/>
      <c r="CE555" s="14" t="n"/>
      <c r="CF555" s="14" t="n"/>
      <c r="CG555" s="14" t="n"/>
      <c r="CH555" s="14" t="n"/>
      <c r="CI555" s="14" t="n"/>
      <c r="CJ555" s="14" t="n"/>
      <c r="CK555" s="14" t="n"/>
      <c r="CL555" s="14" t="n"/>
      <c r="CM555" s="14" t="n"/>
      <c r="CN555" s="14" t="n"/>
      <c r="CO555" s="14" t="n"/>
      <c r="CP555" s="14" t="n"/>
      <c r="CQ555" s="14" t="n"/>
      <c r="CR555" s="14" t="n"/>
      <c r="CS555" s="14" t="n"/>
      <c r="CT555" s="14" t="n"/>
      <c r="CU555" s="14" t="n"/>
      <c r="CV555" s="14" t="n"/>
      <c r="CW555" s="14" t="n"/>
      <c r="CX555" s="14" t="n"/>
      <c r="CY555" s="14" t="n"/>
      <c r="CZ555" s="14" t="n"/>
      <c r="DA555" s="14" t="n"/>
      <c r="DB555" s="14" t="n"/>
      <c r="DC555" s="14" t="n"/>
    </row>
    <row r="556">
      <c r="B556" t="inlineStr">
        <is>
          <t>TSP-219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Name],$A555)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TSP-360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Name],$A555)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TSP-367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Name],$A555)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TSP-544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Name],$A555)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TSP-710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Name],$A555)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TSZ-616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Name],$A555)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VSP-739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Name],$A555)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VSP-820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Name],$A555)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VSP-869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Name],$A555)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VSP-989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SUMIFS(M_BOM[RM_Qty_Per_Batch],M_BOM[Intermediate],$B574,M_BOM[Part Name],$A555)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Name],$A555)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TSP-924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Name],$A555)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TSP-925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Name],$A555)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s="4" t="inlineStr">
        <is>
          <t>合計使用量(kg)/週</t>
        </is>
      </c>
      <c r="D582">
        <f>'Grid_Requirement'!B35</f>
        <v/>
      </c>
      <c r="E582">
        <f>'Grid_Requirement'!C35</f>
        <v/>
      </c>
      <c r="F582">
        <f>'Grid_Requirement'!D35</f>
        <v/>
      </c>
      <c r="G582">
        <f>'Grid_Requirement'!E35</f>
        <v/>
      </c>
      <c r="H582">
        <f>'Grid_Requirement'!F35</f>
        <v/>
      </c>
      <c r="I582">
        <f>'Grid_Requirement'!G35</f>
        <v/>
      </c>
      <c r="J582">
        <f>'Grid_Requirement'!H35</f>
        <v/>
      </c>
      <c r="K582">
        <f>'Grid_Requirement'!I35</f>
        <v/>
      </c>
      <c r="L582">
        <f>'Grid_Requirement'!J35</f>
        <v/>
      </c>
      <c r="M582">
        <f>'Grid_Requirement'!K35</f>
        <v/>
      </c>
      <c r="N582">
        <f>'Grid_Requirement'!L35</f>
        <v/>
      </c>
      <c r="O582">
        <f>'Grid_Requirement'!M35</f>
        <v/>
      </c>
      <c r="P582">
        <f>'Grid_Requirement'!N35</f>
        <v/>
      </c>
      <c r="Q582">
        <f>'Grid_Requirement'!O35</f>
        <v/>
      </c>
      <c r="R582">
        <f>'Grid_Requirement'!P35</f>
        <v/>
      </c>
      <c r="S582">
        <f>'Grid_Requirement'!Q35</f>
        <v/>
      </c>
      <c r="T582">
        <f>'Grid_Requirement'!R35</f>
        <v/>
      </c>
      <c r="U582">
        <f>'Grid_Requirement'!S35</f>
        <v/>
      </c>
      <c r="V582">
        <f>'Grid_Requirement'!T35</f>
        <v/>
      </c>
      <c r="W582">
        <f>'Grid_Requirement'!U35</f>
        <v/>
      </c>
      <c r="X582">
        <f>'Grid_Requirement'!V35</f>
        <v/>
      </c>
      <c r="Y582">
        <f>'Grid_Requirement'!W35</f>
        <v/>
      </c>
      <c r="Z582">
        <f>'Grid_Requirement'!X35</f>
        <v/>
      </c>
      <c r="AA582">
        <f>'Grid_Requirement'!Y35</f>
        <v/>
      </c>
      <c r="AB582">
        <f>'Grid_Requirement'!Z35</f>
        <v/>
      </c>
      <c r="AC582">
        <f>'Grid_Requirement'!AA35</f>
        <v/>
      </c>
      <c r="AD582">
        <f>'Grid_Requirement'!AB35</f>
        <v/>
      </c>
      <c r="AE582">
        <f>'Grid_Requirement'!AC35</f>
        <v/>
      </c>
      <c r="AF582">
        <f>'Grid_Requirement'!AD35</f>
        <v/>
      </c>
      <c r="AG582">
        <f>'Grid_Requirement'!AE35</f>
        <v/>
      </c>
      <c r="AH582">
        <f>'Grid_Requirement'!AF35</f>
        <v/>
      </c>
      <c r="AI582">
        <f>'Grid_Requirement'!AG35</f>
        <v/>
      </c>
      <c r="AJ582">
        <f>'Grid_Requirement'!AH35</f>
        <v/>
      </c>
      <c r="AK582">
        <f>'Grid_Requirement'!AI35</f>
        <v/>
      </c>
      <c r="AL582">
        <f>'Grid_Requirement'!AJ35</f>
        <v/>
      </c>
      <c r="AM582">
        <f>'Grid_Requirement'!AK35</f>
        <v/>
      </c>
      <c r="AN582">
        <f>'Grid_Requirement'!AL35</f>
        <v/>
      </c>
      <c r="AO582">
        <f>'Grid_Requirement'!AM35</f>
        <v/>
      </c>
      <c r="AP582">
        <f>'Grid_Requirement'!AN35</f>
        <v/>
      </c>
      <c r="AQ582">
        <f>'Grid_Requirement'!AO35</f>
        <v/>
      </c>
      <c r="AR582">
        <f>'Grid_Requirement'!AP35</f>
        <v/>
      </c>
      <c r="AS582">
        <f>'Grid_Requirement'!AQ35</f>
        <v/>
      </c>
      <c r="AT582">
        <f>'Grid_Requirement'!AR35</f>
        <v/>
      </c>
      <c r="AU582">
        <f>'Grid_Requirement'!AS35</f>
        <v/>
      </c>
      <c r="AV582">
        <f>'Grid_Requirement'!AT35</f>
        <v/>
      </c>
      <c r="AW582">
        <f>'Grid_Requirement'!AU35</f>
        <v/>
      </c>
      <c r="AX582">
        <f>'Grid_Requirement'!AV35</f>
        <v/>
      </c>
      <c r="AY582">
        <f>'Grid_Requirement'!AW35</f>
        <v/>
      </c>
      <c r="AZ582">
        <f>'Grid_Requirement'!AX35</f>
        <v/>
      </c>
      <c r="BA582">
        <f>'Grid_Requirement'!AY35</f>
        <v/>
      </c>
      <c r="BB582">
        <f>'Grid_Requirement'!AZ35</f>
        <v/>
      </c>
      <c r="BC582">
        <f>'Grid_Requirement'!BA35</f>
        <v/>
      </c>
      <c r="BD582">
        <f>'Grid_Requirement'!BB35</f>
        <v/>
      </c>
      <c r="BE582">
        <f>'Grid_Requirement'!BC35</f>
        <v/>
      </c>
      <c r="BF582">
        <f>'Grid_Requirement'!BD35</f>
        <v/>
      </c>
      <c r="BG582">
        <f>'Grid_Requirement'!BE35</f>
        <v/>
      </c>
      <c r="BH582">
        <f>'Grid_Requirement'!BF35</f>
        <v/>
      </c>
      <c r="BI582">
        <f>'Grid_Requirement'!BG35</f>
        <v/>
      </c>
      <c r="BJ582">
        <f>'Grid_Requirement'!BH35</f>
        <v/>
      </c>
      <c r="BK582">
        <f>'Grid_Requirement'!BI35</f>
        <v/>
      </c>
      <c r="BL582">
        <f>'Grid_Requirement'!BJ35</f>
        <v/>
      </c>
      <c r="BM582">
        <f>'Grid_Requirement'!BK35</f>
        <v/>
      </c>
      <c r="BN582">
        <f>'Grid_Requirement'!BL35</f>
        <v/>
      </c>
      <c r="BO582">
        <f>'Grid_Requirement'!BM35</f>
        <v/>
      </c>
      <c r="BP582">
        <f>'Grid_Requirement'!BN35</f>
        <v/>
      </c>
      <c r="BQ582">
        <f>'Grid_Requirement'!BO35</f>
        <v/>
      </c>
      <c r="BR582">
        <f>'Grid_Requirement'!BP35</f>
        <v/>
      </c>
      <c r="BS582">
        <f>'Grid_Requirement'!BQ35</f>
        <v/>
      </c>
      <c r="BT582">
        <f>'Grid_Requirement'!BR35</f>
        <v/>
      </c>
      <c r="BU582">
        <f>'Grid_Requirement'!BS35</f>
        <v/>
      </c>
      <c r="BV582">
        <f>'Grid_Requirement'!BT35</f>
        <v/>
      </c>
      <c r="BW582">
        <f>'Grid_Requirement'!BU35</f>
        <v/>
      </c>
      <c r="BX582">
        <f>'Grid_Requirement'!BV35</f>
        <v/>
      </c>
      <c r="BY582">
        <f>'Grid_Requirement'!BW35</f>
        <v/>
      </c>
      <c r="BZ582">
        <f>'Grid_Requirement'!BX35</f>
        <v/>
      </c>
      <c r="CA582">
        <f>'Grid_Requirement'!BY35</f>
        <v/>
      </c>
      <c r="CB582">
        <f>'Grid_Requirement'!BZ35</f>
        <v/>
      </c>
      <c r="CC582">
        <f>'Grid_Requirement'!CA35</f>
        <v/>
      </c>
      <c r="CD582">
        <f>'Grid_Requirement'!CB35</f>
        <v/>
      </c>
      <c r="CE582">
        <f>'Grid_Requirement'!CC35</f>
        <v/>
      </c>
      <c r="CF582">
        <f>'Grid_Requirement'!CD35</f>
        <v/>
      </c>
      <c r="CG582">
        <f>'Grid_Requirement'!CE35</f>
        <v/>
      </c>
      <c r="CH582">
        <f>'Grid_Requirement'!CF35</f>
        <v/>
      </c>
      <c r="CI582">
        <f>'Grid_Requirement'!CG35</f>
        <v/>
      </c>
      <c r="CJ582">
        <f>'Grid_Requirement'!CH35</f>
        <v/>
      </c>
      <c r="CK582">
        <f>'Grid_Requirement'!CI35</f>
        <v/>
      </c>
      <c r="CL582">
        <f>'Grid_Requirement'!CJ35</f>
        <v/>
      </c>
      <c r="CM582">
        <f>'Grid_Requirement'!CK35</f>
        <v/>
      </c>
      <c r="CN582">
        <f>'Grid_Requirement'!CL35</f>
        <v/>
      </c>
      <c r="CO582">
        <f>'Grid_Requirement'!CM35</f>
        <v/>
      </c>
      <c r="CP582">
        <f>'Grid_Requirement'!CN35</f>
        <v/>
      </c>
      <c r="CQ582">
        <f>'Grid_Requirement'!CO35</f>
        <v/>
      </c>
      <c r="CR582">
        <f>'Grid_Requirement'!CP35</f>
        <v/>
      </c>
      <c r="CS582">
        <f>'Grid_Requirement'!CQ35</f>
        <v/>
      </c>
      <c r="CT582">
        <f>'Grid_Requirement'!CR35</f>
        <v/>
      </c>
      <c r="CU582">
        <f>'Grid_Requirement'!CS35</f>
        <v/>
      </c>
      <c r="CV582">
        <f>'Grid_Requirement'!CT35</f>
        <v/>
      </c>
      <c r="CW582">
        <f>'Grid_Requirement'!CU35</f>
        <v/>
      </c>
      <c r="CX582">
        <f>'Grid_Requirement'!CV35</f>
        <v/>
      </c>
      <c r="CY582">
        <f>'Grid_Requirement'!CW35</f>
        <v/>
      </c>
      <c r="CZ582">
        <f>'Grid_Requirement'!CX35</f>
        <v/>
      </c>
      <c r="DA582">
        <f>'Grid_Requirement'!CY35</f>
        <v/>
      </c>
      <c r="DB582">
        <f>'Grid_Requirement'!CZ35</f>
        <v/>
      </c>
      <c r="DC582">
        <f>'Grid_Requirement'!DA35</f>
        <v/>
      </c>
    </row>
    <row r="583">
      <c r="B583" t="inlineStr">
        <is>
          <t>TTAF在庫(実績,kg)</t>
        </is>
      </c>
      <c r="D583">
        <f>'T_TTAFStock'!B39</f>
        <v/>
      </c>
      <c r="E583">
        <f>'T_TTAFStock'!C39</f>
        <v/>
      </c>
      <c r="F583">
        <f>'T_TTAFStock'!D39</f>
        <v/>
      </c>
      <c r="G583">
        <f>'T_TTAFStock'!E39</f>
        <v/>
      </c>
      <c r="H583">
        <f>'T_TTAFStock'!F39</f>
        <v/>
      </c>
      <c r="I583">
        <f>'T_TTAFStock'!G39</f>
        <v/>
      </c>
      <c r="J583">
        <f>'T_TTAFStock'!H39</f>
        <v/>
      </c>
      <c r="K583">
        <f>'T_TTAFStock'!I39</f>
        <v/>
      </c>
      <c r="L583">
        <f>'T_TTAFStock'!J39</f>
        <v/>
      </c>
      <c r="M583">
        <f>'T_TTAFStock'!K39</f>
        <v/>
      </c>
      <c r="N583">
        <f>'T_TTAFStock'!L39</f>
        <v/>
      </c>
      <c r="O583">
        <f>'T_TTAFStock'!M39</f>
        <v/>
      </c>
      <c r="P583">
        <f>'T_TTAFStock'!N39</f>
        <v/>
      </c>
      <c r="Q583">
        <f>'T_TTAFStock'!O39</f>
        <v/>
      </c>
      <c r="R583">
        <f>'T_TTAFStock'!P39</f>
        <v/>
      </c>
      <c r="S583">
        <f>'T_TTAFStock'!Q39</f>
        <v/>
      </c>
      <c r="T583">
        <f>'T_TTAFStock'!R39</f>
        <v/>
      </c>
      <c r="U583">
        <f>'T_TTAFStock'!S39</f>
        <v/>
      </c>
      <c r="V583">
        <f>'T_TTAFStock'!T39</f>
        <v/>
      </c>
      <c r="W583">
        <f>'T_TTAFStock'!U39</f>
        <v/>
      </c>
      <c r="X583">
        <f>'T_TTAFStock'!V39</f>
        <v/>
      </c>
      <c r="Y583">
        <f>'T_TTAFStock'!W39</f>
        <v/>
      </c>
      <c r="Z583">
        <f>'T_TTAFStock'!X39</f>
        <v/>
      </c>
      <c r="AA583">
        <f>'T_TTAFStock'!Y39</f>
        <v/>
      </c>
      <c r="AB583">
        <f>'T_TTAFStock'!Z39</f>
        <v/>
      </c>
      <c r="AC583">
        <f>'T_TTAFStock'!AA39</f>
        <v/>
      </c>
      <c r="AD583">
        <f>'T_TTAFStock'!AB39</f>
        <v/>
      </c>
      <c r="AE583">
        <f>'T_TTAFStock'!AC39</f>
        <v/>
      </c>
      <c r="AF583">
        <f>'T_TTAFStock'!AD39</f>
        <v/>
      </c>
      <c r="AG583">
        <f>'T_TTAFStock'!AE39</f>
        <v/>
      </c>
      <c r="AH583">
        <f>'T_TTAFStock'!AF39</f>
        <v/>
      </c>
      <c r="AI583">
        <f>'T_TTAFStock'!AG39</f>
        <v/>
      </c>
      <c r="AJ583">
        <f>'T_TTAFStock'!AH39</f>
        <v/>
      </c>
      <c r="AK583">
        <f>'T_TTAFStock'!AI39</f>
        <v/>
      </c>
      <c r="AL583">
        <f>'T_TTAFStock'!AJ39</f>
        <v/>
      </c>
      <c r="AM583">
        <f>'T_TTAFStock'!AK39</f>
        <v/>
      </c>
      <c r="AN583">
        <f>'T_TTAFStock'!AL39</f>
        <v/>
      </c>
      <c r="AO583">
        <f>'T_TTAFStock'!AM39</f>
        <v/>
      </c>
      <c r="AP583">
        <f>'T_TTAFStock'!AN39</f>
        <v/>
      </c>
      <c r="AQ583">
        <f>'T_TTAFStock'!AO39</f>
        <v/>
      </c>
      <c r="AR583">
        <f>'T_TTAFStock'!AP39</f>
        <v/>
      </c>
      <c r="AS583">
        <f>'T_TTAFStock'!AQ39</f>
        <v/>
      </c>
      <c r="AT583">
        <f>'T_TTAFStock'!AR39</f>
        <v/>
      </c>
      <c r="AU583">
        <f>'T_TTAFStock'!AS39</f>
        <v/>
      </c>
      <c r="AV583">
        <f>'T_TTAFStock'!AT39</f>
        <v/>
      </c>
      <c r="AW583">
        <f>'T_TTAFStock'!AU39</f>
        <v/>
      </c>
      <c r="AX583">
        <f>'T_TTAFStock'!AV39</f>
        <v/>
      </c>
      <c r="AY583">
        <f>'T_TTAFStock'!AW39</f>
        <v/>
      </c>
      <c r="AZ583">
        <f>'T_TTAFStock'!AX39</f>
        <v/>
      </c>
      <c r="BA583">
        <f>'T_TTAFStock'!AY39</f>
        <v/>
      </c>
      <c r="BB583">
        <f>'T_TTAFStock'!AZ39</f>
        <v/>
      </c>
      <c r="BC583">
        <f>'T_TTAFStock'!BA39</f>
        <v/>
      </c>
      <c r="BD583">
        <f>'T_TTAFStock'!BB39</f>
        <v/>
      </c>
      <c r="BE583">
        <f>'T_TTAFStock'!BC39</f>
        <v/>
      </c>
      <c r="BF583">
        <f>'T_TTAFStock'!BD39</f>
        <v/>
      </c>
      <c r="BG583">
        <f>'T_TTAFStock'!BE39</f>
        <v/>
      </c>
      <c r="BH583">
        <f>'T_TTAFStock'!BF39</f>
        <v/>
      </c>
      <c r="BI583">
        <f>'T_TTAFStock'!BG39</f>
        <v/>
      </c>
      <c r="BJ583">
        <f>'T_TTAFStock'!BH39</f>
        <v/>
      </c>
      <c r="BK583">
        <f>'T_TTAFStock'!BI39</f>
        <v/>
      </c>
      <c r="BL583">
        <f>'T_TTAFStock'!BJ39</f>
        <v/>
      </c>
      <c r="BM583">
        <f>'T_TTAFStock'!BK39</f>
        <v/>
      </c>
      <c r="BN583">
        <f>'T_TTAFStock'!BL39</f>
        <v/>
      </c>
      <c r="BO583">
        <f>'T_TTAFStock'!BM39</f>
        <v/>
      </c>
      <c r="BP583">
        <f>'T_TTAFStock'!BN39</f>
        <v/>
      </c>
      <c r="BQ583">
        <f>'T_TTAFStock'!BO39</f>
        <v/>
      </c>
      <c r="BR583">
        <f>'T_TTAFStock'!BP39</f>
        <v/>
      </c>
      <c r="BS583">
        <f>'T_TTAFStock'!BQ39</f>
        <v/>
      </c>
      <c r="BT583">
        <f>'T_TTAFStock'!BR39</f>
        <v/>
      </c>
      <c r="BU583">
        <f>'T_TTAFStock'!BS39</f>
        <v/>
      </c>
      <c r="BV583">
        <f>'T_TTAFStock'!BT39</f>
        <v/>
      </c>
      <c r="BW583">
        <f>'T_TTAFStock'!BU39</f>
        <v/>
      </c>
      <c r="BX583">
        <f>'T_TTAFStock'!BV39</f>
        <v/>
      </c>
      <c r="BY583">
        <f>'T_TTAFStock'!BW39</f>
        <v/>
      </c>
      <c r="BZ583">
        <f>'T_TTAFStock'!BX39</f>
        <v/>
      </c>
      <c r="CA583">
        <f>'T_TTAFStock'!BY39</f>
        <v/>
      </c>
      <c r="CB583">
        <f>'T_TTAFStock'!BZ39</f>
        <v/>
      </c>
      <c r="CC583">
        <f>'T_TTAFStock'!CA39</f>
        <v/>
      </c>
      <c r="CD583">
        <f>'T_TTAFStock'!CB39</f>
        <v/>
      </c>
      <c r="CE583">
        <f>'T_TTAFStock'!CC39</f>
        <v/>
      </c>
      <c r="CF583">
        <f>'T_TTAFStock'!CD39</f>
        <v/>
      </c>
      <c r="CG583">
        <f>'T_TTAFStock'!CE39</f>
        <v/>
      </c>
      <c r="CH583">
        <f>'T_TTAFStock'!CF39</f>
        <v/>
      </c>
      <c r="CI583">
        <f>'T_TTAFStock'!CG39</f>
        <v/>
      </c>
      <c r="CJ583">
        <f>'T_TTAFStock'!CH39</f>
        <v/>
      </c>
      <c r="CK583">
        <f>'T_TTAFStock'!CI39</f>
        <v/>
      </c>
      <c r="CL583">
        <f>'T_TTAFStock'!CJ39</f>
        <v/>
      </c>
      <c r="CM583">
        <f>'T_TTAFStock'!CK39</f>
        <v/>
      </c>
      <c r="CN583">
        <f>'T_TTAFStock'!CL39</f>
        <v/>
      </c>
      <c r="CO583">
        <f>'T_TTAFStock'!CM39</f>
        <v/>
      </c>
      <c r="CP583">
        <f>'T_TTAFStock'!CN39</f>
        <v/>
      </c>
      <c r="CQ583">
        <f>'T_TTAFStock'!CO39</f>
        <v/>
      </c>
      <c r="CR583">
        <f>'T_TTAFStock'!CP39</f>
        <v/>
      </c>
      <c r="CS583">
        <f>'T_TTAFStock'!CQ39</f>
        <v/>
      </c>
      <c r="CT583">
        <f>'T_TTAFStock'!CR39</f>
        <v/>
      </c>
      <c r="CU583">
        <f>'T_TTAFStock'!CS39</f>
        <v/>
      </c>
      <c r="CV583">
        <f>'T_TTAFStock'!CT39</f>
        <v/>
      </c>
      <c r="CW583">
        <f>'T_TTAFStock'!CU39</f>
        <v/>
      </c>
      <c r="CX583">
        <f>'T_TTAFStock'!CV39</f>
        <v/>
      </c>
      <c r="CY583">
        <f>'T_TTAFStock'!CW39</f>
        <v/>
      </c>
      <c r="CZ583">
        <f>'T_TTAFStock'!CX39</f>
        <v/>
      </c>
      <c r="DA583">
        <f>'T_TTAFStock'!CY39</f>
        <v/>
      </c>
      <c r="DB583">
        <f>'T_TTAFStock'!CZ39</f>
        <v/>
      </c>
      <c r="DC583">
        <f>'T_TTAFStock'!DA39</f>
        <v/>
      </c>
    </row>
    <row r="584">
      <c r="B584" t="inlineStr">
        <is>
          <t>自社在庫(実績,kg)</t>
        </is>
      </c>
      <c r="D584">
        <f>'T_SelfStock'!B39</f>
        <v/>
      </c>
      <c r="E584">
        <f>'T_SelfStock'!C39</f>
        <v/>
      </c>
      <c r="F584">
        <f>'T_SelfStock'!D39</f>
        <v/>
      </c>
      <c r="G584">
        <f>'T_SelfStock'!E39</f>
        <v/>
      </c>
      <c r="H584">
        <f>'T_SelfStock'!F39</f>
        <v/>
      </c>
      <c r="I584">
        <f>'T_SelfStock'!G39</f>
        <v/>
      </c>
      <c r="J584">
        <f>'T_SelfStock'!H39</f>
        <v/>
      </c>
      <c r="K584">
        <f>'T_SelfStock'!I39</f>
        <v/>
      </c>
      <c r="L584">
        <f>'T_SelfStock'!J39</f>
        <v/>
      </c>
      <c r="M584">
        <f>'T_SelfStock'!K39</f>
        <v/>
      </c>
      <c r="N584">
        <f>'T_SelfStock'!L39</f>
        <v/>
      </c>
      <c r="O584">
        <f>'T_SelfStock'!M39</f>
        <v/>
      </c>
      <c r="P584">
        <f>'T_SelfStock'!N39</f>
        <v/>
      </c>
      <c r="Q584">
        <f>'T_SelfStock'!O39</f>
        <v/>
      </c>
      <c r="R584">
        <f>'T_SelfStock'!P39</f>
        <v/>
      </c>
      <c r="S584">
        <f>'T_SelfStock'!Q39</f>
        <v/>
      </c>
      <c r="T584">
        <f>'T_SelfStock'!R39</f>
        <v/>
      </c>
      <c r="U584">
        <f>'T_SelfStock'!S39</f>
        <v/>
      </c>
      <c r="V584">
        <f>'T_SelfStock'!T39</f>
        <v/>
      </c>
      <c r="W584">
        <f>'T_SelfStock'!U39</f>
        <v/>
      </c>
      <c r="X584">
        <f>'T_SelfStock'!V39</f>
        <v/>
      </c>
      <c r="Y584">
        <f>'T_SelfStock'!W39</f>
        <v/>
      </c>
      <c r="Z584">
        <f>'T_SelfStock'!X39</f>
        <v/>
      </c>
      <c r="AA584">
        <f>'T_SelfStock'!Y39</f>
        <v/>
      </c>
      <c r="AB584">
        <f>'T_SelfStock'!Z39</f>
        <v/>
      </c>
      <c r="AC584">
        <f>'T_SelfStock'!AA39</f>
        <v/>
      </c>
      <c r="AD584">
        <f>'T_SelfStock'!AB39</f>
        <v/>
      </c>
      <c r="AE584">
        <f>'T_SelfStock'!AC39</f>
        <v/>
      </c>
      <c r="AF584">
        <f>'T_SelfStock'!AD39</f>
        <v/>
      </c>
      <c r="AG584">
        <f>'T_SelfStock'!AE39</f>
        <v/>
      </c>
      <c r="AH584">
        <f>'T_SelfStock'!AF39</f>
        <v/>
      </c>
      <c r="AI584">
        <f>'T_SelfStock'!AG39</f>
        <v/>
      </c>
      <c r="AJ584">
        <f>'T_SelfStock'!AH39</f>
        <v/>
      </c>
      <c r="AK584">
        <f>'T_SelfStock'!AI39</f>
        <v/>
      </c>
      <c r="AL584">
        <f>'T_SelfStock'!AJ39</f>
        <v/>
      </c>
      <c r="AM584">
        <f>'T_SelfStock'!AK39</f>
        <v/>
      </c>
      <c r="AN584">
        <f>'T_SelfStock'!AL39</f>
        <v/>
      </c>
      <c r="AO584">
        <f>'T_SelfStock'!AM39</f>
        <v/>
      </c>
      <c r="AP584">
        <f>'T_SelfStock'!AN39</f>
        <v/>
      </c>
      <c r="AQ584">
        <f>'T_SelfStock'!AO39</f>
        <v/>
      </c>
      <c r="AR584">
        <f>'T_SelfStock'!AP39</f>
        <v/>
      </c>
      <c r="AS584">
        <f>'T_SelfStock'!AQ39</f>
        <v/>
      </c>
      <c r="AT584">
        <f>'T_SelfStock'!AR39</f>
        <v/>
      </c>
      <c r="AU584">
        <f>'T_SelfStock'!AS39</f>
        <v/>
      </c>
      <c r="AV584">
        <f>'T_SelfStock'!AT39</f>
        <v/>
      </c>
      <c r="AW584">
        <f>'T_SelfStock'!AU39</f>
        <v/>
      </c>
      <c r="AX584">
        <f>'T_SelfStock'!AV39</f>
        <v/>
      </c>
      <c r="AY584">
        <f>'T_SelfStock'!AW39</f>
        <v/>
      </c>
      <c r="AZ584">
        <f>'T_SelfStock'!AX39</f>
        <v/>
      </c>
      <c r="BA584">
        <f>'T_SelfStock'!AY39</f>
        <v/>
      </c>
      <c r="BB584">
        <f>'T_SelfStock'!AZ39</f>
        <v/>
      </c>
      <c r="BC584">
        <f>'T_SelfStock'!BA39</f>
        <v/>
      </c>
      <c r="BD584">
        <f>'T_SelfStock'!BB39</f>
        <v/>
      </c>
      <c r="BE584">
        <f>'T_SelfStock'!BC39</f>
        <v/>
      </c>
      <c r="BF584">
        <f>'T_SelfStock'!BD39</f>
        <v/>
      </c>
      <c r="BG584">
        <f>'T_SelfStock'!BE39</f>
        <v/>
      </c>
      <c r="BH584">
        <f>'T_SelfStock'!BF39</f>
        <v/>
      </c>
      <c r="BI584">
        <f>'T_SelfStock'!BG39</f>
        <v/>
      </c>
      <c r="BJ584">
        <f>'T_SelfStock'!BH39</f>
        <v/>
      </c>
      <c r="BK584">
        <f>'T_SelfStock'!BI39</f>
        <v/>
      </c>
      <c r="BL584">
        <f>'T_SelfStock'!BJ39</f>
        <v/>
      </c>
      <c r="BM584">
        <f>'T_SelfStock'!BK39</f>
        <v/>
      </c>
      <c r="BN584">
        <f>'T_SelfStock'!BL39</f>
        <v/>
      </c>
      <c r="BO584">
        <f>'T_SelfStock'!BM39</f>
        <v/>
      </c>
      <c r="BP584">
        <f>'T_SelfStock'!BN39</f>
        <v/>
      </c>
      <c r="BQ584">
        <f>'T_SelfStock'!BO39</f>
        <v/>
      </c>
      <c r="BR584">
        <f>'T_SelfStock'!BP39</f>
        <v/>
      </c>
      <c r="BS584">
        <f>'T_SelfStock'!BQ39</f>
        <v/>
      </c>
      <c r="BT584">
        <f>'T_SelfStock'!BR39</f>
        <v/>
      </c>
      <c r="BU584">
        <f>'T_SelfStock'!BS39</f>
        <v/>
      </c>
      <c r="BV584">
        <f>'T_SelfStock'!BT39</f>
        <v/>
      </c>
      <c r="BW584">
        <f>'T_SelfStock'!BU39</f>
        <v/>
      </c>
      <c r="BX584">
        <f>'T_SelfStock'!BV39</f>
        <v/>
      </c>
      <c r="BY584">
        <f>'T_SelfStock'!BW39</f>
        <v/>
      </c>
      <c r="BZ584">
        <f>'T_SelfStock'!BX39</f>
        <v/>
      </c>
      <c r="CA584">
        <f>'T_SelfStock'!BY39</f>
        <v/>
      </c>
      <c r="CB584">
        <f>'T_SelfStock'!BZ39</f>
        <v/>
      </c>
      <c r="CC584">
        <f>'T_SelfStock'!CA39</f>
        <v/>
      </c>
      <c r="CD584">
        <f>'T_SelfStock'!CB39</f>
        <v/>
      </c>
      <c r="CE584">
        <f>'T_SelfStock'!CC39</f>
        <v/>
      </c>
      <c r="CF584">
        <f>'T_SelfStock'!CD39</f>
        <v/>
      </c>
      <c r="CG584">
        <f>'T_SelfStock'!CE39</f>
        <v/>
      </c>
      <c r="CH584">
        <f>'T_SelfStock'!CF39</f>
        <v/>
      </c>
      <c r="CI584">
        <f>'T_SelfStock'!CG39</f>
        <v/>
      </c>
      <c r="CJ584">
        <f>'T_SelfStock'!CH39</f>
        <v/>
      </c>
      <c r="CK584">
        <f>'T_SelfStock'!CI39</f>
        <v/>
      </c>
      <c r="CL584">
        <f>'T_SelfStock'!CJ39</f>
        <v/>
      </c>
      <c r="CM584">
        <f>'T_SelfStock'!CK39</f>
        <v/>
      </c>
      <c r="CN584">
        <f>'T_SelfStock'!CL39</f>
        <v/>
      </c>
      <c r="CO584">
        <f>'T_SelfStock'!CM39</f>
        <v/>
      </c>
      <c r="CP584">
        <f>'T_SelfStock'!CN39</f>
        <v/>
      </c>
      <c r="CQ584">
        <f>'T_SelfStock'!CO39</f>
        <v/>
      </c>
      <c r="CR584">
        <f>'T_SelfStock'!CP39</f>
        <v/>
      </c>
      <c r="CS584">
        <f>'T_SelfStock'!CQ39</f>
        <v/>
      </c>
      <c r="CT584">
        <f>'T_SelfStock'!CR39</f>
        <v/>
      </c>
      <c r="CU584">
        <f>'T_SelfStock'!CS39</f>
        <v/>
      </c>
      <c r="CV584">
        <f>'T_SelfStock'!CT39</f>
        <v/>
      </c>
      <c r="CW584">
        <f>'T_SelfStock'!CU39</f>
        <v/>
      </c>
      <c r="CX584">
        <f>'T_SelfStock'!CV39</f>
        <v/>
      </c>
      <c r="CY584">
        <f>'T_SelfStock'!CW39</f>
        <v/>
      </c>
      <c r="CZ584">
        <f>'T_SelfStock'!CX39</f>
        <v/>
      </c>
      <c r="DA584">
        <f>'T_SelfStock'!CY39</f>
        <v/>
      </c>
      <c r="DB584">
        <f>'T_SelfStock'!CZ39</f>
        <v/>
      </c>
      <c r="DC584">
        <f>'T_SelfStock'!DA39</f>
        <v/>
      </c>
    </row>
    <row r="585">
      <c r="B585" t="inlineStr">
        <is>
          <t>Order(発注予定,kg)</t>
        </is>
      </c>
      <c r="D585">
        <f>IF(SUMIFS(T_PlannedOrders[EffectiveQty],T_PlannedOrders[Part Name],$A555,T_PlannedOrders[WeekIndex],1)=0,"",SUMIFS(T_PlannedOrders[EffectiveQty],T_PlannedOrders[Part Name],$A555,T_PlannedOrders[WeekIndex],1)&amp;" ("&amp;TEXT(SUMPRODUCT(MAX((T_PlannedOrders[Part Name]=$A555)*(T_PlannedOrders[WeekIndex]=1)*(T_PlannedOrders[EffectiveQty]&gt;0)*T_PlannedOrders[Order_Month])),"m月")&amp;"発注)")</f>
        <v/>
      </c>
      <c r="E585">
        <f>IF(SUMIFS(T_PlannedOrders[EffectiveQty],T_PlannedOrders[Part Name],$A555,T_PlannedOrders[WeekIndex],2)=0,"",SUMIFS(T_PlannedOrders[EffectiveQty],T_PlannedOrders[Part Name],$A555,T_PlannedOrders[WeekIndex],2)&amp;" ("&amp;TEXT(SUMPRODUCT(MAX((T_PlannedOrders[Part Name]=$A555)*(T_PlannedOrders[WeekIndex]=2)*(T_PlannedOrders[EffectiveQty]&gt;0)*T_PlannedOrders[Order_Month])),"m月")&amp;"発注)")</f>
        <v/>
      </c>
      <c r="F585">
        <f>IF(SUMIFS(T_PlannedOrders[EffectiveQty],T_PlannedOrders[Part Name],$A555,T_PlannedOrders[WeekIndex],3)=0,"",SUMIFS(T_PlannedOrders[EffectiveQty],T_PlannedOrders[Part Name],$A555,T_PlannedOrders[WeekIndex],3)&amp;" ("&amp;TEXT(SUMPRODUCT(MAX((T_PlannedOrders[Part Name]=$A555)*(T_PlannedOrders[WeekIndex]=3)*(T_PlannedOrders[EffectiveQty]&gt;0)*T_PlannedOrders[Order_Month])),"m月")&amp;"発注)")</f>
        <v/>
      </c>
      <c r="G585">
        <f>IF(SUMIFS(T_PlannedOrders[EffectiveQty],T_PlannedOrders[Part Name],$A555,T_PlannedOrders[WeekIndex],4)=0,"",SUMIFS(T_PlannedOrders[EffectiveQty],T_PlannedOrders[Part Name],$A555,T_PlannedOrders[WeekIndex],4)&amp;" ("&amp;TEXT(SUMPRODUCT(MAX((T_PlannedOrders[Part Name]=$A555)*(T_PlannedOrders[WeekIndex]=4)*(T_PlannedOrders[EffectiveQty]&gt;0)*T_PlannedOrders[Order_Month])),"m月")&amp;"発注)")</f>
        <v/>
      </c>
      <c r="H585">
        <f>IF(SUMIFS(T_PlannedOrders[EffectiveQty],T_PlannedOrders[Part Name],$A555,T_PlannedOrders[WeekIndex],5)=0,"",SUMIFS(T_PlannedOrders[EffectiveQty],T_PlannedOrders[Part Name],$A555,T_PlannedOrders[WeekIndex],5)&amp;" ("&amp;TEXT(SUMPRODUCT(MAX((T_PlannedOrders[Part Name]=$A555)*(T_PlannedOrders[WeekIndex]=5)*(T_PlannedOrders[EffectiveQty]&gt;0)*T_PlannedOrders[Order_Month])),"m月")&amp;"発注)")</f>
        <v/>
      </c>
      <c r="I585">
        <f>IF(SUMIFS(T_PlannedOrders[EffectiveQty],T_PlannedOrders[Part Name],$A555,T_PlannedOrders[WeekIndex],6)=0,"",SUMIFS(T_PlannedOrders[EffectiveQty],T_PlannedOrders[Part Name],$A555,T_PlannedOrders[WeekIndex],6)&amp;" ("&amp;TEXT(SUMPRODUCT(MAX((T_PlannedOrders[Part Name]=$A555)*(T_PlannedOrders[WeekIndex]=6)*(T_PlannedOrders[EffectiveQty]&gt;0)*T_PlannedOrders[Order_Month])),"m月")&amp;"発注)")</f>
        <v/>
      </c>
      <c r="J585">
        <f>IF(SUMIFS(T_PlannedOrders[EffectiveQty],T_PlannedOrders[Part Name],$A555,T_PlannedOrders[WeekIndex],7)=0,"",SUMIFS(T_PlannedOrders[EffectiveQty],T_PlannedOrders[Part Name],$A555,T_PlannedOrders[WeekIndex],7)&amp;" ("&amp;TEXT(SUMPRODUCT(MAX((T_PlannedOrders[Part Name]=$A555)*(T_PlannedOrders[WeekIndex]=7)*(T_PlannedOrders[EffectiveQty]&gt;0)*T_PlannedOrders[Order_Month])),"m月")&amp;"発注)")</f>
        <v/>
      </c>
      <c r="K585">
        <f>IF(SUMIFS(T_PlannedOrders[EffectiveQty],T_PlannedOrders[Part Name],$A555,T_PlannedOrders[WeekIndex],8)=0,"",SUMIFS(T_PlannedOrders[EffectiveQty],T_PlannedOrders[Part Name],$A555,T_PlannedOrders[WeekIndex],8)&amp;" ("&amp;TEXT(SUMPRODUCT(MAX((T_PlannedOrders[Part Name]=$A555)*(T_PlannedOrders[WeekIndex]=8)*(T_PlannedOrders[EffectiveQty]&gt;0)*T_PlannedOrders[Order_Month])),"m月")&amp;"発注)")</f>
        <v/>
      </c>
      <c r="L585">
        <f>IF(SUMIFS(T_PlannedOrders[EffectiveQty],T_PlannedOrders[Part Name],$A555,T_PlannedOrders[WeekIndex],9)=0,"",SUMIFS(T_PlannedOrders[EffectiveQty],T_PlannedOrders[Part Name],$A555,T_PlannedOrders[WeekIndex],9)&amp;" ("&amp;TEXT(SUMPRODUCT(MAX((T_PlannedOrders[Part Name]=$A555)*(T_PlannedOrders[WeekIndex]=9)*(T_PlannedOrders[EffectiveQty]&gt;0)*T_PlannedOrders[Order_Month])),"m月")&amp;"発注)")</f>
        <v/>
      </c>
      <c r="M585">
        <f>IF(SUMIFS(T_PlannedOrders[EffectiveQty],T_PlannedOrders[Part Name],$A555,T_PlannedOrders[WeekIndex],10)=0,"",SUMIFS(T_PlannedOrders[EffectiveQty],T_PlannedOrders[Part Name],$A555,T_PlannedOrders[WeekIndex],10)&amp;" ("&amp;TEXT(SUMPRODUCT(MAX((T_PlannedOrders[Part Name]=$A555)*(T_PlannedOrders[WeekIndex]=10)*(T_PlannedOrders[EffectiveQty]&gt;0)*T_PlannedOrders[Order_Month])),"m月")&amp;"発注)")</f>
        <v/>
      </c>
      <c r="N585">
        <f>IF(SUMIFS(T_PlannedOrders[EffectiveQty],T_PlannedOrders[Part Name],$A555,T_PlannedOrders[WeekIndex],11)=0,"",SUMIFS(T_PlannedOrders[EffectiveQty],T_PlannedOrders[Part Name],$A555,T_PlannedOrders[WeekIndex],11)&amp;" ("&amp;TEXT(SUMPRODUCT(MAX((T_PlannedOrders[Part Name]=$A555)*(T_PlannedOrders[WeekIndex]=11)*(T_PlannedOrders[EffectiveQty]&gt;0)*T_PlannedOrders[Order_Month])),"m月")&amp;"発注)")</f>
        <v/>
      </c>
      <c r="O585">
        <f>IF(SUMIFS(T_PlannedOrders[EffectiveQty],T_PlannedOrders[Part Name],$A555,T_PlannedOrders[WeekIndex],12)=0,"",SUMIFS(T_PlannedOrders[EffectiveQty],T_PlannedOrders[Part Name],$A555,T_PlannedOrders[WeekIndex],12)&amp;" ("&amp;TEXT(SUMPRODUCT(MAX((T_PlannedOrders[Part Name]=$A555)*(T_PlannedOrders[WeekIndex]=12)*(T_PlannedOrders[EffectiveQty]&gt;0)*T_PlannedOrders[Order_Month])),"m月")&amp;"発注)")</f>
        <v/>
      </c>
      <c r="P585">
        <f>IF(SUMIFS(T_PlannedOrders[EffectiveQty],T_PlannedOrders[Part Name],$A555,T_PlannedOrders[WeekIndex],13)=0,"",SUMIFS(T_PlannedOrders[EffectiveQty],T_PlannedOrders[Part Name],$A555,T_PlannedOrders[WeekIndex],13)&amp;" ("&amp;TEXT(SUMPRODUCT(MAX((T_PlannedOrders[Part Name]=$A555)*(T_PlannedOrders[WeekIndex]=13)*(T_PlannedOrders[EffectiveQty]&gt;0)*T_PlannedOrders[Order_Month])),"m月")&amp;"発注)")</f>
        <v/>
      </c>
      <c r="Q585">
        <f>IF(SUMIFS(T_PlannedOrders[EffectiveQty],T_PlannedOrders[Part Name],$A555,T_PlannedOrders[WeekIndex],14)=0,"",SUMIFS(T_PlannedOrders[EffectiveQty],T_PlannedOrders[Part Name],$A555,T_PlannedOrders[WeekIndex],14)&amp;" ("&amp;TEXT(SUMPRODUCT(MAX((T_PlannedOrders[Part Name]=$A555)*(T_PlannedOrders[WeekIndex]=14)*(T_PlannedOrders[EffectiveQty]&gt;0)*T_PlannedOrders[Order_Month])),"m月")&amp;"発注)")</f>
        <v/>
      </c>
      <c r="R585">
        <f>IF(SUMIFS(T_PlannedOrders[EffectiveQty],T_PlannedOrders[Part Name],$A555,T_PlannedOrders[WeekIndex],15)=0,"",SUMIFS(T_PlannedOrders[EffectiveQty],T_PlannedOrders[Part Name],$A555,T_PlannedOrders[WeekIndex],15)&amp;" ("&amp;TEXT(SUMPRODUCT(MAX((T_PlannedOrders[Part Name]=$A555)*(T_PlannedOrders[WeekIndex]=15)*(T_PlannedOrders[EffectiveQty]&gt;0)*T_PlannedOrders[Order_Month])),"m月")&amp;"発注)")</f>
        <v/>
      </c>
      <c r="S585">
        <f>IF(SUMIFS(T_PlannedOrders[EffectiveQty],T_PlannedOrders[Part Name],$A555,T_PlannedOrders[WeekIndex],16)=0,"",SUMIFS(T_PlannedOrders[EffectiveQty],T_PlannedOrders[Part Name],$A555,T_PlannedOrders[WeekIndex],16)&amp;" ("&amp;TEXT(SUMPRODUCT(MAX((T_PlannedOrders[Part Name]=$A555)*(T_PlannedOrders[WeekIndex]=16)*(T_PlannedOrders[EffectiveQty]&gt;0)*T_PlannedOrders[Order_Month])),"m月")&amp;"発注)")</f>
        <v/>
      </c>
      <c r="T585">
        <f>IF(SUMIFS(T_PlannedOrders[EffectiveQty],T_PlannedOrders[Part Name],$A555,T_PlannedOrders[WeekIndex],17)=0,"",SUMIFS(T_PlannedOrders[EffectiveQty],T_PlannedOrders[Part Name],$A555,T_PlannedOrders[WeekIndex],17)&amp;" ("&amp;TEXT(SUMPRODUCT(MAX((T_PlannedOrders[Part Name]=$A555)*(T_PlannedOrders[WeekIndex]=17)*(T_PlannedOrders[EffectiveQty]&gt;0)*T_PlannedOrders[Order_Month])),"m月")&amp;"発注)")</f>
        <v/>
      </c>
      <c r="U585">
        <f>IF(SUMIFS(T_PlannedOrders[EffectiveQty],T_PlannedOrders[Part Name],$A555,T_PlannedOrders[WeekIndex],18)=0,"",SUMIFS(T_PlannedOrders[EffectiveQty],T_PlannedOrders[Part Name],$A555,T_PlannedOrders[WeekIndex],18)&amp;" ("&amp;TEXT(SUMPRODUCT(MAX((T_PlannedOrders[Part Name]=$A555)*(T_PlannedOrders[WeekIndex]=18)*(T_PlannedOrders[EffectiveQty]&gt;0)*T_PlannedOrders[Order_Month])),"m月")&amp;"発注)")</f>
        <v/>
      </c>
      <c r="V585">
        <f>IF(SUMIFS(T_PlannedOrders[EffectiveQty],T_PlannedOrders[Part Name],$A555,T_PlannedOrders[WeekIndex],19)=0,"",SUMIFS(T_PlannedOrders[EffectiveQty],T_PlannedOrders[Part Name],$A555,T_PlannedOrders[WeekIndex],19)&amp;" ("&amp;TEXT(SUMPRODUCT(MAX((T_PlannedOrders[Part Name]=$A555)*(T_PlannedOrders[WeekIndex]=19)*(T_PlannedOrders[EffectiveQty]&gt;0)*T_PlannedOrders[Order_Month])),"m月")&amp;"発注)")</f>
        <v/>
      </c>
      <c r="W585">
        <f>IF(SUMIFS(T_PlannedOrders[EffectiveQty],T_PlannedOrders[Part Name],$A555,T_PlannedOrders[WeekIndex],20)=0,"",SUMIFS(T_PlannedOrders[EffectiveQty],T_PlannedOrders[Part Name],$A555,T_PlannedOrders[WeekIndex],20)&amp;" ("&amp;TEXT(SUMPRODUCT(MAX((T_PlannedOrders[Part Name]=$A555)*(T_PlannedOrders[WeekIndex]=20)*(T_PlannedOrders[EffectiveQty]&gt;0)*T_PlannedOrders[Order_Month])),"m月")&amp;"発注)")</f>
        <v/>
      </c>
      <c r="X585">
        <f>IF(SUMIFS(T_PlannedOrders[EffectiveQty],T_PlannedOrders[Part Name],$A555,T_PlannedOrders[WeekIndex],21)=0,"",SUMIFS(T_PlannedOrders[EffectiveQty],T_PlannedOrders[Part Name],$A555,T_PlannedOrders[WeekIndex],21)&amp;" ("&amp;TEXT(SUMPRODUCT(MAX((T_PlannedOrders[Part Name]=$A555)*(T_PlannedOrders[WeekIndex]=21)*(T_PlannedOrders[EffectiveQty]&gt;0)*T_PlannedOrders[Order_Month])),"m月")&amp;"発注)")</f>
        <v/>
      </c>
      <c r="Y585">
        <f>IF(SUMIFS(T_PlannedOrders[EffectiveQty],T_PlannedOrders[Part Name],$A555,T_PlannedOrders[WeekIndex],22)=0,"",SUMIFS(T_PlannedOrders[EffectiveQty],T_PlannedOrders[Part Name],$A555,T_PlannedOrders[WeekIndex],22)&amp;" ("&amp;TEXT(SUMPRODUCT(MAX((T_PlannedOrders[Part Name]=$A555)*(T_PlannedOrders[WeekIndex]=22)*(T_PlannedOrders[EffectiveQty]&gt;0)*T_PlannedOrders[Order_Month])),"m月")&amp;"発注)")</f>
        <v/>
      </c>
      <c r="Z585">
        <f>IF(SUMIFS(T_PlannedOrders[EffectiveQty],T_PlannedOrders[Part Name],$A555,T_PlannedOrders[WeekIndex],23)=0,"",SUMIFS(T_PlannedOrders[EffectiveQty],T_PlannedOrders[Part Name],$A555,T_PlannedOrders[WeekIndex],23)&amp;" ("&amp;TEXT(SUMPRODUCT(MAX((T_PlannedOrders[Part Name]=$A555)*(T_PlannedOrders[WeekIndex]=23)*(T_PlannedOrders[EffectiveQty]&gt;0)*T_PlannedOrders[Order_Month])),"m月")&amp;"発注)")</f>
        <v/>
      </c>
      <c r="AA585">
        <f>IF(SUMIFS(T_PlannedOrders[EffectiveQty],T_PlannedOrders[Part Name],$A555,T_PlannedOrders[WeekIndex],24)=0,"",SUMIFS(T_PlannedOrders[EffectiveQty],T_PlannedOrders[Part Name],$A555,T_PlannedOrders[WeekIndex],24)&amp;" ("&amp;TEXT(SUMPRODUCT(MAX((T_PlannedOrders[Part Name]=$A555)*(T_PlannedOrders[WeekIndex]=24)*(T_PlannedOrders[EffectiveQty]&gt;0)*T_PlannedOrders[Order_Month])),"m月")&amp;"発注)")</f>
        <v/>
      </c>
      <c r="AB585">
        <f>IF(SUMIFS(T_PlannedOrders[EffectiveQty],T_PlannedOrders[Part Name],$A555,T_PlannedOrders[WeekIndex],25)=0,"",SUMIFS(T_PlannedOrders[EffectiveQty],T_PlannedOrders[Part Name],$A555,T_PlannedOrders[WeekIndex],25)&amp;" ("&amp;TEXT(SUMPRODUCT(MAX((T_PlannedOrders[Part Name]=$A555)*(T_PlannedOrders[WeekIndex]=25)*(T_PlannedOrders[EffectiveQty]&gt;0)*T_PlannedOrders[Order_Month])),"m月")&amp;"発注)")</f>
        <v/>
      </c>
      <c r="AC585">
        <f>IF(SUMIFS(T_PlannedOrders[EffectiveQty],T_PlannedOrders[Part Name],$A555,T_PlannedOrders[WeekIndex],26)=0,"",SUMIFS(T_PlannedOrders[EffectiveQty],T_PlannedOrders[Part Name],$A555,T_PlannedOrders[WeekIndex],26)&amp;" ("&amp;TEXT(SUMPRODUCT(MAX((T_PlannedOrders[Part Name]=$A555)*(T_PlannedOrders[WeekIndex]=26)*(T_PlannedOrders[EffectiveQty]&gt;0)*T_PlannedOrders[Order_Month])),"m月")&amp;"発注)")</f>
        <v/>
      </c>
      <c r="AD585">
        <f>IF(SUMIFS(T_PlannedOrders[EffectiveQty],T_PlannedOrders[Part Name],$A555,T_PlannedOrders[WeekIndex],27)=0,"",SUMIFS(T_PlannedOrders[EffectiveQty],T_PlannedOrders[Part Name],$A555,T_PlannedOrders[WeekIndex],27)&amp;" ("&amp;TEXT(SUMPRODUCT(MAX((T_PlannedOrders[Part Name]=$A555)*(T_PlannedOrders[WeekIndex]=27)*(T_PlannedOrders[EffectiveQty]&gt;0)*T_PlannedOrders[Order_Month])),"m月")&amp;"発注)")</f>
        <v/>
      </c>
      <c r="AE585">
        <f>IF(SUMIFS(T_PlannedOrders[EffectiveQty],T_PlannedOrders[Part Name],$A555,T_PlannedOrders[WeekIndex],28)=0,"",SUMIFS(T_PlannedOrders[EffectiveQty],T_PlannedOrders[Part Name],$A555,T_PlannedOrders[WeekIndex],28)&amp;" ("&amp;TEXT(SUMPRODUCT(MAX((T_PlannedOrders[Part Name]=$A555)*(T_PlannedOrders[WeekIndex]=28)*(T_PlannedOrders[EffectiveQty]&gt;0)*T_PlannedOrders[Order_Month])),"m月")&amp;"発注)")</f>
        <v/>
      </c>
      <c r="AF585">
        <f>IF(SUMIFS(T_PlannedOrders[EffectiveQty],T_PlannedOrders[Part Name],$A555,T_PlannedOrders[WeekIndex],29)=0,"",SUMIFS(T_PlannedOrders[EffectiveQty],T_PlannedOrders[Part Name],$A555,T_PlannedOrders[WeekIndex],29)&amp;" ("&amp;TEXT(SUMPRODUCT(MAX((T_PlannedOrders[Part Name]=$A555)*(T_PlannedOrders[WeekIndex]=29)*(T_PlannedOrders[EffectiveQty]&gt;0)*T_PlannedOrders[Order_Month])),"m月")&amp;"発注)")</f>
        <v/>
      </c>
      <c r="AG585">
        <f>IF(SUMIFS(T_PlannedOrders[EffectiveQty],T_PlannedOrders[Part Name],$A555,T_PlannedOrders[WeekIndex],30)=0,"",SUMIFS(T_PlannedOrders[EffectiveQty],T_PlannedOrders[Part Name],$A555,T_PlannedOrders[WeekIndex],30)&amp;" ("&amp;TEXT(SUMPRODUCT(MAX((T_PlannedOrders[Part Name]=$A555)*(T_PlannedOrders[WeekIndex]=30)*(T_PlannedOrders[EffectiveQty]&gt;0)*T_PlannedOrders[Order_Month])),"m月")&amp;"発注)")</f>
        <v/>
      </c>
      <c r="AH585">
        <f>IF(SUMIFS(T_PlannedOrders[EffectiveQty],T_PlannedOrders[Part Name],$A555,T_PlannedOrders[WeekIndex],31)=0,"",SUMIFS(T_PlannedOrders[EffectiveQty],T_PlannedOrders[Part Name],$A555,T_PlannedOrders[WeekIndex],31)&amp;" ("&amp;TEXT(SUMPRODUCT(MAX((T_PlannedOrders[Part Name]=$A555)*(T_PlannedOrders[WeekIndex]=31)*(T_PlannedOrders[EffectiveQty]&gt;0)*T_PlannedOrders[Order_Month])),"m月")&amp;"発注)")</f>
        <v/>
      </c>
      <c r="AI585">
        <f>IF(SUMIFS(T_PlannedOrders[EffectiveQty],T_PlannedOrders[Part Name],$A555,T_PlannedOrders[WeekIndex],32)=0,"",SUMIFS(T_PlannedOrders[EffectiveQty],T_PlannedOrders[Part Name],$A555,T_PlannedOrders[WeekIndex],32)&amp;" ("&amp;TEXT(SUMPRODUCT(MAX((T_PlannedOrders[Part Name]=$A555)*(T_PlannedOrders[WeekIndex]=32)*(T_PlannedOrders[EffectiveQty]&gt;0)*T_PlannedOrders[Order_Month])),"m月")&amp;"発注)")</f>
        <v/>
      </c>
      <c r="AJ585">
        <f>IF(SUMIFS(T_PlannedOrders[EffectiveQty],T_PlannedOrders[Part Name],$A555,T_PlannedOrders[WeekIndex],33)=0,"",SUMIFS(T_PlannedOrders[EffectiveQty],T_PlannedOrders[Part Name],$A555,T_PlannedOrders[WeekIndex],33)&amp;" ("&amp;TEXT(SUMPRODUCT(MAX((T_PlannedOrders[Part Name]=$A555)*(T_PlannedOrders[WeekIndex]=33)*(T_PlannedOrders[EffectiveQty]&gt;0)*T_PlannedOrders[Order_Month])),"m月")&amp;"発注)")</f>
        <v/>
      </c>
      <c r="AK585">
        <f>IF(SUMIFS(T_PlannedOrders[EffectiveQty],T_PlannedOrders[Part Name],$A555,T_PlannedOrders[WeekIndex],34)=0,"",SUMIFS(T_PlannedOrders[EffectiveQty],T_PlannedOrders[Part Name],$A555,T_PlannedOrders[WeekIndex],34)&amp;" ("&amp;TEXT(SUMPRODUCT(MAX((T_PlannedOrders[Part Name]=$A555)*(T_PlannedOrders[WeekIndex]=34)*(T_PlannedOrders[EffectiveQty]&gt;0)*T_PlannedOrders[Order_Month])),"m月")&amp;"発注)")</f>
        <v/>
      </c>
      <c r="AL585">
        <f>IF(SUMIFS(T_PlannedOrders[EffectiveQty],T_PlannedOrders[Part Name],$A555,T_PlannedOrders[WeekIndex],35)=0,"",SUMIFS(T_PlannedOrders[EffectiveQty],T_PlannedOrders[Part Name],$A555,T_PlannedOrders[WeekIndex],35)&amp;" ("&amp;TEXT(SUMPRODUCT(MAX((T_PlannedOrders[Part Name]=$A555)*(T_PlannedOrders[WeekIndex]=35)*(T_PlannedOrders[EffectiveQty]&gt;0)*T_PlannedOrders[Order_Month])),"m月")&amp;"発注)")</f>
        <v/>
      </c>
      <c r="AM585">
        <f>IF(SUMIFS(T_PlannedOrders[EffectiveQty],T_PlannedOrders[Part Name],$A555,T_PlannedOrders[WeekIndex],36)=0,"",SUMIFS(T_PlannedOrders[EffectiveQty],T_PlannedOrders[Part Name],$A555,T_PlannedOrders[WeekIndex],36)&amp;" ("&amp;TEXT(SUMPRODUCT(MAX((T_PlannedOrders[Part Name]=$A555)*(T_PlannedOrders[WeekIndex]=36)*(T_PlannedOrders[EffectiveQty]&gt;0)*T_PlannedOrders[Order_Month])),"m月")&amp;"発注)")</f>
        <v/>
      </c>
      <c r="AN585">
        <f>IF(SUMIFS(T_PlannedOrders[EffectiveQty],T_PlannedOrders[Part Name],$A555,T_PlannedOrders[WeekIndex],37)=0,"",SUMIFS(T_PlannedOrders[EffectiveQty],T_PlannedOrders[Part Name],$A555,T_PlannedOrders[WeekIndex],37)&amp;" ("&amp;TEXT(SUMPRODUCT(MAX((T_PlannedOrders[Part Name]=$A555)*(T_PlannedOrders[WeekIndex]=37)*(T_PlannedOrders[EffectiveQty]&gt;0)*T_PlannedOrders[Order_Month])),"m月")&amp;"発注)")</f>
        <v/>
      </c>
      <c r="AO585">
        <f>IF(SUMIFS(T_PlannedOrders[EffectiveQty],T_PlannedOrders[Part Name],$A555,T_PlannedOrders[WeekIndex],38)=0,"",SUMIFS(T_PlannedOrders[EffectiveQty],T_PlannedOrders[Part Name],$A555,T_PlannedOrders[WeekIndex],38)&amp;" ("&amp;TEXT(SUMPRODUCT(MAX((T_PlannedOrders[Part Name]=$A555)*(T_PlannedOrders[WeekIndex]=38)*(T_PlannedOrders[EffectiveQty]&gt;0)*T_PlannedOrders[Order_Month])),"m月")&amp;"発注)")</f>
        <v/>
      </c>
      <c r="AP585">
        <f>IF(SUMIFS(T_PlannedOrders[EffectiveQty],T_PlannedOrders[Part Name],$A555,T_PlannedOrders[WeekIndex],39)=0,"",SUMIFS(T_PlannedOrders[EffectiveQty],T_PlannedOrders[Part Name],$A555,T_PlannedOrders[WeekIndex],39)&amp;" ("&amp;TEXT(SUMPRODUCT(MAX((T_PlannedOrders[Part Name]=$A555)*(T_PlannedOrders[WeekIndex]=39)*(T_PlannedOrders[EffectiveQty]&gt;0)*T_PlannedOrders[Order_Month])),"m月")&amp;"発注)")</f>
        <v/>
      </c>
      <c r="AQ585">
        <f>IF(SUMIFS(T_PlannedOrders[EffectiveQty],T_PlannedOrders[Part Name],$A555,T_PlannedOrders[WeekIndex],40)=0,"",SUMIFS(T_PlannedOrders[EffectiveQty],T_PlannedOrders[Part Name],$A555,T_PlannedOrders[WeekIndex],40)&amp;" ("&amp;TEXT(SUMPRODUCT(MAX((T_PlannedOrders[Part Name]=$A555)*(T_PlannedOrders[WeekIndex]=40)*(T_PlannedOrders[EffectiveQty]&gt;0)*T_PlannedOrders[Order_Month])),"m月")&amp;"発注)")</f>
        <v/>
      </c>
      <c r="AR585">
        <f>IF(SUMIFS(T_PlannedOrders[EffectiveQty],T_PlannedOrders[Part Name],$A555,T_PlannedOrders[WeekIndex],41)=0,"",SUMIFS(T_PlannedOrders[EffectiveQty],T_PlannedOrders[Part Name],$A555,T_PlannedOrders[WeekIndex],41)&amp;" ("&amp;TEXT(SUMPRODUCT(MAX((T_PlannedOrders[Part Name]=$A555)*(T_PlannedOrders[WeekIndex]=41)*(T_PlannedOrders[EffectiveQty]&gt;0)*T_PlannedOrders[Order_Month])),"m月")&amp;"発注)")</f>
        <v/>
      </c>
      <c r="AS585">
        <f>IF(SUMIFS(T_PlannedOrders[EffectiveQty],T_PlannedOrders[Part Name],$A555,T_PlannedOrders[WeekIndex],42)=0,"",SUMIFS(T_PlannedOrders[EffectiveQty],T_PlannedOrders[Part Name],$A555,T_PlannedOrders[WeekIndex],42)&amp;" ("&amp;TEXT(SUMPRODUCT(MAX((T_PlannedOrders[Part Name]=$A555)*(T_PlannedOrders[WeekIndex]=42)*(T_PlannedOrders[EffectiveQty]&gt;0)*T_PlannedOrders[Order_Month])),"m月")&amp;"発注)")</f>
        <v/>
      </c>
      <c r="AT585">
        <f>IF(SUMIFS(T_PlannedOrders[EffectiveQty],T_PlannedOrders[Part Name],$A555,T_PlannedOrders[WeekIndex],43)=0,"",SUMIFS(T_PlannedOrders[EffectiveQty],T_PlannedOrders[Part Name],$A555,T_PlannedOrders[WeekIndex],43)&amp;" ("&amp;TEXT(SUMPRODUCT(MAX((T_PlannedOrders[Part Name]=$A555)*(T_PlannedOrders[WeekIndex]=43)*(T_PlannedOrders[EffectiveQty]&gt;0)*T_PlannedOrders[Order_Month])),"m月")&amp;"発注)")</f>
        <v/>
      </c>
      <c r="AU585">
        <f>IF(SUMIFS(T_PlannedOrders[EffectiveQty],T_PlannedOrders[Part Name],$A555,T_PlannedOrders[WeekIndex],44)=0,"",SUMIFS(T_PlannedOrders[EffectiveQty],T_PlannedOrders[Part Name],$A555,T_PlannedOrders[WeekIndex],44)&amp;" ("&amp;TEXT(SUMPRODUCT(MAX((T_PlannedOrders[Part Name]=$A555)*(T_PlannedOrders[WeekIndex]=44)*(T_PlannedOrders[EffectiveQty]&gt;0)*T_PlannedOrders[Order_Month])),"m月")&amp;"発注)")</f>
        <v/>
      </c>
      <c r="AV585">
        <f>IF(SUMIFS(T_PlannedOrders[EffectiveQty],T_PlannedOrders[Part Name],$A555,T_PlannedOrders[WeekIndex],45)=0,"",SUMIFS(T_PlannedOrders[EffectiveQty],T_PlannedOrders[Part Name],$A555,T_PlannedOrders[WeekIndex],45)&amp;" ("&amp;TEXT(SUMPRODUCT(MAX((T_PlannedOrders[Part Name]=$A555)*(T_PlannedOrders[WeekIndex]=45)*(T_PlannedOrders[EffectiveQty]&gt;0)*T_PlannedOrders[Order_Month])),"m月")&amp;"発注)")</f>
        <v/>
      </c>
      <c r="AW585">
        <f>IF(SUMIFS(T_PlannedOrders[EffectiveQty],T_PlannedOrders[Part Name],$A555,T_PlannedOrders[WeekIndex],46)=0,"",SUMIFS(T_PlannedOrders[EffectiveQty],T_PlannedOrders[Part Name],$A555,T_PlannedOrders[WeekIndex],46)&amp;" ("&amp;TEXT(SUMPRODUCT(MAX((T_PlannedOrders[Part Name]=$A555)*(T_PlannedOrders[WeekIndex]=46)*(T_PlannedOrders[EffectiveQty]&gt;0)*T_PlannedOrders[Order_Month])),"m月")&amp;"発注)")</f>
        <v/>
      </c>
      <c r="AX585">
        <f>IF(SUMIFS(T_PlannedOrders[EffectiveQty],T_PlannedOrders[Part Name],$A555,T_PlannedOrders[WeekIndex],47)=0,"",SUMIFS(T_PlannedOrders[EffectiveQty],T_PlannedOrders[Part Name],$A555,T_PlannedOrders[WeekIndex],47)&amp;" ("&amp;TEXT(SUMPRODUCT(MAX((T_PlannedOrders[Part Name]=$A555)*(T_PlannedOrders[WeekIndex]=47)*(T_PlannedOrders[EffectiveQty]&gt;0)*T_PlannedOrders[Order_Month])),"m月")&amp;"発注)")</f>
        <v/>
      </c>
      <c r="AY585">
        <f>IF(SUMIFS(T_PlannedOrders[EffectiveQty],T_PlannedOrders[Part Name],$A555,T_PlannedOrders[WeekIndex],48)=0,"",SUMIFS(T_PlannedOrders[EffectiveQty],T_PlannedOrders[Part Name],$A555,T_PlannedOrders[WeekIndex],48)&amp;" ("&amp;TEXT(SUMPRODUCT(MAX((T_PlannedOrders[Part Name]=$A555)*(T_PlannedOrders[WeekIndex]=48)*(T_PlannedOrders[EffectiveQty]&gt;0)*T_PlannedOrders[Order_Month])),"m月")&amp;"発注)")</f>
        <v/>
      </c>
      <c r="AZ585">
        <f>IF(SUMIFS(T_PlannedOrders[EffectiveQty],T_PlannedOrders[Part Name],$A555,T_PlannedOrders[WeekIndex],49)=0,"",SUMIFS(T_PlannedOrders[EffectiveQty],T_PlannedOrders[Part Name],$A555,T_PlannedOrders[WeekIndex],49)&amp;" ("&amp;TEXT(SUMPRODUCT(MAX((T_PlannedOrders[Part Name]=$A555)*(T_PlannedOrders[WeekIndex]=49)*(T_PlannedOrders[EffectiveQty]&gt;0)*T_PlannedOrders[Order_Month])),"m月")&amp;"発注)")</f>
        <v/>
      </c>
      <c r="BA585">
        <f>IF(SUMIFS(T_PlannedOrders[EffectiveQty],T_PlannedOrders[Part Name],$A555,T_PlannedOrders[WeekIndex],50)=0,"",SUMIFS(T_PlannedOrders[EffectiveQty],T_PlannedOrders[Part Name],$A555,T_PlannedOrders[WeekIndex],50)&amp;" ("&amp;TEXT(SUMPRODUCT(MAX((T_PlannedOrders[Part Name]=$A555)*(T_PlannedOrders[WeekIndex]=50)*(T_PlannedOrders[EffectiveQty]&gt;0)*T_PlannedOrders[Order_Month])),"m月")&amp;"発注)")</f>
        <v/>
      </c>
      <c r="BB585">
        <f>IF(SUMIFS(T_PlannedOrders[EffectiveQty],T_PlannedOrders[Part Name],$A555,T_PlannedOrders[WeekIndex],51)=0,"",SUMIFS(T_PlannedOrders[EffectiveQty],T_PlannedOrders[Part Name],$A555,T_PlannedOrders[WeekIndex],51)&amp;" ("&amp;TEXT(SUMPRODUCT(MAX((T_PlannedOrders[Part Name]=$A555)*(T_PlannedOrders[WeekIndex]=51)*(T_PlannedOrders[EffectiveQty]&gt;0)*T_PlannedOrders[Order_Month])),"m月")&amp;"発注)")</f>
        <v/>
      </c>
      <c r="BC585">
        <f>IF(SUMIFS(T_PlannedOrders[EffectiveQty],T_PlannedOrders[Part Name],$A555,T_PlannedOrders[WeekIndex],52)=0,"",SUMIFS(T_PlannedOrders[EffectiveQty],T_PlannedOrders[Part Name],$A555,T_PlannedOrders[WeekIndex],52)&amp;" ("&amp;TEXT(SUMPRODUCT(MAX((T_PlannedOrders[Part Name]=$A555)*(T_PlannedOrders[WeekIndex]=52)*(T_PlannedOrders[EffectiveQty]&gt;0)*T_PlannedOrders[Order_Month])),"m月")&amp;"発注)")</f>
        <v/>
      </c>
      <c r="BD585">
        <f>IF(SUMIFS(T_PlannedOrders[EffectiveQty],T_PlannedOrders[Part Name],$A555,T_PlannedOrders[WeekIndex],53)=0,"",SUMIFS(T_PlannedOrders[EffectiveQty],T_PlannedOrders[Part Name],$A555,T_PlannedOrders[WeekIndex],53)&amp;" ("&amp;TEXT(SUMPRODUCT(MAX((T_PlannedOrders[Part Name]=$A555)*(T_PlannedOrders[WeekIndex]=53)*(T_PlannedOrders[EffectiveQty]&gt;0)*T_PlannedOrders[Order_Month])),"m月")&amp;"発注)")</f>
        <v/>
      </c>
      <c r="BE585">
        <f>IF(SUMIFS(T_PlannedOrders[EffectiveQty],T_PlannedOrders[Part Name],$A555,T_PlannedOrders[WeekIndex],54)=0,"",SUMIFS(T_PlannedOrders[EffectiveQty],T_PlannedOrders[Part Name],$A555,T_PlannedOrders[WeekIndex],54)&amp;" ("&amp;TEXT(SUMPRODUCT(MAX((T_PlannedOrders[Part Name]=$A555)*(T_PlannedOrders[WeekIndex]=54)*(T_PlannedOrders[EffectiveQty]&gt;0)*T_PlannedOrders[Order_Month])),"m月")&amp;"発注)")</f>
        <v/>
      </c>
      <c r="BF585">
        <f>IF(SUMIFS(T_PlannedOrders[EffectiveQty],T_PlannedOrders[Part Name],$A555,T_PlannedOrders[WeekIndex],55)=0,"",SUMIFS(T_PlannedOrders[EffectiveQty],T_PlannedOrders[Part Name],$A555,T_PlannedOrders[WeekIndex],55)&amp;" ("&amp;TEXT(SUMPRODUCT(MAX((T_PlannedOrders[Part Name]=$A555)*(T_PlannedOrders[WeekIndex]=55)*(T_PlannedOrders[EffectiveQty]&gt;0)*T_PlannedOrders[Order_Month])),"m月")&amp;"発注)")</f>
        <v/>
      </c>
      <c r="BG585">
        <f>IF(SUMIFS(T_PlannedOrders[EffectiveQty],T_PlannedOrders[Part Name],$A555,T_PlannedOrders[WeekIndex],56)=0,"",SUMIFS(T_PlannedOrders[EffectiveQty],T_PlannedOrders[Part Name],$A555,T_PlannedOrders[WeekIndex],56)&amp;" ("&amp;TEXT(SUMPRODUCT(MAX((T_PlannedOrders[Part Name]=$A555)*(T_PlannedOrders[WeekIndex]=56)*(T_PlannedOrders[EffectiveQty]&gt;0)*T_PlannedOrders[Order_Month])),"m月")&amp;"発注)")</f>
        <v/>
      </c>
      <c r="BH585">
        <f>IF(SUMIFS(T_PlannedOrders[EffectiveQty],T_PlannedOrders[Part Name],$A555,T_PlannedOrders[WeekIndex],57)=0,"",SUMIFS(T_PlannedOrders[EffectiveQty],T_PlannedOrders[Part Name],$A555,T_PlannedOrders[WeekIndex],57)&amp;" ("&amp;TEXT(SUMPRODUCT(MAX((T_PlannedOrders[Part Name]=$A555)*(T_PlannedOrders[WeekIndex]=57)*(T_PlannedOrders[EffectiveQty]&gt;0)*T_PlannedOrders[Order_Month])),"m月")&amp;"発注)")</f>
        <v/>
      </c>
      <c r="BI585">
        <f>IF(SUMIFS(T_PlannedOrders[EffectiveQty],T_PlannedOrders[Part Name],$A555,T_PlannedOrders[WeekIndex],58)=0,"",SUMIFS(T_PlannedOrders[EffectiveQty],T_PlannedOrders[Part Name],$A555,T_PlannedOrders[WeekIndex],58)&amp;" ("&amp;TEXT(SUMPRODUCT(MAX((T_PlannedOrders[Part Name]=$A555)*(T_PlannedOrders[WeekIndex]=58)*(T_PlannedOrders[EffectiveQty]&gt;0)*T_PlannedOrders[Order_Month])),"m月")&amp;"発注)")</f>
        <v/>
      </c>
      <c r="BJ585">
        <f>IF(SUMIFS(T_PlannedOrders[EffectiveQty],T_PlannedOrders[Part Name],$A555,T_PlannedOrders[WeekIndex],59)=0,"",SUMIFS(T_PlannedOrders[EffectiveQty],T_PlannedOrders[Part Name],$A555,T_PlannedOrders[WeekIndex],59)&amp;" ("&amp;TEXT(SUMPRODUCT(MAX((T_PlannedOrders[Part Name]=$A555)*(T_PlannedOrders[WeekIndex]=59)*(T_PlannedOrders[EffectiveQty]&gt;0)*T_PlannedOrders[Order_Month])),"m月")&amp;"発注)")</f>
        <v/>
      </c>
      <c r="BK585">
        <f>IF(SUMIFS(T_PlannedOrders[EffectiveQty],T_PlannedOrders[Part Name],$A555,T_PlannedOrders[WeekIndex],60)=0,"",SUMIFS(T_PlannedOrders[EffectiveQty],T_PlannedOrders[Part Name],$A555,T_PlannedOrders[WeekIndex],60)&amp;" ("&amp;TEXT(SUMPRODUCT(MAX((T_PlannedOrders[Part Name]=$A555)*(T_PlannedOrders[WeekIndex]=60)*(T_PlannedOrders[EffectiveQty]&gt;0)*T_PlannedOrders[Order_Month])),"m月")&amp;"発注)")</f>
        <v/>
      </c>
      <c r="BL585">
        <f>IF(SUMIFS(T_PlannedOrders[EffectiveQty],T_PlannedOrders[Part Name],$A555,T_PlannedOrders[WeekIndex],61)=0,"",SUMIFS(T_PlannedOrders[EffectiveQty],T_PlannedOrders[Part Name],$A555,T_PlannedOrders[WeekIndex],61)&amp;" ("&amp;TEXT(SUMPRODUCT(MAX((T_PlannedOrders[Part Name]=$A555)*(T_PlannedOrders[WeekIndex]=61)*(T_PlannedOrders[EffectiveQty]&gt;0)*T_PlannedOrders[Order_Month])),"m月")&amp;"発注)")</f>
        <v/>
      </c>
      <c r="BM585">
        <f>IF(SUMIFS(T_PlannedOrders[EffectiveQty],T_PlannedOrders[Part Name],$A555,T_PlannedOrders[WeekIndex],62)=0,"",SUMIFS(T_PlannedOrders[EffectiveQty],T_PlannedOrders[Part Name],$A555,T_PlannedOrders[WeekIndex],62)&amp;" ("&amp;TEXT(SUMPRODUCT(MAX((T_PlannedOrders[Part Name]=$A555)*(T_PlannedOrders[WeekIndex]=62)*(T_PlannedOrders[EffectiveQty]&gt;0)*T_PlannedOrders[Order_Month])),"m月")&amp;"発注)")</f>
        <v/>
      </c>
      <c r="BN585">
        <f>IF(SUMIFS(T_PlannedOrders[EffectiveQty],T_PlannedOrders[Part Name],$A555,T_PlannedOrders[WeekIndex],63)=0,"",SUMIFS(T_PlannedOrders[EffectiveQty],T_PlannedOrders[Part Name],$A555,T_PlannedOrders[WeekIndex],63)&amp;" ("&amp;TEXT(SUMPRODUCT(MAX((T_PlannedOrders[Part Name]=$A555)*(T_PlannedOrders[WeekIndex]=63)*(T_PlannedOrders[EffectiveQty]&gt;0)*T_PlannedOrders[Order_Month])),"m月")&amp;"発注)")</f>
        <v/>
      </c>
      <c r="BO585">
        <f>IF(SUMIFS(T_PlannedOrders[EffectiveQty],T_PlannedOrders[Part Name],$A555,T_PlannedOrders[WeekIndex],64)=0,"",SUMIFS(T_PlannedOrders[EffectiveQty],T_PlannedOrders[Part Name],$A555,T_PlannedOrders[WeekIndex],64)&amp;" ("&amp;TEXT(SUMPRODUCT(MAX((T_PlannedOrders[Part Name]=$A555)*(T_PlannedOrders[WeekIndex]=64)*(T_PlannedOrders[EffectiveQty]&gt;0)*T_PlannedOrders[Order_Month])),"m月")&amp;"発注)")</f>
        <v/>
      </c>
      <c r="BP585">
        <f>IF(SUMIFS(T_PlannedOrders[EffectiveQty],T_PlannedOrders[Part Name],$A555,T_PlannedOrders[WeekIndex],65)=0,"",SUMIFS(T_PlannedOrders[EffectiveQty],T_PlannedOrders[Part Name],$A555,T_PlannedOrders[WeekIndex],65)&amp;" ("&amp;TEXT(SUMPRODUCT(MAX((T_PlannedOrders[Part Name]=$A555)*(T_PlannedOrders[WeekIndex]=65)*(T_PlannedOrders[EffectiveQty]&gt;0)*T_PlannedOrders[Order_Month])),"m月")&amp;"発注)")</f>
        <v/>
      </c>
      <c r="BQ585">
        <f>IF(SUMIFS(T_PlannedOrders[EffectiveQty],T_PlannedOrders[Part Name],$A555,T_PlannedOrders[WeekIndex],66)=0,"",SUMIFS(T_PlannedOrders[EffectiveQty],T_PlannedOrders[Part Name],$A555,T_PlannedOrders[WeekIndex],66)&amp;" ("&amp;TEXT(SUMPRODUCT(MAX((T_PlannedOrders[Part Name]=$A555)*(T_PlannedOrders[WeekIndex]=66)*(T_PlannedOrders[EffectiveQty]&gt;0)*T_PlannedOrders[Order_Month])),"m月")&amp;"発注)")</f>
        <v/>
      </c>
      <c r="BR585">
        <f>IF(SUMIFS(T_PlannedOrders[EffectiveQty],T_PlannedOrders[Part Name],$A555,T_PlannedOrders[WeekIndex],67)=0,"",SUMIFS(T_PlannedOrders[EffectiveQty],T_PlannedOrders[Part Name],$A555,T_PlannedOrders[WeekIndex],67)&amp;" ("&amp;TEXT(SUMPRODUCT(MAX((T_PlannedOrders[Part Name]=$A555)*(T_PlannedOrders[WeekIndex]=67)*(T_PlannedOrders[EffectiveQty]&gt;0)*T_PlannedOrders[Order_Month])),"m月")&amp;"発注)")</f>
        <v/>
      </c>
      <c r="BS585">
        <f>IF(SUMIFS(T_PlannedOrders[EffectiveQty],T_PlannedOrders[Part Name],$A555,T_PlannedOrders[WeekIndex],68)=0,"",SUMIFS(T_PlannedOrders[EffectiveQty],T_PlannedOrders[Part Name],$A555,T_PlannedOrders[WeekIndex],68)&amp;" ("&amp;TEXT(SUMPRODUCT(MAX((T_PlannedOrders[Part Name]=$A555)*(T_PlannedOrders[WeekIndex]=68)*(T_PlannedOrders[EffectiveQty]&gt;0)*T_PlannedOrders[Order_Month])),"m月")&amp;"発注)")</f>
        <v/>
      </c>
      <c r="BT585">
        <f>IF(SUMIFS(T_PlannedOrders[EffectiveQty],T_PlannedOrders[Part Name],$A555,T_PlannedOrders[WeekIndex],69)=0,"",SUMIFS(T_PlannedOrders[EffectiveQty],T_PlannedOrders[Part Name],$A555,T_PlannedOrders[WeekIndex],69)&amp;" ("&amp;TEXT(SUMPRODUCT(MAX((T_PlannedOrders[Part Name]=$A555)*(T_PlannedOrders[WeekIndex]=69)*(T_PlannedOrders[EffectiveQty]&gt;0)*T_PlannedOrders[Order_Month])),"m月")&amp;"発注)")</f>
        <v/>
      </c>
      <c r="BU585">
        <f>IF(SUMIFS(T_PlannedOrders[EffectiveQty],T_PlannedOrders[Part Name],$A555,T_PlannedOrders[WeekIndex],70)=0,"",SUMIFS(T_PlannedOrders[EffectiveQty],T_PlannedOrders[Part Name],$A555,T_PlannedOrders[WeekIndex],70)&amp;" ("&amp;TEXT(SUMPRODUCT(MAX((T_PlannedOrders[Part Name]=$A555)*(T_PlannedOrders[WeekIndex]=70)*(T_PlannedOrders[EffectiveQty]&gt;0)*T_PlannedOrders[Order_Month])),"m月")&amp;"発注)")</f>
        <v/>
      </c>
      <c r="BV585">
        <f>IF(SUMIFS(T_PlannedOrders[EffectiveQty],T_PlannedOrders[Part Name],$A555,T_PlannedOrders[WeekIndex],71)=0,"",SUMIFS(T_PlannedOrders[EffectiveQty],T_PlannedOrders[Part Name],$A555,T_PlannedOrders[WeekIndex],71)&amp;" ("&amp;TEXT(SUMPRODUCT(MAX((T_PlannedOrders[Part Name]=$A555)*(T_PlannedOrders[WeekIndex]=71)*(T_PlannedOrders[EffectiveQty]&gt;0)*T_PlannedOrders[Order_Month])),"m月")&amp;"発注)")</f>
        <v/>
      </c>
      <c r="BW585">
        <f>IF(SUMIFS(T_PlannedOrders[EffectiveQty],T_PlannedOrders[Part Name],$A555,T_PlannedOrders[WeekIndex],72)=0,"",SUMIFS(T_PlannedOrders[EffectiveQty],T_PlannedOrders[Part Name],$A555,T_PlannedOrders[WeekIndex],72)&amp;" ("&amp;TEXT(SUMPRODUCT(MAX((T_PlannedOrders[Part Name]=$A555)*(T_PlannedOrders[WeekIndex]=72)*(T_PlannedOrders[EffectiveQty]&gt;0)*T_PlannedOrders[Order_Month])),"m月")&amp;"発注)")</f>
        <v/>
      </c>
      <c r="BX585">
        <f>IF(SUMIFS(T_PlannedOrders[EffectiveQty],T_PlannedOrders[Part Name],$A555,T_PlannedOrders[WeekIndex],73)=0,"",SUMIFS(T_PlannedOrders[EffectiveQty],T_PlannedOrders[Part Name],$A555,T_PlannedOrders[WeekIndex],73)&amp;" ("&amp;TEXT(SUMPRODUCT(MAX((T_PlannedOrders[Part Name]=$A555)*(T_PlannedOrders[WeekIndex]=73)*(T_PlannedOrders[EffectiveQty]&gt;0)*T_PlannedOrders[Order_Month])),"m月")&amp;"発注)")</f>
        <v/>
      </c>
      <c r="BY585">
        <f>IF(SUMIFS(T_PlannedOrders[EffectiveQty],T_PlannedOrders[Part Name],$A555,T_PlannedOrders[WeekIndex],74)=0,"",SUMIFS(T_PlannedOrders[EffectiveQty],T_PlannedOrders[Part Name],$A555,T_PlannedOrders[WeekIndex],74)&amp;" ("&amp;TEXT(SUMPRODUCT(MAX((T_PlannedOrders[Part Name]=$A555)*(T_PlannedOrders[WeekIndex]=74)*(T_PlannedOrders[EffectiveQty]&gt;0)*T_PlannedOrders[Order_Month])),"m月")&amp;"発注)")</f>
        <v/>
      </c>
      <c r="BZ585">
        <f>IF(SUMIFS(T_PlannedOrders[EffectiveQty],T_PlannedOrders[Part Name],$A555,T_PlannedOrders[WeekIndex],75)=0,"",SUMIFS(T_PlannedOrders[EffectiveQty],T_PlannedOrders[Part Name],$A555,T_PlannedOrders[WeekIndex],75)&amp;" ("&amp;TEXT(SUMPRODUCT(MAX((T_PlannedOrders[Part Name]=$A555)*(T_PlannedOrders[WeekIndex]=75)*(T_PlannedOrders[EffectiveQty]&gt;0)*T_PlannedOrders[Order_Month])),"m月")&amp;"発注)")</f>
        <v/>
      </c>
      <c r="CA585">
        <f>IF(SUMIFS(T_PlannedOrders[EffectiveQty],T_PlannedOrders[Part Name],$A555,T_PlannedOrders[WeekIndex],76)=0,"",SUMIFS(T_PlannedOrders[EffectiveQty],T_PlannedOrders[Part Name],$A555,T_PlannedOrders[WeekIndex],76)&amp;" ("&amp;TEXT(SUMPRODUCT(MAX((T_PlannedOrders[Part Name]=$A555)*(T_PlannedOrders[WeekIndex]=76)*(T_PlannedOrders[EffectiveQty]&gt;0)*T_PlannedOrders[Order_Month])),"m月")&amp;"発注)")</f>
        <v/>
      </c>
      <c r="CB585">
        <f>IF(SUMIFS(T_PlannedOrders[EffectiveQty],T_PlannedOrders[Part Name],$A555,T_PlannedOrders[WeekIndex],77)=0,"",SUMIFS(T_PlannedOrders[EffectiveQty],T_PlannedOrders[Part Name],$A555,T_PlannedOrders[WeekIndex],77)&amp;" ("&amp;TEXT(SUMPRODUCT(MAX((T_PlannedOrders[Part Name]=$A555)*(T_PlannedOrders[WeekIndex]=77)*(T_PlannedOrders[EffectiveQty]&gt;0)*T_PlannedOrders[Order_Month])),"m月")&amp;"発注)")</f>
        <v/>
      </c>
      <c r="CC585">
        <f>IF(SUMIFS(T_PlannedOrders[EffectiveQty],T_PlannedOrders[Part Name],$A555,T_PlannedOrders[WeekIndex],78)=0,"",SUMIFS(T_PlannedOrders[EffectiveQty],T_PlannedOrders[Part Name],$A555,T_PlannedOrders[WeekIndex],78)&amp;" ("&amp;TEXT(SUMPRODUCT(MAX((T_PlannedOrders[Part Name]=$A555)*(T_PlannedOrders[WeekIndex]=78)*(T_PlannedOrders[EffectiveQty]&gt;0)*T_PlannedOrders[Order_Month])),"m月")&amp;"発注)")</f>
        <v/>
      </c>
      <c r="CD585">
        <f>IF(SUMIFS(T_PlannedOrders[EffectiveQty],T_PlannedOrders[Part Name],$A555,T_PlannedOrders[WeekIndex],79)=0,"",SUMIFS(T_PlannedOrders[EffectiveQty],T_PlannedOrders[Part Name],$A555,T_PlannedOrders[WeekIndex],79)&amp;" ("&amp;TEXT(SUMPRODUCT(MAX((T_PlannedOrders[Part Name]=$A555)*(T_PlannedOrders[WeekIndex]=79)*(T_PlannedOrders[EffectiveQty]&gt;0)*T_PlannedOrders[Order_Month])),"m月")&amp;"発注)")</f>
        <v/>
      </c>
      <c r="CE585">
        <f>IF(SUMIFS(T_PlannedOrders[EffectiveQty],T_PlannedOrders[Part Name],$A555,T_PlannedOrders[WeekIndex],80)=0,"",SUMIFS(T_PlannedOrders[EffectiveQty],T_PlannedOrders[Part Name],$A555,T_PlannedOrders[WeekIndex],80)&amp;" ("&amp;TEXT(SUMPRODUCT(MAX((T_PlannedOrders[Part Name]=$A555)*(T_PlannedOrders[WeekIndex]=80)*(T_PlannedOrders[EffectiveQty]&gt;0)*T_PlannedOrders[Order_Month])),"m月")&amp;"発注)")</f>
        <v/>
      </c>
      <c r="CF585">
        <f>IF(SUMIFS(T_PlannedOrders[EffectiveQty],T_PlannedOrders[Part Name],$A555,T_PlannedOrders[WeekIndex],81)=0,"",SUMIFS(T_PlannedOrders[EffectiveQty],T_PlannedOrders[Part Name],$A555,T_PlannedOrders[WeekIndex],81)&amp;" ("&amp;TEXT(SUMPRODUCT(MAX((T_PlannedOrders[Part Name]=$A555)*(T_PlannedOrders[WeekIndex]=81)*(T_PlannedOrders[EffectiveQty]&gt;0)*T_PlannedOrders[Order_Month])),"m月")&amp;"発注)")</f>
        <v/>
      </c>
      <c r="CG585">
        <f>IF(SUMIFS(T_PlannedOrders[EffectiveQty],T_PlannedOrders[Part Name],$A555,T_PlannedOrders[WeekIndex],82)=0,"",SUMIFS(T_PlannedOrders[EffectiveQty],T_PlannedOrders[Part Name],$A555,T_PlannedOrders[WeekIndex],82)&amp;" ("&amp;TEXT(SUMPRODUCT(MAX((T_PlannedOrders[Part Name]=$A555)*(T_PlannedOrders[WeekIndex]=82)*(T_PlannedOrders[EffectiveQty]&gt;0)*T_PlannedOrders[Order_Month])),"m月")&amp;"発注)")</f>
        <v/>
      </c>
      <c r="CH585">
        <f>IF(SUMIFS(T_PlannedOrders[EffectiveQty],T_PlannedOrders[Part Name],$A555,T_PlannedOrders[WeekIndex],83)=0,"",SUMIFS(T_PlannedOrders[EffectiveQty],T_PlannedOrders[Part Name],$A555,T_PlannedOrders[WeekIndex],83)&amp;" ("&amp;TEXT(SUMPRODUCT(MAX((T_PlannedOrders[Part Name]=$A555)*(T_PlannedOrders[WeekIndex]=83)*(T_PlannedOrders[EffectiveQty]&gt;0)*T_PlannedOrders[Order_Month])),"m月")&amp;"発注)")</f>
        <v/>
      </c>
      <c r="CI585">
        <f>IF(SUMIFS(T_PlannedOrders[EffectiveQty],T_PlannedOrders[Part Name],$A555,T_PlannedOrders[WeekIndex],84)=0,"",SUMIFS(T_PlannedOrders[EffectiveQty],T_PlannedOrders[Part Name],$A555,T_PlannedOrders[WeekIndex],84)&amp;" ("&amp;TEXT(SUMPRODUCT(MAX((T_PlannedOrders[Part Name]=$A555)*(T_PlannedOrders[WeekIndex]=84)*(T_PlannedOrders[EffectiveQty]&gt;0)*T_PlannedOrders[Order_Month])),"m月")&amp;"発注)")</f>
        <v/>
      </c>
      <c r="CJ585">
        <f>IF(SUMIFS(T_PlannedOrders[EffectiveQty],T_PlannedOrders[Part Name],$A555,T_PlannedOrders[WeekIndex],85)=0,"",SUMIFS(T_PlannedOrders[EffectiveQty],T_PlannedOrders[Part Name],$A555,T_PlannedOrders[WeekIndex],85)&amp;" ("&amp;TEXT(SUMPRODUCT(MAX((T_PlannedOrders[Part Name]=$A555)*(T_PlannedOrders[WeekIndex]=85)*(T_PlannedOrders[EffectiveQty]&gt;0)*T_PlannedOrders[Order_Month])),"m月")&amp;"発注)")</f>
        <v/>
      </c>
      <c r="CK585">
        <f>IF(SUMIFS(T_PlannedOrders[EffectiveQty],T_PlannedOrders[Part Name],$A555,T_PlannedOrders[WeekIndex],86)=0,"",SUMIFS(T_PlannedOrders[EffectiveQty],T_PlannedOrders[Part Name],$A555,T_PlannedOrders[WeekIndex],86)&amp;" ("&amp;TEXT(SUMPRODUCT(MAX((T_PlannedOrders[Part Name]=$A555)*(T_PlannedOrders[WeekIndex]=86)*(T_PlannedOrders[EffectiveQty]&gt;0)*T_PlannedOrders[Order_Month])),"m月")&amp;"発注)")</f>
        <v/>
      </c>
      <c r="CL585">
        <f>IF(SUMIFS(T_PlannedOrders[EffectiveQty],T_PlannedOrders[Part Name],$A555,T_PlannedOrders[WeekIndex],87)=0,"",SUMIFS(T_PlannedOrders[EffectiveQty],T_PlannedOrders[Part Name],$A555,T_PlannedOrders[WeekIndex],87)&amp;" ("&amp;TEXT(SUMPRODUCT(MAX((T_PlannedOrders[Part Name]=$A555)*(T_PlannedOrders[WeekIndex]=87)*(T_PlannedOrders[EffectiveQty]&gt;0)*T_PlannedOrders[Order_Month])),"m月")&amp;"発注)")</f>
        <v/>
      </c>
      <c r="CM585">
        <f>IF(SUMIFS(T_PlannedOrders[EffectiveQty],T_PlannedOrders[Part Name],$A555,T_PlannedOrders[WeekIndex],88)=0,"",SUMIFS(T_PlannedOrders[EffectiveQty],T_PlannedOrders[Part Name],$A555,T_PlannedOrders[WeekIndex],88)&amp;" ("&amp;TEXT(SUMPRODUCT(MAX((T_PlannedOrders[Part Name]=$A555)*(T_PlannedOrders[WeekIndex]=88)*(T_PlannedOrders[EffectiveQty]&gt;0)*T_PlannedOrders[Order_Month])),"m月")&amp;"発注)")</f>
        <v/>
      </c>
      <c r="CN585">
        <f>IF(SUMIFS(T_PlannedOrders[EffectiveQty],T_PlannedOrders[Part Name],$A555,T_PlannedOrders[WeekIndex],89)=0,"",SUMIFS(T_PlannedOrders[EffectiveQty],T_PlannedOrders[Part Name],$A555,T_PlannedOrders[WeekIndex],89)&amp;" ("&amp;TEXT(SUMPRODUCT(MAX((T_PlannedOrders[Part Name]=$A555)*(T_PlannedOrders[WeekIndex]=89)*(T_PlannedOrders[EffectiveQty]&gt;0)*T_PlannedOrders[Order_Month])),"m月")&amp;"発注)")</f>
        <v/>
      </c>
      <c r="CO585">
        <f>IF(SUMIFS(T_PlannedOrders[EffectiveQty],T_PlannedOrders[Part Name],$A555,T_PlannedOrders[WeekIndex],90)=0,"",SUMIFS(T_PlannedOrders[EffectiveQty],T_PlannedOrders[Part Name],$A555,T_PlannedOrders[WeekIndex],90)&amp;" ("&amp;TEXT(SUMPRODUCT(MAX((T_PlannedOrders[Part Name]=$A555)*(T_PlannedOrders[WeekIndex]=90)*(T_PlannedOrders[EffectiveQty]&gt;0)*T_PlannedOrders[Order_Month])),"m月")&amp;"発注)")</f>
        <v/>
      </c>
      <c r="CP585">
        <f>IF(SUMIFS(T_PlannedOrders[EffectiveQty],T_PlannedOrders[Part Name],$A555,T_PlannedOrders[WeekIndex],91)=0,"",SUMIFS(T_PlannedOrders[EffectiveQty],T_PlannedOrders[Part Name],$A555,T_PlannedOrders[WeekIndex],91)&amp;" ("&amp;TEXT(SUMPRODUCT(MAX((T_PlannedOrders[Part Name]=$A555)*(T_PlannedOrders[WeekIndex]=91)*(T_PlannedOrders[EffectiveQty]&gt;0)*T_PlannedOrders[Order_Month])),"m月")&amp;"発注)")</f>
        <v/>
      </c>
      <c r="CQ585">
        <f>IF(SUMIFS(T_PlannedOrders[EffectiveQty],T_PlannedOrders[Part Name],$A555,T_PlannedOrders[WeekIndex],92)=0,"",SUMIFS(T_PlannedOrders[EffectiveQty],T_PlannedOrders[Part Name],$A555,T_PlannedOrders[WeekIndex],92)&amp;" ("&amp;TEXT(SUMPRODUCT(MAX((T_PlannedOrders[Part Name]=$A555)*(T_PlannedOrders[WeekIndex]=92)*(T_PlannedOrders[EffectiveQty]&gt;0)*T_PlannedOrders[Order_Month])),"m月")&amp;"発注)")</f>
        <v/>
      </c>
      <c r="CR585">
        <f>IF(SUMIFS(T_PlannedOrders[EffectiveQty],T_PlannedOrders[Part Name],$A555,T_PlannedOrders[WeekIndex],93)=0,"",SUMIFS(T_PlannedOrders[EffectiveQty],T_PlannedOrders[Part Name],$A555,T_PlannedOrders[WeekIndex],93)&amp;" ("&amp;TEXT(SUMPRODUCT(MAX((T_PlannedOrders[Part Name]=$A555)*(T_PlannedOrders[WeekIndex]=93)*(T_PlannedOrders[EffectiveQty]&gt;0)*T_PlannedOrders[Order_Month])),"m月")&amp;"発注)")</f>
        <v/>
      </c>
      <c r="CS585">
        <f>IF(SUMIFS(T_PlannedOrders[EffectiveQty],T_PlannedOrders[Part Name],$A555,T_PlannedOrders[WeekIndex],94)=0,"",SUMIFS(T_PlannedOrders[EffectiveQty],T_PlannedOrders[Part Name],$A555,T_PlannedOrders[WeekIndex],94)&amp;" ("&amp;TEXT(SUMPRODUCT(MAX((T_PlannedOrders[Part Name]=$A555)*(T_PlannedOrders[WeekIndex]=94)*(T_PlannedOrders[EffectiveQty]&gt;0)*T_PlannedOrders[Order_Month])),"m月")&amp;"発注)")</f>
        <v/>
      </c>
      <c r="CT585">
        <f>IF(SUMIFS(T_PlannedOrders[EffectiveQty],T_PlannedOrders[Part Name],$A555,T_PlannedOrders[WeekIndex],95)=0,"",SUMIFS(T_PlannedOrders[EffectiveQty],T_PlannedOrders[Part Name],$A555,T_PlannedOrders[WeekIndex],95)&amp;" ("&amp;TEXT(SUMPRODUCT(MAX((T_PlannedOrders[Part Name]=$A555)*(T_PlannedOrders[WeekIndex]=95)*(T_PlannedOrders[EffectiveQty]&gt;0)*T_PlannedOrders[Order_Month])),"m月")&amp;"発注)")</f>
        <v/>
      </c>
      <c r="CU585">
        <f>IF(SUMIFS(T_PlannedOrders[EffectiveQty],T_PlannedOrders[Part Name],$A555,T_PlannedOrders[WeekIndex],96)=0,"",SUMIFS(T_PlannedOrders[EffectiveQty],T_PlannedOrders[Part Name],$A555,T_PlannedOrders[WeekIndex],96)&amp;" ("&amp;TEXT(SUMPRODUCT(MAX((T_PlannedOrders[Part Name]=$A555)*(T_PlannedOrders[WeekIndex]=96)*(T_PlannedOrders[EffectiveQty]&gt;0)*T_PlannedOrders[Order_Month])),"m月")&amp;"発注)")</f>
        <v/>
      </c>
      <c r="CV585">
        <f>IF(SUMIFS(T_PlannedOrders[EffectiveQty],T_PlannedOrders[Part Name],$A555,T_PlannedOrders[WeekIndex],97)=0,"",SUMIFS(T_PlannedOrders[EffectiveQty],T_PlannedOrders[Part Name],$A555,T_PlannedOrders[WeekIndex],97)&amp;" ("&amp;TEXT(SUMPRODUCT(MAX((T_PlannedOrders[Part Name]=$A555)*(T_PlannedOrders[WeekIndex]=97)*(T_PlannedOrders[EffectiveQty]&gt;0)*T_PlannedOrders[Order_Month])),"m月")&amp;"発注)")</f>
        <v/>
      </c>
      <c r="CW585">
        <f>IF(SUMIFS(T_PlannedOrders[EffectiveQty],T_PlannedOrders[Part Name],$A555,T_PlannedOrders[WeekIndex],98)=0,"",SUMIFS(T_PlannedOrders[EffectiveQty],T_PlannedOrders[Part Name],$A555,T_PlannedOrders[WeekIndex],98)&amp;" ("&amp;TEXT(SUMPRODUCT(MAX((T_PlannedOrders[Part Name]=$A555)*(T_PlannedOrders[WeekIndex]=98)*(T_PlannedOrders[EffectiveQty]&gt;0)*T_PlannedOrders[Order_Month])),"m月")&amp;"発注)")</f>
        <v/>
      </c>
      <c r="CX585">
        <f>IF(SUMIFS(T_PlannedOrders[EffectiveQty],T_PlannedOrders[Part Name],$A555,T_PlannedOrders[WeekIndex],99)=0,"",SUMIFS(T_PlannedOrders[EffectiveQty],T_PlannedOrders[Part Name],$A555,T_PlannedOrders[WeekIndex],99)&amp;" ("&amp;TEXT(SUMPRODUCT(MAX((T_PlannedOrders[Part Name]=$A555)*(T_PlannedOrders[WeekIndex]=99)*(T_PlannedOrders[EffectiveQty]&gt;0)*T_PlannedOrders[Order_Month])),"m月")&amp;"発注)")</f>
        <v/>
      </c>
      <c r="CY585">
        <f>IF(SUMIFS(T_PlannedOrders[EffectiveQty],T_PlannedOrders[Part Name],$A555,T_PlannedOrders[WeekIndex],100)=0,"",SUMIFS(T_PlannedOrders[EffectiveQty],T_PlannedOrders[Part Name],$A555,T_PlannedOrders[WeekIndex],100)&amp;" ("&amp;TEXT(SUMPRODUCT(MAX((T_PlannedOrders[Part Name]=$A555)*(T_PlannedOrders[WeekIndex]=100)*(T_PlannedOrders[EffectiveQty]&gt;0)*T_PlannedOrders[Order_Month])),"m月")&amp;"発注)")</f>
        <v/>
      </c>
      <c r="CZ585">
        <f>IF(SUMIFS(T_PlannedOrders[EffectiveQty],T_PlannedOrders[Part Name],$A555,T_PlannedOrders[WeekIndex],101)=0,"",SUMIFS(T_PlannedOrders[EffectiveQty],T_PlannedOrders[Part Name],$A555,T_PlannedOrders[WeekIndex],101)&amp;" ("&amp;TEXT(SUMPRODUCT(MAX((T_PlannedOrders[Part Name]=$A555)*(T_PlannedOrders[WeekIndex]=101)*(T_PlannedOrders[EffectiveQty]&gt;0)*T_PlannedOrders[Order_Month])),"m月")&amp;"発注)")</f>
        <v/>
      </c>
      <c r="DA585">
        <f>IF(SUMIFS(T_PlannedOrders[EffectiveQty],T_PlannedOrders[Part Name],$A555,T_PlannedOrders[WeekIndex],102)=0,"",SUMIFS(T_PlannedOrders[EffectiveQty],T_PlannedOrders[Part Name],$A555,T_PlannedOrders[WeekIndex],102)&amp;" ("&amp;TEXT(SUMPRODUCT(MAX((T_PlannedOrders[Part Name]=$A555)*(T_PlannedOrders[WeekIndex]=102)*(T_PlannedOrders[EffectiveQty]&gt;0)*T_PlannedOrders[Order_Month])),"m月")&amp;"発注)")</f>
        <v/>
      </c>
      <c r="DB585">
        <f>IF(SUMIFS(T_PlannedOrders[EffectiveQty],T_PlannedOrders[Part Name],$A555,T_PlannedOrders[WeekIndex],103)=0,"",SUMIFS(T_PlannedOrders[EffectiveQty],T_PlannedOrders[Part Name],$A555,T_PlannedOrders[WeekIndex],103)&amp;" ("&amp;TEXT(SUMPRODUCT(MAX((T_PlannedOrders[Part Name]=$A555)*(T_PlannedOrders[WeekIndex]=103)*(T_PlannedOrders[EffectiveQty]&gt;0)*T_PlannedOrders[Order_Month])),"m月")&amp;"発注)")</f>
        <v/>
      </c>
      <c r="DC585">
        <f>IF(SUMIFS(T_PlannedOrders[EffectiveQty],T_PlannedOrders[Part Name],$A555,T_PlannedOrders[WeekIndex],104)=0,"",SUMIFS(T_PlannedOrders[EffectiveQty],T_PlannedOrders[Part Name],$A555,T_PlannedOrders[WeekIndex],104)&amp;" ("&amp;TEXT(SUMPRODUCT(MAX((T_PlannedOrders[Part Name]=$A555)*(T_PlannedOrders[WeekIndex]=104)*(T_PlannedOrders[EffectiveQty]&gt;0)*T_PlannedOrders[Order_Month])),"m月")&amp;"発注)")</f>
        <v/>
      </c>
    </row>
    <row r="586">
      <c r="B586" s="4" t="inlineStr">
        <is>
          <t>合計在庫(週末時点,kg)</t>
        </is>
      </c>
      <c r="D586">
        <f>'Grid_Stock'!B35</f>
        <v/>
      </c>
      <c r="E586">
        <f>'Grid_Stock'!C35</f>
        <v/>
      </c>
      <c r="F586">
        <f>'Grid_Stock'!D35</f>
        <v/>
      </c>
      <c r="G586">
        <f>'Grid_Stock'!E35</f>
        <v/>
      </c>
      <c r="H586">
        <f>'Grid_Stock'!F35</f>
        <v/>
      </c>
      <c r="I586">
        <f>'Grid_Stock'!G35</f>
        <v/>
      </c>
      <c r="J586">
        <f>'Grid_Stock'!H35</f>
        <v/>
      </c>
      <c r="K586">
        <f>'Grid_Stock'!I35</f>
        <v/>
      </c>
      <c r="L586">
        <f>'Grid_Stock'!J35</f>
        <v/>
      </c>
      <c r="M586">
        <f>'Grid_Stock'!K35</f>
        <v/>
      </c>
      <c r="N586">
        <f>'Grid_Stock'!L35</f>
        <v/>
      </c>
      <c r="O586">
        <f>'Grid_Stock'!M35</f>
        <v/>
      </c>
      <c r="P586">
        <f>'Grid_Stock'!N35</f>
        <v/>
      </c>
      <c r="Q586">
        <f>'Grid_Stock'!O35</f>
        <v/>
      </c>
      <c r="R586">
        <f>'Grid_Stock'!P35</f>
        <v/>
      </c>
      <c r="S586">
        <f>'Grid_Stock'!Q35</f>
        <v/>
      </c>
      <c r="T586">
        <f>'Grid_Stock'!R35</f>
        <v/>
      </c>
      <c r="U586">
        <f>'Grid_Stock'!S35</f>
        <v/>
      </c>
      <c r="V586">
        <f>'Grid_Stock'!T35</f>
        <v/>
      </c>
      <c r="W586">
        <f>'Grid_Stock'!U35</f>
        <v/>
      </c>
      <c r="X586">
        <f>'Grid_Stock'!V35</f>
        <v/>
      </c>
      <c r="Y586">
        <f>'Grid_Stock'!W35</f>
        <v/>
      </c>
      <c r="Z586">
        <f>'Grid_Stock'!X35</f>
        <v/>
      </c>
      <c r="AA586">
        <f>'Grid_Stock'!Y35</f>
        <v/>
      </c>
      <c r="AB586">
        <f>'Grid_Stock'!Z35</f>
        <v/>
      </c>
      <c r="AC586">
        <f>'Grid_Stock'!AA35</f>
        <v/>
      </c>
      <c r="AD586">
        <f>'Grid_Stock'!AB35</f>
        <v/>
      </c>
      <c r="AE586">
        <f>'Grid_Stock'!AC35</f>
        <v/>
      </c>
      <c r="AF586">
        <f>'Grid_Stock'!AD35</f>
        <v/>
      </c>
      <c r="AG586">
        <f>'Grid_Stock'!AE35</f>
        <v/>
      </c>
      <c r="AH586">
        <f>'Grid_Stock'!AF35</f>
        <v/>
      </c>
      <c r="AI586">
        <f>'Grid_Stock'!AG35</f>
        <v/>
      </c>
      <c r="AJ586">
        <f>'Grid_Stock'!AH35</f>
        <v/>
      </c>
      <c r="AK586">
        <f>'Grid_Stock'!AI35</f>
        <v/>
      </c>
      <c r="AL586">
        <f>'Grid_Stock'!AJ35</f>
        <v/>
      </c>
      <c r="AM586">
        <f>'Grid_Stock'!AK35</f>
        <v/>
      </c>
      <c r="AN586">
        <f>'Grid_Stock'!AL35</f>
        <v/>
      </c>
      <c r="AO586">
        <f>'Grid_Stock'!AM35</f>
        <v/>
      </c>
      <c r="AP586">
        <f>'Grid_Stock'!AN35</f>
        <v/>
      </c>
      <c r="AQ586">
        <f>'Grid_Stock'!AO35</f>
        <v/>
      </c>
      <c r="AR586">
        <f>'Grid_Stock'!AP35</f>
        <v/>
      </c>
      <c r="AS586">
        <f>'Grid_Stock'!AQ35</f>
        <v/>
      </c>
      <c r="AT586">
        <f>'Grid_Stock'!AR35</f>
        <v/>
      </c>
      <c r="AU586">
        <f>'Grid_Stock'!AS35</f>
        <v/>
      </c>
      <c r="AV586">
        <f>'Grid_Stock'!AT35</f>
        <v/>
      </c>
      <c r="AW586">
        <f>'Grid_Stock'!AU35</f>
        <v/>
      </c>
      <c r="AX586">
        <f>'Grid_Stock'!AV35</f>
        <v/>
      </c>
      <c r="AY586">
        <f>'Grid_Stock'!AW35</f>
        <v/>
      </c>
      <c r="AZ586">
        <f>'Grid_Stock'!AX35</f>
        <v/>
      </c>
      <c r="BA586">
        <f>'Grid_Stock'!AY35</f>
        <v/>
      </c>
      <c r="BB586">
        <f>'Grid_Stock'!AZ35</f>
        <v/>
      </c>
      <c r="BC586">
        <f>'Grid_Stock'!BA35</f>
        <v/>
      </c>
      <c r="BD586">
        <f>'Grid_Stock'!BB35</f>
        <v/>
      </c>
      <c r="BE586">
        <f>'Grid_Stock'!BC35</f>
        <v/>
      </c>
      <c r="BF586">
        <f>'Grid_Stock'!BD35</f>
        <v/>
      </c>
      <c r="BG586">
        <f>'Grid_Stock'!BE35</f>
        <v/>
      </c>
      <c r="BH586">
        <f>'Grid_Stock'!BF35</f>
        <v/>
      </c>
      <c r="BI586">
        <f>'Grid_Stock'!BG35</f>
        <v/>
      </c>
      <c r="BJ586">
        <f>'Grid_Stock'!BH35</f>
        <v/>
      </c>
      <c r="BK586">
        <f>'Grid_Stock'!BI35</f>
        <v/>
      </c>
      <c r="BL586">
        <f>'Grid_Stock'!BJ35</f>
        <v/>
      </c>
      <c r="BM586">
        <f>'Grid_Stock'!BK35</f>
        <v/>
      </c>
      <c r="BN586">
        <f>'Grid_Stock'!BL35</f>
        <v/>
      </c>
      <c r="BO586">
        <f>'Grid_Stock'!BM35</f>
        <v/>
      </c>
      <c r="BP586">
        <f>'Grid_Stock'!BN35</f>
        <v/>
      </c>
      <c r="BQ586">
        <f>'Grid_Stock'!BO35</f>
        <v/>
      </c>
      <c r="BR586">
        <f>'Grid_Stock'!BP35</f>
        <v/>
      </c>
      <c r="BS586">
        <f>'Grid_Stock'!BQ35</f>
        <v/>
      </c>
      <c r="BT586">
        <f>'Grid_Stock'!BR35</f>
        <v/>
      </c>
      <c r="BU586">
        <f>'Grid_Stock'!BS35</f>
        <v/>
      </c>
      <c r="BV586">
        <f>'Grid_Stock'!BT35</f>
        <v/>
      </c>
      <c r="BW586">
        <f>'Grid_Stock'!BU35</f>
        <v/>
      </c>
      <c r="BX586">
        <f>'Grid_Stock'!BV35</f>
        <v/>
      </c>
      <c r="BY586">
        <f>'Grid_Stock'!BW35</f>
        <v/>
      </c>
      <c r="BZ586">
        <f>'Grid_Stock'!BX35</f>
        <v/>
      </c>
      <c r="CA586">
        <f>'Grid_Stock'!BY35</f>
        <v/>
      </c>
      <c r="CB586">
        <f>'Grid_Stock'!BZ35</f>
        <v/>
      </c>
      <c r="CC586">
        <f>'Grid_Stock'!CA35</f>
        <v/>
      </c>
      <c r="CD586">
        <f>'Grid_Stock'!CB35</f>
        <v/>
      </c>
      <c r="CE586">
        <f>'Grid_Stock'!CC35</f>
        <v/>
      </c>
      <c r="CF586">
        <f>'Grid_Stock'!CD35</f>
        <v/>
      </c>
      <c r="CG586">
        <f>'Grid_Stock'!CE35</f>
        <v/>
      </c>
      <c r="CH586">
        <f>'Grid_Stock'!CF35</f>
        <v/>
      </c>
      <c r="CI586">
        <f>'Grid_Stock'!CG35</f>
        <v/>
      </c>
      <c r="CJ586">
        <f>'Grid_Stock'!CH35</f>
        <v/>
      </c>
      <c r="CK586">
        <f>'Grid_Stock'!CI35</f>
        <v/>
      </c>
      <c r="CL586">
        <f>'Grid_Stock'!CJ35</f>
        <v/>
      </c>
      <c r="CM586">
        <f>'Grid_Stock'!CK35</f>
        <v/>
      </c>
      <c r="CN586">
        <f>'Grid_Stock'!CL35</f>
        <v/>
      </c>
      <c r="CO586">
        <f>'Grid_Stock'!CM35</f>
        <v/>
      </c>
      <c r="CP586">
        <f>'Grid_Stock'!CN35</f>
        <v/>
      </c>
      <c r="CQ586">
        <f>'Grid_Stock'!CO35</f>
        <v/>
      </c>
      <c r="CR586">
        <f>'Grid_Stock'!CP35</f>
        <v/>
      </c>
      <c r="CS586">
        <f>'Grid_Stock'!CQ35</f>
        <v/>
      </c>
      <c r="CT586">
        <f>'Grid_Stock'!CR35</f>
        <v/>
      </c>
      <c r="CU586">
        <f>'Grid_Stock'!CS35</f>
        <v/>
      </c>
      <c r="CV586">
        <f>'Grid_Stock'!CT35</f>
        <v/>
      </c>
      <c r="CW586">
        <f>'Grid_Stock'!CU35</f>
        <v/>
      </c>
      <c r="CX586">
        <f>'Grid_Stock'!CV35</f>
        <v/>
      </c>
      <c r="CY586">
        <f>'Grid_Stock'!CW35</f>
        <v/>
      </c>
      <c r="CZ586">
        <f>'Grid_Stock'!CX35</f>
        <v/>
      </c>
      <c r="DA586">
        <f>'Grid_Stock'!CY35</f>
        <v/>
      </c>
      <c r="DB586">
        <f>'Grid_Stock'!CZ35</f>
        <v/>
      </c>
      <c r="DC586">
        <f>'Grid_Stock'!DA35</f>
        <v/>
      </c>
    </row>
    <row r="587">
      <c r="B587" s="16" t="inlineStr">
        <is>
          <t>（発注の目安はDashboardの基準在庫[下限/上限]と色分けを参照）</t>
        </is>
      </c>
    </row>
    <row r="589">
      <c r="A589" s="14" t="inlineStr">
        <is>
          <t>0JN</t>
        </is>
      </c>
      <c r="B589" s="14" t="inlineStr">
        <is>
          <t>N30S/10 : 11R-11 (F2090) Poland</t>
        </is>
      </c>
      <c r="C589" s="15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  <c r="AA589" s="14" t="n"/>
      <c r="AB589" s="14" t="n"/>
      <c r="AC589" s="14" t="n"/>
      <c r="AD589" s="14" t="n"/>
      <c r="AE589" s="14" t="n"/>
      <c r="AF589" s="14" t="n"/>
      <c r="AG589" s="14" t="n"/>
      <c r="AH589" s="14" t="n"/>
      <c r="AI589" s="14" t="n"/>
      <c r="AJ589" s="14" t="n"/>
      <c r="AK589" s="14" t="n"/>
      <c r="AL589" s="14" t="n"/>
      <c r="AM589" s="14" t="n"/>
      <c r="AN589" s="14" t="n"/>
      <c r="AO589" s="14" t="n"/>
      <c r="AP589" s="14" t="n"/>
      <c r="AQ589" s="14" t="n"/>
      <c r="AR589" s="14" t="n"/>
      <c r="AS589" s="14" t="n"/>
      <c r="AT589" s="14" t="n"/>
      <c r="AU589" s="14" t="n"/>
      <c r="AV589" s="14" t="n"/>
      <c r="AW589" s="14" t="n"/>
      <c r="AX589" s="14" t="n"/>
      <c r="AY589" s="14" t="n"/>
      <c r="AZ589" s="14" t="n"/>
      <c r="BA589" s="14" t="n"/>
      <c r="BB589" s="14" t="n"/>
      <c r="BC589" s="14" t="n"/>
      <c r="BD589" s="14" t="n"/>
      <c r="BE589" s="14" t="n"/>
      <c r="BF589" s="14" t="n"/>
      <c r="BG589" s="14" t="n"/>
      <c r="BH589" s="14" t="n"/>
      <c r="BI589" s="14" t="n"/>
      <c r="BJ589" s="14" t="n"/>
      <c r="BK589" s="14" t="n"/>
      <c r="BL589" s="14" t="n"/>
      <c r="BM589" s="14" t="n"/>
      <c r="BN589" s="14" t="n"/>
      <c r="BO589" s="14" t="n"/>
      <c r="BP589" s="14" t="n"/>
      <c r="BQ589" s="14" t="n"/>
      <c r="BR589" s="14" t="n"/>
      <c r="BS589" s="14" t="n"/>
      <c r="BT589" s="14" t="n"/>
      <c r="BU589" s="14" t="n"/>
      <c r="BV589" s="14" t="n"/>
      <c r="BW589" s="14" t="n"/>
      <c r="BX589" s="14" t="n"/>
      <c r="BY589" s="14" t="n"/>
      <c r="BZ589" s="14" t="n"/>
      <c r="CA589" s="14" t="n"/>
      <c r="CB589" s="14" t="n"/>
      <c r="CC589" s="14" t="n"/>
      <c r="CD589" s="14" t="n"/>
      <c r="CE589" s="14" t="n"/>
      <c r="CF589" s="14" t="n"/>
      <c r="CG589" s="14" t="n"/>
      <c r="CH589" s="14" t="n"/>
      <c r="CI589" s="14" t="n"/>
      <c r="CJ589" s="14" t="n"/>
      <c r="CK589" s="14" t="n"/>
      <c r="CL589" s="14" t="n"/>
      <c r="CM589" s="14" t="n"/>
      <c r="CN589" s="14" t="n"/>
      <c r="CO589" s="14" t="n"/>
      <c r="CP589" s="14" t="n"/>
      <c r="CQ589" s="14" t="n"/>
      <c r="CR589" s="14" t="n"/>
      <c r="CS589" s="14" t="n"/>
      <c r="CT589" s="14" t="n"/>
      <c r="CU589" s="14" t="n"/>
      <c r="CV589" s="14" t="n"/>
      <c r="CW589" s="14" t="n"/>
      <c r="CX589" s="14" t="n"/>
      <c r="CY589" s="14" t="n"/>
      <c r="CZ589" s="14" t="n"/>
      <c r="DA589" s="14" t="n"/>
      <c r="DB589" s="14" t="n"/>
      <c r="DC589" s="14" t="n"/>
    </row>
    <row r="590">
      <c r="B590" t="inlineStr">
        <is>
          <t>TSP-219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Name],$A589)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TVS-833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Name],$A589)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Name],$A589)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VSP-600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Name],$A589)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VSP-601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Name],$A589)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VSP-603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Name],$A589)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VSP-604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Name],$A589)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VSP-606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Name],$A589)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VSP-607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Name],$A589)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VSP-738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Name],$A589)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Name],$A589)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VSP-820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7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Name],$A589)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VSP-869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7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Name],$A589)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VSP-989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Name],$A589)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TPP-190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Name],$A589)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TPP-204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Name],$A589)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TPP-350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Name],$A589)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TPP-356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Name],$A589)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TPP-704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Name],$A589)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TPP-650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Name],$A589)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TPP-527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7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Name],$A589)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TPP-537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7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Name],$A589)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TPP-609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7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Name],$A589)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TPP-911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7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Name],$A589)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t="inlineStr">
        <is>
          <t>TPP-970</t>
        </is>
      </c>
      <c r="C638" t="inlineStr">
        <is>
          <t>No. of batches</t>
        </is>
      </c>
      <c r="D638">
        <f>IFERROR(INDEX(PP_Grid[#Data],$DD638,2),0)</f>
        <v/>
      </c>
      <c r="E638">
        <f>IFERROR(INDEX(PP_Grid[#Data],$DD638,3),0)</f>
        <v/>
      </c>
      <c r="F638">
        <f>IFERROR(INDEX(PP_Grid[#Data],$DD638,4),0)</f>
        <v/>
      </c>
      <c r="G638">
        <f>IFERROR(INDEX(PP_Grid[#Data],$DD638,5),0)</f>
        <v/>
      </c>
      <c r="H638">
        <f>IFERROR(INDEX(PP_Grid[#Data],$DD638,6),0)</f>
        <v/>
      </c>
      <c r="I638">
        <f>IFERROR(INDEX(PP_Grid[#Data],$DD638,7),0)</f>
        <v/>
      </c>
      <c r="J638">
        <f>IFERROR(INDEX(PP_Grid[#Data],$DD638,8),0)</f>
        <v/>
      </c>
      <c r="K638">
        <f>IFERROR(INDEX(PP_Grid[#Data],$DD638,9),0)</f>
        <v/>
      </c>
      <c r="L638">
        <f>IFERROR(INDEX(PP_Grid[#Data],$DD638,10),0)</f>
        <v/>
      </c>
      <c r="M638">
        <f>IFERROR(INDEX(PP_Grid[#Data],$DD638,11),0)</f>
        <v/>
      </c>
      <c r="N638">
        <f>IFERROR(INDEX(PP_Grid[#Data],$DD638,12),0)</f>
        <v/>
      </c>
      <c r="O638">
        <f>IFERROR(INDEX(PP_Grid[#Data],$DD638,13),0)</f>
        <v/>
      </c>
      <c r="P638">
        <f>IFERROR(INDEX(PP_Grid[#Data],$DD638,14),0)</f>
        <v/>
      </c>
      <c r="Q638">
        <f>IFERROR(INDEX(PP_Grid[#Data],$DD638,15),0)</f>
        <v/>
      </c>
      <c r="R638">
        <f>IFERROR(INDEX(PP_Grid[#Data],$DD638,16),0)</f>
        <v/>
      </c>
      <c r="S638">
        <f>IFERROR(INDEX(PP_Grid[#Data],$DD638,17),0)</f>
        <v/>
      </c>
      <c r="T638">
        <f>IFERROR(INDEX(PP_Grid[#Data],$DD638,18),0)</f>
        <v/>
      </c>
      <c r="U638">
        <f>IFERROR(INDEX(PP_Grid[#Data],$DD638,19),0)</f>
        <v/>
      </c>
      <c r="V638">
        <f>IFERROR(INDEX(PP_Grid[#Data],$DD638,20),0)</f>
        <v/>
      </c>
      <c r="W638">
        <f>IFERROR(INDEX(PP_Grid[#Data],$DD638,21),0)</f>
        <v/>
      </c>
      <c r="X638">
        <f>IFERROR(INDEX(PP_Grid[#Data],$DD638,22),0)</f>
        <v/>
      </c>
      <c r="Y638">
        <f>IFERROR(INDEX(PP_Grid[#Data],$DD638,23),0)</f>
        <v/>
      </c>
      <c r="Z638">
        <f>IFERROR(INDEX(PP_Grid[#Data],$DD638,24),0)</f>
        <v/>
      </c>
      <c r="AA638">
        <f>IFERROR(INDEX(PP_Grid[#Data],$DD638,25),0)</f>
        <v/>
      </c>
      <c r="AB638">
        <f>IFERROR(INDEX(PP_Grid[#Data],$DD638,26),0)</f>
        <v/>
      </c>
      <c r="AC638">
        <f>IFERROR(INDEX(PP_Grid[#Data],$DD638,27),0)</f>
        <v/>
      </c>
      <c r="AD638">
        <f>IFERROR(INDEX(PP_Grid[#Data],$DD638,28),0)</f>
        <v/>
      </c>
      <c r="AE638">
        <f>IFERROR(INDEX(PP_Grid[#Data],$DD638,29),0)</f>
        <v/>
      </c>
      <c r="AF638">
        <f>IFERROR(INDEX(PP_Grid[#Data],$DD638,30),0)</f>
        <v/>
      </c>
      <c r="AG638">
        <f>IFERROR(INDEX(PP_Grid[#Data],$DD638,31),0)</f>
        <v/>
      </c>
      <c r="AH638">
        <f>IFERROR(INDEX(PP_Grid[#Data],$DD638,32),0)</f>
        <v/>
      </c>
      <c r="AI638">
        <f>IFERROR(INDEX(PP_Grid[#Data],$DD638,33),0)</f>
        <v/>
      </c>
      <c r="AJ638">
        <f>IFERROR(INDEX(PP_Grid[#Data],$DD638,34),0)</f>
        <v/>
      </c>
      <c r="AK638">
        <f>IFERROR(INDEX(PP_Grid[#Data],$DD638,35),0)</f>
        <v/>
      </c>
      <c r="AL638">
        <f>IFERROR(INDEX(PP_Grid[#Data],$DD638,36),0)</f>
        <v/>
      </c>
      <c r="AM638">
        <f>IFERROR(INDEX(PP_Grid[#Data],$DD638,37),0)</f>
        <v/>
      </c>
      <c r="AN638">
        <f>IFERROR(INDEX(PP_Grid[#Data],$DD638,38),0)</f>
        <v/>
      </c>
      <c r="AO638">
        <f>IFERROR(INDEX(PP_Grid[#Data],$DD638,39),0)</f>
        <v/>
      </c>
      <c r="AP638">
        <f>IFERROR(INDEX(PP_Grid[#Data],$DD638,40),0)</f>
        <v/>
      </c>
      <c r="AQ638">
        <f>IFERROR(INDEX(PP_Grid[#Data],$DD638,41),0)</f>
        <v/>
      </c>
      <c r="AR638">
        <f>IFERROR(INDEX(PP_Grid[#Data],$DD638,42),0)</f>
        <v/>
      </c>
      <c r="AS638">
        <f>IFERROR(INDEX(PP_Grid[#Data],$DD638,43),0)</f>
        <v/>
      </c>
      <c r="AT638">
        <f>IFERROR(INDEX(PP_Grid[#Data],$DD638,44),0)</f>
        <v/>
      </c>
      <c r="AU638">
        <f>IFERROR(INDEX(PP_Grid[#Data],$DD638,45),0)</f>
        <v/>
      </c>
      <c r="AV638">
        <f>IFERROR(INDEX(PP_Grid[#Data],$DD638,46),0)</f>
        <v/>
      </c>
      <c r="AW638">
        <f>IFERROR(INDEX(PP_Grid[#Data],$DD638,47),0)</f>
        <v/>
      </c>
      <c r="AX638">
        <f>IFERROR(INDEX(PP_Grid[#Data],$DD638,48),0)</f>
        <v/>
      </c>
      <c r="AY638">
        <f>IFERROR(INDEX(PP_Grid[#Data],$DD638,49),0)</f>
        <v/>
      </c>
      <c r="AZ638">
        <f>IFERROR(INDEX(PP_Grid[#Data],$DD638,50),0)</f>
        <v/>
      </c>
      <c r="BA638">
        <f>IFERROR(INDEX(PP_Grid[#Data],$DD638,51),0)</f>
        <v/>
      </c>
      <c r="BB638">
        <f>IFERROR(INDEX(PP_Grid[#Data],$DD638,52),0)</f>
        <v/>
      </c>
      <c r="BC638">
        <f>IFERROR(INDEX(PP_Grid[#Data],$DD638,53),0)</f>
        <v/>
      </c>
      <c r="BD638">
        <f>IFERROR(INDEX(PP_Grid[#Data],$DD638,54),0)</f>
        <v/>
      </c>
      <c r="BE638">
        <f>IFERROR(INDEX(PP_Grid[#Data],$DD638,55),0)</f>
        <v/>
      </c>
      <c r="BF638">
        <f>IFERROR(INDEX(PP_Grid[#Data],$DD638,56),0)</f>
        <v/>
      </c>
      <c r="BG638">
        <f>IFERROR(INDEX(PP_Grid[#Data],$DD638,57),0)</f>
        <v/>
      </c>
      <c r="BH638">
        <f>IFERROR(INDEX(PP_Grid[#Data],$DD638,58),0)</f>
        <v/>
      </c>
      <c r="BI638">
        <f>IFERROR(INDEX(PP_Grid[#Data],$DD638,59),0)</f>
        <v/>
      </c>
      <c r="BJ638">
        <f>IFERROR(INDEX(PP_Grid[#Data],$DD638,60),0)</f>
        <v/>
      </c>
      <c r="BK638">
        <f>IFERROR(INDEX(PP_Grid[#Data],$DD638,61),0)</f>
        <v/>
      </c>
      <c r="BL638">
        <f>IFERROR(INDEX(PP_Grid[#Data],$DD638,62),0)</f>
        <v/>
      </c>
      <c r="BM638">
        <f>IFERROR(INDEX(PP_Grid[#Data],$DD638,63),0)</f>
        <v/>
      </c>
      <c r="BN638">
        <f>IFERROR(INDEX(PP_Grid[#Data],$DD638,64),0)</f>
        <v/>
      </c>
      <c r="BO638">
        <f>IFERROR(INDEX(PP_Grid[#Data],$DD638,65),0)</f>
        <v/>
      </c>
      <c r="BP638">
        <f>IFERROR(INDEX(PP_Grid[#Data],$DD638,66),0)</f>
        <v/>
      </c>
      <c r="BQ638">
        <f>IFERROR(INDEX(PP_Grid[#Data],$DD638,67),0)</f>
        <v/>
      </c>
      <c r="BR638">
        <f>IFERROR(INDEX(PP_Grid[#Data],$DD638,68),0)</f>
        <v/>
      </c>
      <c r="BS638">
        <f>IFERROR(INDEX(PP_Grid[#Data],$DD638,69),0)</f>
        <v/>
      </c>
      <c r="BT638">
        <f>IFERROR(INDEX(PP_Grid[#Data],$DD638,70),0)</f>
        <v/>
      </c>
      <c r="BU638">
        <f>IFERROR(INDEX(PP_Grid[#Data],$DD638,71),0)</f>
        <v/>
      </c>
      <c r="BV638">
        <f>IFERROR(INDEX(PP_Grid[#Data],$DD638,72),0)</f>
        <v/>
      </c>
      <c r="BW638">
        <f>IFERROR(INDEX(PP_Grid[#Data],$DD638,73),0)</f>
        <v/>
      </c>
      <c r="BX638">
        <f>IFERROR(INDEX(PP_Grid[#Data],$DD638,74),0)</f>
        <v/>
      </c>
      <c r="BY638">
        <f>IFERROR(INDEX(PP_Grid[#Data],$DD638,75),0)</f>
        <v/>
      </c>
      <c r="BZ638">
        <f>IFERROR(INDEX(PP_Grid[#Data],$DD638,76),0)</f>
        <v/>
      </c>
      <c r="CA638">
        <f>IFERROR(INDEX(PP_Grid[#Data],$DD638,77),0)</f>
        <v/>
      </c>
      <c r="CB638">
        <f>IFERROR(INDEX(PP_Grid[#Data],$DD638,78),0)</f>
        <v/>
      </c>
      <c r="CC638">
        <f>IFERROR(INDEX(PP_Grid[#Data],$DD638,79),0)</f>
        <v/>
      </c>
      <c r="CD638">
        <f>IFERROR(INDEX(PP_Grid[#Data],$DD638,80),0)</f>
        <v/>
      </c>
      <c r="CE638">
        <f>IFERROR(INDEX(PP_Grid[#Data],$DD638,81),0)</f>
        <v/>
      </c>
      <c r="CF638">
        <f>IFERROR(INDEX(PP_Grid[#Data],$DD638,82),0)</f>
        <v/>
      </c>
      <c r="CG638">
        <f>IFERROR(INDEX(PP_Grid[#Data],$DD638,83),0)</f>
        <v/>
      </c>
      <c r="CH638">
        <f>IFERROR(INDEX(PP_Grid[#Data],$DD638,84),0)</f>
        <v/>
      </c>
      <c r="CI638">
        <f>IFERROR(INDEX(PP_Grid[#Data],$DD638,85),0)</f>
        <v/>
      </c>
      <c r="CJ638">
        <f>IFERROR(INDEX(PP_Grid[#Data],$DD638,86),0)</f>
        <v/>
      </c>
      <c r="CK638">
        <f>IFERROR(INDEX(PP_Grid[#Data],$DD638,87),0)</f>
        <v/>
      </c>
      <c r="CL638">
        <f>IFERROR(INDEX(PP_Grid[#Data],$DD638,88),0)</f>
        <v/>
      </c>
      <c r="CM638">
        <f>IFERROR(INDEX(PP_Grid[#Data],$DD638,89),0)</f>
        <v/>
      </c>
      <c r="CN638">
        <f>IFERROR(INDEX(PP_Grid[#Data],$DD638,90),0)</f>
        <v/>
      </c>
      <c r="CO638">
        <f>IFERROR(INDEX(PP_Grid[#Data],$DD638,91),0)</f>
        <v/>
      </c>
      <c r="CP638">
        <f>IFERROR(INDEX(PP_Grid[#Data],$DD638,92),0)</f>
        <v/>
      </c>
      <c r="CQ638">
        <f>IFERROR(INDEX(PP_Grid[#Data],$DD638,93),0)</f>
        <v/>
      </c>
      <c r="CR638">
        <f>IFERROR(INDEX(PP_Grid[#Data],$DD638,94),0)</f>
        <v/>
      </c>
      <c r="CS638">
        <f>IFERROR(INDEX(PP_Grid[#Data],$DD638,95),0)</f>
        <v/>
      </c>
      <c r="CT638">
        <f>IFERROR(INDEX(PP_Grid[#Data],$DD638,96),0)</f>
        <v/>
      </c>
      <c r="CU638">
        <f>IFERROR(INDEX(PP_Grid[#Data],$DD638,97),0)</f>
        <v/>
      </c>
      <c r="CV638">
        <f>IFERROR(INDEX(PP_Grid[#Data],$DD638,98),0)</f>
        <v/>
      </c>
      <c r="CW638">
        <f>IFERROR(INDEX(PP_Grid[#Data],$DD638,99),0)</f>
        <v/>
      </c>
      <c r="CX638">
        <f>IFERROR(INDEX(PP_Grid[#Data],$DD638,100),0)</f>
        <v/>
      </c>
      <c r="CY638">
        <f>IFERROR(INDEX(PP_Grid[#Data],$DD638,101),0)</f>
        <v/>
      </c>
      <c r="CZ638">
        <f>IFERROR(INDEX(PP_Grid[#Data],$DD638,102),0)</f>
        <v/>
      </c>
      <c r="DA638">
        <f>IFERROR(INDEX(PP_Grid[#Data],$DD638,103),0)</f>
        <v/>
      </c>
      <c r="DB638">
        <f>IFERROR(INDEX(PP_Grid[#Data],$DD638,104),0)</f>
        <v/>
      </c>
      <c r="DC638">
        <f>IFERROR(INDEX(PP_Grid[#Data],$DD638,105),0)</f>
        <v/>
      </c>
      <c r="DD638" s="7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SUMIFS(M_BOM[RM_Qty_Per_Batch],M_BOM[Intermediate],$B638,M_BOM[Part Name],$A589)</f>
        <v/>
      </c>
      <c r="D639">
        <f>$C639*D638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</row>
    <row r="640">
      <c r="B640" t="inlineStr">
        <is>
          <t>TPP-912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7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Name],$A589)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No of times used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7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Name],$A589)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F2090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Name],$A589)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s="4" t="inlineStr">
        <is>
          <t>合計使用量(kg)/週</t>
        </is>
      </c>
      <c r="D646">
        <f>'Grid_Requirement'!B22</f>
        <v/>
      </c>
      <c r="E646">
        <f>'Grid_Requirement'!C22</f>
        <v/>
      </c>
      <c r="F646">
        <f>'Grid_Requirement'!D22</f>
        <v/>
      </c>
      <c r="G646">
        <f>'Grid_Requirement'!E22</f>
        <v/>
      </c>
      <c r="H646">
        <f>'Grid_Requirement'!F22</f>
        <v/>
      </c>
      <c r="I646">
        <f>'Grid_Requirement'!G22</f>
        <v/>
      </c>
      <c r="J646">
        <f>'Grid_Requirement'!H22</f>
        <v/>
      </c>
      <c r="K646">
        <f>'Grid_Requirement'!I22</f>
        <v/>
      </c>
      <c r="L646">
        <f>'Grid_Requirement'!J22</f>
        <v/>
      </c>
      <c r="M646">
        <f>'Grid_Requirement'!K22</f>
        <v/>
      </c>
      <c r="N646">
        <f>'Grid_Requirement'!L22</f>
        <v/>
      </c>
      <c r="O646">
        <f>'Grid_Requirement'!M22</f>
        <v/>
      </c>
      <c r="P646">
        <f>'Grid_Requirement'!N22</f>
        <v/>
      </c>
      <c r="Q646">
        <f>'Grid_Requirement'!O22</f>
        <v/>
      </c>
      <c r="R646">
        <f>'Grid_Requirement'!P22</f>
        <v/>
      </c>
      <c r="S646">
        <f>'Grid_Requirement'!Q22</f>
        <v/>
      </c>
      <c r="T646">
        <f>'Grid_Requirement'!R22</f>
        <v/>
      </c>
      <c r="U646">
        <f>'Grid_Requirement'!S22</f>
        <v/>
      </c>
      <c r="V646">
        <f>'Grid_Requirement'!T22</f>
        <v/>
      </c>
      <c r="W646">
        <f>'Grid_Requirement'!U22</f>
        <v/>
      </c>
      <c r="X646">
        <f>'Grid_Requirement'!V22</f>
        <v/>
      </c>
      <c r="Y646">
        <f>'Grid_Requirement'!W22</f>
        <v/>
      </c>
      <c r="Z646">
        <f>'Grid_Requirement'!X22</f>
        <v/>
      </c>
      <c r="AA646">
        <f>'Grid_Requirement'!Y22</f>
        <v/>
      </c>
      <c r="AB646">
        <f>'Grid_Requirement'!Z22</f>
        <v/>
      </c>
      <c r="AC646">
        <f>'Grid_Requirement'!AA22</f>
        <v/>
      </c>
      <c r="AD646">
        <f>'Grid_Requirement'!AB22</f>
        <v/>
      </c>
      <c r="AE646">
        <f>'Grid_Requirement'!AC22</f>
        <v/>
      </c>
      <c r="AF646">
        <f>'Grid_Requirement'!AD22</f>
        <v/>
      </c>
      <c r="AG646">
        <f>'Grid_Requirement'!AE22</f>
        <v/>
      </c>
      <c r="AH646">
        <f>'Grid_Requirement'!AF22</f>
        <v/>
      </c>
      <c r="AI646">
        <f>'Grid_Requirement'!AG22</f>
        <v/>
      </c>
      <c r="AJ646">
        <f>'Grid_Requirement'!AH22</f>
        <v/>
      </c>
      <c r="AK646">
        <f>'Grid_Requirement'!AI22</f>
        <v/>
      </c>
      <c r="AL646">
        <f>'Grid_Requirement'!AJ22</f>
        <v/>
      </c>
      <c r="AM646">
        <f>'Grid_Requirement'!AK22</f>
        <v/>
      </c>
      <c r="AN646">
        <f>'Grid_Requirement'!AL22</f>
        <v/>
      </c>
      <c r="AO646">
        <f>'Grid_Requirement'!AM22</f>
        <v/>
      </c>
      <c r="AP646">
        <f>'Grid_Requirement'!AN22</f>
        <v/>
      </c>
      <c r="AQ646">
        <f>'Grid_Requirement'!AO22</f>
        <v/>
      </c>
      <c r="AR646">
        <f>'Grid_Requirement'!AP22</f>
        <v/>
      </c>
      <c r="AS646">
        <f>'Grid_Requirement'!AQ22</f>
        <v/>
      </c>
      <c r="AT646">
        <f>'Grid_Requirement'!AR22</f>
        <v/>
      </c>
      <c r="AU646">
        <f>'Grid_Requirement'!AS22</f>
        <v/>
      </c>
      <c r="AV646">
        <f>'Grid_Requirement'!AT22</f>
        <v/>
      </c>
      <c r="AW646">
        <f>'Grid_Requirement'!AU22</f>
        <v/>
      </c>
      <c r="AX646">
        <f>'Grid_Requirement'!AV22</f>
        <v/>
      </c>
      <c r="AY646">
        <f>'Grid_Requirement'!AW22</f>
        <v/>
      </c>
      <c r="AZ646">
        <f>'Grid_Requirement'!AX22</f>
        <v/>
      </c>
      <c r="BA646">
        <f>'Grid_Requirement'!AY22</f>
        <v/>
      </c>
      <c r="BB646">
        <f>'Grid_Requirement'!AZ22</f>
        <v/>
      </c>
      <c r="BC646">
        <f>'Grid_Requirement'!BA22</f>
        <v/>
      </c>
      <c r="BD646">
        <f>'Grid_Requirement'!BB22</f>
        <v/>
      </c>
      <c r="BE646">
        <f>'Grid_Requirement'!BC22</f>
        <v/>
      </c>
      <c r="BF646">
        <f>'Grid_Requirement'!BD22</f>
        <v/>
      </c>
      <c r="BG646">
        <f>'Grid_Requirement'!BE22</f>
        <v/>
      </c>
      <c r="BH646">
        <f>'Grid_Requirement'!BF22</f>
        <v/>
      </c>
      <c r="BI646">
        <f>'Grid_Requirement'!BG22</f>
        <v/>
      </c>
      <c r="BJ646">
        <f>'Grid_Requirement'!BH22</f>
        <v/>
      </c>
      <c r="BK646">
        <f>'Grid_Requirement'!BI22</f>
        <v/>
      </c>
      <c r="BL646">
        <f>'Grid_Requirement'!BJ22</f>
        <v/>
      </c>
      <c r="BM646">
        <f>'Grid_Requirement'!BK22</f>
        <v/>
      </c>
      <c r="BN646">
        <f>'Grid_Requirement'!BL22</f>
        <v/>
      </c>
      <c r="BO646">
        <f>'Grid_Requirement'!BM22</f>
        <v/>
      </c>
      <c r="BP646">
        <f>'Grid_Requirement'!BN22</f>
        <v/>
      </c>
      <c r="BQ646">
        <f>'Grid_Requirement'!BO22</f>
        <v/>
      </c>
      <c r="BR646">
        <f>'Grid_Requirement'!BP22</f>
        <v/>
      </c>
      <c r="BS646">
        <f>'Grid_Requirement'!BQ22</f>
        <v/>
      </c>
      <c r="BT646">
        <f>'Grid_Requirement'!BR22</f>
        <v/>
      </c>
      <c r="BU646">
        <f>'Grid_Requirement'!BS22</f>
        <v/>
      </c>
      <c r="BV646">
        <f>'Grid_Requirement'!BT22</f>
        <v/>
      </c>
      <c r="BW646">
        <f>'Grid_Requirement'!BU22</f>
        <v/>
      </c>
      <c r="BX646">
        <f>'Grid_Requirement'!BV22</f>
        <v/>
      </c>
      <c r="BY646">
        <f>'Grid_Requirement'!BW22</f>
        <v/>
      </c>
      <c r="BZ646">
        <f>'Grid_Requirement'!BX22</f>
        <v/>
      </c>
      <c r="CA646">
        <f>'Grid_Requirement'!BY22</f>
        <v/>
      </c>
      <c r="CB646">
        <f>'Grid_Requirement'!BZ22</f>
        <v/>
      </c>
      <c r="CC646">
        <f>'Grid_Requirement'!CA22</f>
        <v/>
      </c>
      <c r="CD646">
        <f>'Grid_Requirement'!CB22</f>
        <v/>
      </c>
      <c r="CE646">
        <f>'Grid_Requirement'!CC22</f>
        <v/>
      </c>
      <c r="CF646">
        <f>'Grid_Requirement'!CD22</f>
        <v/>
      </c>
      <c r="CG646">
        <f>'Grid_Requirement'!CE22</f>
        <v/>
      </c>
      <c r="CH646">
        <f>'Grid_Requirement'!CF22</f>
        <v/>
      </c>
      <c r="CI646">
        <f>'Grid_Requirement'!CG22</f>
        <v/>
      </c>
      <c r="CJ646">
        <f>'Grid_Requirement'!CH22</f>
        <v/>
      </c>
      <c r="CK646">
        <f>'Grid_Requirement'!CI22</f>
        <v/>
      </c>
      <c r="CL646">
        <f>'Grid_Requirement'!CJ22</f>
        <v/>
      </c>
      <c r="CM646">
        <f>'Grid_Requirement'!CK22</f>
        <v/>
      </c>
      <c r="CN646">
        <f>'Grid_Requirement'!CL22</f>
        <v/>
      </c>
      <c r="CO646">
        <f>'Grid_Requirement'!CM22</f>
        <v/>
      </c>
      <c r="CP646">
        <f>'Grid_Requirement'!CN22</f>
        <v/>
      </c>
      <c r="CQ646">
        <f>'Grid_Requirement'!CO22</f>
        <v/>
      </c>
      <c r="CR646">
        <f>'Grid_Requirement'!CP22</f>
        <v/>
      </c>
      <c r="CS646">
        <f>'Grid_Requirement'!CQ22</f>
        <v/>
      </c>
      <c r="CT646">
        <f>'Grid_Requirement'!CR22</f>
        <v/>
      </c>
      <c r="CU646">
        <f>'Grid_Requirement'!CS22</f>
        <v/>
      </c>
      <c r="CV646">
        <f>'Grid_Requirement'!CT22</f>
        <v/>
      </c>
      <c r="CW646">
        <f>'Grid_Requirement'!CU22</f>
        <v/>
      </c>
      <c r="CX646">
        <f>'Grid_Requirement'!CV22</f>
        <v/>
      </c>
      <c r="CY646">
        <f>'Grid_Requirement'!CW22</f>
        <v/>
      </c>
      <c r="CZ646">
        <f>'Grid_Requirement'!CX22</f>
        <v/>
      </c>
      <c r="DA646">
        <f>'Grid_Requirement'!CY22</f>
        <v/>
      </c>
      <c r="DB646">
        <f>'Grid_Requirement'!CZ22</f>
        <v/>
      </c>
      <c r="DC646">
        <f>'Grid_Requirement'!DA22</f>
        <v/>
      </c>
    </row>
    <row r="647">
      <c r="B647" t="inlineStr">
        <is>
          <t>TTAF在庫(実績,kg)</t>
        </is>
      </c>
      <c r="D647">
        <f>'T_TTAFStock'!B26</f>
        <v/>
      </c>
      <c r="E647">
        <f>'T_TTAFStock'!C26</f>
        <v/>
      </c>
      <c r="F647">
        <f>'T_TTAFStock'!D26</f>
        <v/>
      </c>
      <c r="G647">
        <f>'T_TTAFStock'!E26</f>
        <v/>
      </c>
      <c r="H647">
        <f>'T_TTAFStock'!F26</f>
        <v/>
      </c>
      <c r="I647">
        <f>'T_TTAFStock'!G26</f>
        <v/>
      </c>
      <c r="J647">
        <f>'T_TTAFStock'!H26</f>
        <v/>
      </c>
      <c r="K647">
        <f>'T_TTAFStock'!I26</f>
        <v/>
      </c>
      <c r="L647">
        <f>'T_TTAFStock'!J26</f>
        <v/>
      </c>
      <c r="M647">
        <f>'T_TTAFStock'!K26</f>
        <v/>
      </c>
      <c r="N647">
        <f>'T_TTAFStock'!L26</f>
        <v/>
      </c>
      <c r="O647">
        <f>'T_TTAFStock'!M26</f>
        <v/>
      </c>
      <c r="P647">
        <f>'T_TTAFStock'!N26</f>
        <v/>
      </c>
      <c r="Q647">
        <f>'T_TTAFStock'!O26</f>
        <v/>
      </c>
      <c r="R647">
        <f>'T_TTAFStock'!P26</f>
        <v/>
      </c>
      <c r="S647">
        <f>'T_TTAFStock'!Q26</f>
        <v/>
      </c>
      <c r="T647">
        <f>'T_TTAFStock'!R26</f>
        <v/>
      </c>
      <c r="U647">
        <f>'T_TTAFStock'!S26</f>
        <v/>
      </c>
      <c r="V647">
        <f>'T_TTAFStock'!T26</f>
        <v/>
      </c>
      <c r="W647">
        <f>'T_TTAFStock'!U26</f>
        <v/>
      </c>
      <c r="X647">
        <f>'T_TTAFStock'!V26</f>
        <v/>
      </c>
      <c r="Y647">
        <f>'T_TTAFStock'!W26</f>
        <v/>
      </c>
      <c r="Z647">
        <f>'T_TTAFStock'!X26</f>
        <v/>
      </c>
      <c r="AA647">
        <f>'T_TTAFStock'!Y26</f>
        <v/>
      </c>
      <c r="AB647">
        <f>'T_TTAFStock'!Z26</f>
        <v/>
      </c>
      <c r="AC647">
        <f>'T_TTAFStock'!AA26</f>
        <v/>
      </c>
      <c r="AD647">
        <f>'T_TTAFStock'!AB26</f>
        <v/>
      </c>
      <c r="AE647">
        <f>'T_TTAFStock'!AC26</f>
        <v/>
      </c>
      <c r="AF647">
        <f>'T_TTAFStock'!AD26</f>
        <v/>
      </c>
      <c r="AG647">
        <f>'T_TTAFStock'!AE26</f>
        <v/>
      </c>
      <c r="AH647">
        <f>'T_TTAFStock'!AF26</f>
        <v/>
      </c>
      <c r="AI647">
        <f>'T_TTAFStock'!AG26</f>
        <v/>
      </c>
      <c r="AJ647">
        <f>'T_TTAFStock'!AH26</f>
        <v/>
      </c>
      <c r="AK647">
        <f>'T_TTAFStock'!AI26</f>
        <v/>
      </c>
      <c r="AL647">
        <f>'T_TTAFStock'!AJ26</f>
        <v/>
      </c>
      <c r="AM647">
        <f>'T_TTAFStock'!AK26</f>
        <v/>
      </c>
      <c r="AN647">
        <f>'T_TTAFStock'!AL26</f>
        <v/>
      </c>
      <c r="AO647">
        <f>'T_TTAFStock'!AM26</f>
        <v/>
      </c>
      <c r="AP647">
        <f>'T_TTAFStock'!AN26</f>
        <v/>
      </c>
      <c r="AQ647">
        <f>'T_TTAFStock'!AO26</f>
        <v/>
      </c>
      <c r="AR647">
        <f>'T_TTAFStock'!AP26</f>
        <v/>
      </c>
      <c r="AS647">
        <f>'T_TTAFStock'!AQ26</f>
        <v/>
      </c>
      <c r="AT647">
        <f>'T_TTAFStock'!AR26</f>
        <v/>
      </c>
      <c r="AU647">
        <f>'T_TTAFStock'!AS26</f>
        <v/>
      </c>
      <c r="AV647">
        <f>'T_TTAFStock'!AT26</f>
        <v/>
      </c>
      <c r="AW647">
        <f>'T_TTAFStock'!AU26</f>
        <v/>
      </c>
      <c r="AX647">
        <f>'T_TTAFStock'!AV26</f>
        <v/>
      </c>
      <c r="AY647">
        <f>'T_TTAFStock'!AW26</f>
        <v/>
      </c>
      <c r="AZ647">
        <f>'T_TTAFStock'!AX26</f>
        <v/>
      </c>
      <c r="BA647">
        <f>'T_TTAFStock'!AY26</f>
        <v/>
      </c>
      <c r="BB647">
        <f>'T_TTAFStock'!AZ26</f>
        <v/>
      </c>
      <c r="BC647">
        <f>'T_TTAFStock'!BA26</f>
        <v/>
      </c>
      <c r="BD647">
        <f>'T_TTAFStock'!BB26</f>
        <v/>
      </c>
      <c r="BE647">
        <f>'T_TTAFStock'!BC26</f>
        <v/>
      </c>
      <c r="BF647">
        <f>'T_TTAFStock'!BD26</f>
        <v/>
      </c>
      <c r="BG647">
        <f>'T_TTAFStock'!BE26</f>
        <v/>
      </c>
      <c r="BH647">
        <f>'T_TTAFStock'!BF26</f>
        <v/>
      </c>
      <c r="BI647">
        <f>'T_TTAFStock'!BG26</f>
        <v/>
      </c>
      <c r="BJ647">
        <f>'T_TTAFStock'!BH26</f>
        <v/>
      </c>
      <c r="BK647">
        <f>'T_TTAFStock'!BI26</f>
        <v/>
      </c>
      <c r="BL647">
        <f>'T_TTAFStock'!BJ26</f>
        <v/>
      </c>
      <c r="BM647">
        <f>'T_TTAFStock'!BK26</f>
        <v/>
      </c>
      <c r="BN647">
        <f>'T_TTAFStock'!BL26</f>
        <v/>
      </c>
      <c r="BO647">
        <f>'T_TTAFStock'!BM26</f>
        <v/>
      </c>
      <c r="BP647">
        <f>'T_TTAFStock'!BN26</f>
        <v/>
      </c>
      <c r="BQ647">
        <f>'T_TTAFStock'!BO26</f>
        <v/>
      </c>
      <c r="BR647">
        <f>'T_TTAFStock'!BP26</f>
        <v/>
      </c>
      <c r="BS647">
        <f>'T_TTAFStock'!BQ26</f>
        <v/>
      </c>
      <c r="BT647">
        <f>'T_TTAFStock'!BR26</f>
        <v/>
      </c>
      <c r="BU647">
        <f>'T_TTAFStock'!BS26</f>
        <v/>
      </c>
      <c r="BV647">
        <f>'T_TTAFStock'!BT26</f>
        <v/>
      </c>
      <c r="BW647">
        <f>'T_TTAFStock'!BU26</f>
        <v/>
      </c>
      <c r="BX647">
        <f>'T_TTAFStock'!BV26</f>
        <v/>
      </c>
      <c r="BY647">
        <f>'T_TTAFStock'!BW26</f>
        <v/>
      </c>
      <c r="BZ647">
        <f>'T_TTAFStock'!BX26</f>
        <v/>
      </c>
      <c r="CA647">
        <f>'T_TTAFStock'!BY26</f>
        <v/>
      </c>
      <c r="CB647">
        <f>'T_TTAFStock'!BZ26</f>
        <v/>
      </c>
      <c r="CC647">
        <f>'T_TTAFStock'!CA26</f>
        <v/>
      </c>
      <c r="CD647">
        <f>'T_TTAFStock'!CB26</f>
        <v/>
      </c>
      <c r="CE647">
        <f>'T_TTAFStock'!CC26</f>
        <v/>
      </c>
      <c r="CF647">
        <f>'T_TTAFStock'!CD26</f>
        <v/>
      </c>
      <c r="CG647">
        <f>'T_TTAFStock'!CE26</f>
        <v/>
      </c>
      <c r="CH647">
        <f>'T_TTAFStock'!CF26</f>
        <v/>
      </c>
      <c r="CI647">
        <f>'T_TTAFStock'!CG26</f>
        <v/>
      </c>
      <c r="CJ647">
        <f>'T_TTAFStock'!CH26</f>
        <v/>
      </c>
      <c r="CK647">
        <f>'T_TTAFStock'!CI26</f>
        <v/>
      </c>
      <c r="CL647">
        <f>'T_TTAFStock'!CJ26</f>
        <v/>
      </c>
      <c r="CM647">
        <f>'T_TTAFStock'!CK26</f>
        <v/>
      </c>
      <c r="CN647">
        <f>'T_TTAFStock'!CL26</f>
        <v/>
      </c>
      <c r="CO647">
        <f>'T_TTAFStock'!CM26</f>
        <v/>
      </c>
      <c r="CP647">
        <f>'T_TTAFStock'!CN26</f>
        <v/>
      </c>
      <c r="CQ647">
        <f>'T_TTAFStock'!CO26</f>
        <v/>
      </c>
      <c r="CR647">
        <f>'T_TTAFStock'!CP26</f>
        <v/>
      </c>
      <c r="CS647">
        <f>'T_TTAFStock'!CQ26</f>
        <v/>
      </c>
      <c r="CT647">
        <f>'T_TTAFStock'!CR26</f>
        <v/>
      </c>
      <c r="CU647">
        <f>'T_TTAFStock'!CS26</f>
        <v/>
      </c>
      <c r="CV647">
        <f>'T_TTAFStock'!CT26</f>
        <v/>
      </c>
      <c r="CW647">
        <f>'T_TTAFStock'!CU26</f>
        <v/>
      </c>
      <c r="CX647">
        <f>'T_TTAFStock'!CV26</f>
        <v/>
      </c>
      <c r="CY647">
        <f>'T_TTAFStock'!CW26</f>
        <v/>
      </c>
      <c r="CZ647">
        <f>'T_TTAFStock'!CX26</f>
        <v/>
      </c>
      <c r="DA647">
        <f>'T_TTAFStock'!CY26</f>
        <v/>
      </c>
      <c r="DB647">
        <f>'T_TTAFStock'!CZ26</f>
        <v/>
      </c>
      <c r="DC647">
        <f>'T_TTAFStock'!DA26</f>
        <v/>
      </c>
    </row>
    <row r="648">
      <c r="B648" t="inlineStr">
        <is>
          <t>自社在庫(実績,kg)</t>
        </is>
      </c>
      <c r="D648">
        <f>'T_SelfStock'!B26</f>
        <v/>
      </c>
      <c r="E648">
        <f>'T_SelfStock'!C26</f>
        <v/>
      </c>
      <c r="F648">
        <f>'T_SelfStock'!D26</f>
        <v/>
      </c>
      <c r="G648">
        <f>'T_SelfStock'!E26</f>
        <v/>
      </c>
      <c r="H648">
        <f>'T_SelfStock'!F26</f>
        <v/>
      </c>
      <c r="I648">
        <f>'T_SelfStock'!G26</f>
        <v/>
      </c>
      <c r="J648">
        <f>'T_SelfStock'!H26</f>
        <v/>
      </c>
      <c r="K648">
        <f>'T_SelfStock'!I26</f>
        <v/>
      </c>
      <c r="L648">
        <f>'T_SelfStock'!J26</f>
        <v/>
      </c>
      <c r="M648">
        <f>'T_SelfStock'!K26</f>
        <v/>
      </c>
      <c r="N648">
        <f>'T_SelfStock'!L26</f>
        <v/>
      </c>
      <c r="O648">
        <f>'T_SelfStock'!M26</f>
        <v/>
      </c>
      <c r="P648">
        <f>'T_SelfStock'!N26</f>
        <v/>
      </c>
      <c r="Q648">
        <f>'T_SelfStock'!O26</f>
        <v/>
      </c>
      <c r="R648">
        <f>'T_SelfStock'!P26</f>
        <v/>
      </c>
      <c r="S648">
        <f>'T_SelfStock'!Q26</f>
        <v/>
      </c>
      <c r="T648">
        <f>'T_SelfStock'!R26</f>
        <v/>
      </c>
      <c r="U648">
        <f>'T_SelfStock'!S26</f>
        <v/>
      </c>
      <c r="V648">
        <f>'T_SelfStock'!T26</f>
        <v/>
      </c>
      <c r="W648">
        <f>'T_SelfStock'!U26</f>
        <v/>
      </c>
      <c r="X648">
        <f>'T_SelfStock'!V26</f>
        <v/>
      </c>
      <c r="Y648">
        <f>'T_SelfStock'!W26</f>
        <v/>
      </c>
      <c r="Z648">
        <f>'T_SelfStock'!X26</f>
        <v/>
      </c>
      <c r="AA648">
        <f>'T_SelfStock'!Y26</f>
        <v/>
      </c>
      <c r="AB648">
        <f>'T_SelfStock'!Z26</f>
        <v/>
      </c>
      <c r="AC648">
        <f>'T_SelfStock'!AA26</f>
        <v/>
      </c>
      <c r="AD648">
        <f>'T_SelfStock'!AB26</f>
        <v/>
      </c>
      <c r="AE648">
        <f>'T_SelfStock'!AC26</f>
        <v/>
      </c>
      <c r="AF648">
        <f>'T_SelfStock'!AD26</f>
        <v/>
      </c>
      <c r="AG648">
        <f>'T_SelfStock'!AE26</f>
        <v/>
      </c>
      <c r="AH648">
        <f>'T_SelfStock'!AF26</f>
        <v/>
      </c>
      <c r="AI648">
        <f>'T_SelfStock'!AG26</f>
        <v/>
      </c>
      <c r="AJ648">
        <f>'T_SelfStock'!AH26</f>
        <v/>
      </c>
      <c r="AK648">
        <f>'T_SelfStock'!AI26</f>
        <v/>
      </c>
      <c r="AL648">
        <f>'T_SelfStock'!AJ26</f>
        <v/>
      </c>
      <c r="AM648">
        <f>'T_SelfStock'!AK26</f>
        <v/>
      </c>
      <c r="AN648">
        <f>'T_SelfStock'!AL26</f>
        <v/>
      </c>
      <c r="AO648">
        <f>'T_SelfStock'!AM26</f>
        <v/>
      </c>
      <c r="AP648">
        <f>'T_SelfStock'!AN26</f>
        <v/>
      </c>
      <c r="AQ648">
        <f>'T_SelfStock'!AO26</f>
        <v/>
      </c>
      <c r="AR648">
        <f>'T_SelfStock'!AP26</f>
        <v/>
      </c>
      <c r="AS648">
        <f>'T_SelfStock'!AQ26</f>
        <v/>
      </c>
      <c r="AT648">
        <f>'T_SelfStock'!AR26</f>
        <v/>
      </c>
      <c r="AU648">
        <f>'T_SelfStock'!AS26</f>
        <v/>
      </c>
      <c r="AV648">
        <f>'T_SelfStock'!AT26</f>
        <v/>
      </c>
      <c r="AW648">
        <f>'T_SelfStock'!AU26</f>
        <v/>
      </c>
      <c r="AX648">
        <f>'T_SelfStock'!AV26</f>
        <v/>
      </c>
      <c r="AY648">
        <f>'T_SelfStock'!AW26</f>
        <v/>
      </c>
      <c r="AZ648">
        <f>'T_SelfStock'!AX26</f>
        <v/>
      </c>
      <c r="BA648">
        <f>'T_SelfStock'!AY26</f>
        <v/>
      </c>
      <c r="BB648">
        <f>'T_SelfStock'!AZ26</f>
        <v/>
      </c>
      <c r="BC648">
        <f>'T_SelfStock'!BA26</f>
        <v/>
      </c>
      <c r="BD648">
        <f>'T_SelfStock'!BB26</f>
        <v/>
      </c>
      <c r="BE648">
        <f>'T_SelfStock'!BC26</f>
        <v/>
      </c>
      <c r="BF648">
        <f>'T_SelfStock'!BD26</f>
        <v/>
      </c>
      <c r="BG648">
        <f>'T_SelfStock'!BE26</f>
        <v/>
      </c>
      <c r="BH648">
        <f>'T_SelfStock'!BF26</f>
        <v/>
      </c>
      <c r="BI648">
        <f>'T_SelfStock'!BG26</f>
        <v/>
      </c>
      <c r="BJ648">
        <f>'T_SelfStock'!BH26</f>
        <v/>
      </c>
      <c r="BK648">
        <f>'T_SelfStock'!BI26</f>
        <v/>
      </c>
      <c r="BL648">
        <f>'T_SelfStock'!BJ26</f>
        <v/>
      </c>
      <c r="BM648">
        <f>'T_SelfStock'!BK26</f>
        <v/>
      </c>
      <c r="BN648">
        <f>'T_SelfStock'!BL26</f>
        <v/>
      </c>
      <c r="BO648">
        <f>'T_SelfStock'!BM26</f>
        <v/>
      </c>
      <c r="BP648">
        <f>'T_SelfStock'!BN26</f>
        <v/>
      </c>
      <c r="BQ648">
        <f>'T_SelfStock'!BO26</f>
        <v/>
      </c>
      <c r="BR648">
        <f>'T_SelfStock'!BP26</f>
        <v/>
      </c>
      <c r="BS648">
        <f>'T_SelfStock'!BQ26</f>
        <v/>
      </c>
      <c r="BT648">
        <f>'T_SelfStock'!BR26</f>
        <v/>
      </c>
      <c r="BU648">
        <f>'T_SelfStock'!BS26</f>
        <v/>
      </c>
      <c r="BV648">
        <f>'T_SelfStock'!BT26</f>
        <v/>
      </c>
      <c r="BW648">
        <f>'T_SelfStock'!BU26</f>
        <v/>
      </c>
      <c r="BX648">
        <f>'T_SelfStock'!BV26</f>
        <v/>
      </c>
      <c r="BY648">
        <f>'T_SelfStock'!BW26</f>
        <v/>
      </c>
      <c r="BZ648">
        <f>'T_SelfStock'!BX26</f>
        <v/>
      </c>
      <c r="CA648">
        <f>'T_SelfStock'!BY26</f>
        <v/>
      </c>
      <c r="CB648">
        <f>'T_SelfStock'!BZ26</f>
        <v/>
      </c>
      <c r="CC648">
        <f>'T_SelfStock'!CA26</f>
        <v/>
      </c>
      <c r="CD648">
        <f>'T_SelfStock'!CB26</f>
        <v/>
      </c>
      <c r="CE648">
        <f>'T_SelfStock'!CC26</f>
        <v/>
      </c>
      <c r="CF648">
        <f>'T_SelfStock'!CD26</f>
        <v/>
      </c>
      <c r="CG648">
        <f>'T_SelfStock'!CE26</f>
        <v/>
      </c>
      <c r="CH648">
        <f>'T_SelfStock'!CF26</f>
        <v/>
      </c>
      <c r="CI648">
        <f>'T_SelfStock'!CG26</f>
        <v/>
      </c>
      <c r="CJ648">
        <f>'T_SelfStock'!CH26</f>
        <v/>
      </c>
      <c r="CK648">
        <f>'T_SelfStock'!CI26</f>
        <v/>
      </c>
      <c r="CL648">
        <f>'T_SelfStock'!CJ26</f>
        <v/>
      </c>
      <c r="CM648">
        <f>'T_SelfStock'!CK26</f>
        <v/>
      </c>
      <c r="CN648">
        <f>'T_SelfStock'!CL26</f>
        <v/>
      </c>
      <c r="CO648">
        <f>'T_SelfStock'!CM26</f>
        <v/>
      </c>
      <c r="CP648">
        <f>'T_SelfStock'!CN26</f>
        <v/>
      </c>
      <c r="CQ648">
        <f>'T_SelfStock'!CO26</f>
        <v/>
      </c>
      <c r="CR648">
        <f>'T_SelfStock'!CP26</f>
        <v/>
      </c>
      <c r="CS648">
        <f>'T_SelfStock'!CQ26</f>
        <v/>
      </c>
      <c r="CT648">
        <f>'T_SelfStock'!CR26</f>
        <v/>
      </c>
      <c r="CU648">
        <f>'T_SelfStock'!CS26</f>
        <v/>
      </c>
      <c r="CV648">
        <f>'T_SelfStock'!CT26</f>
        <v/>
      </c>
      <c r="CW648">
        <f>'T_SelfStock'!CU26</f>
        <v/>
      </c>
      <c r="CX648">
        <f>'T_SelfStock'!CV26</f>
        <v/>
      </c>
      <c r="CY648">
        <f>'T_SelfStock'!CW26</f>
        <v/>
      </c>
      <c r="CZ648">
        <f>'T_SelfStock'!CX26</f>
        <v/>
      </c>
      <c r="DA648">
        <f>'T_SelfStock'!CY26</f>
        <v/>
      </c>
      <c r="DB648">
        <f>'T_SelfStock'!CZ26</f>
        <v/>
      </c>
      <c r="DC648">
        <f>'T_SelfStock'!DA26</f>
        <v/>
      </c>
    </row>
    <row r="649">
      <c r="B649" t="inlineStr">
        <is>
          <t>Order(発注予定,kg)</t>
        </is>
      </c>
      <c r="D649">
        <f>IF(SUMIFS(T_PlannedOrders[EffectiveQty],T_PlannedOrders[Part Name],$A589,T_PlannedOrders[WeekIndex],1)=0,"",SUMIFS(T_PlannedOrders[EffectiveQty],T_PlannedOrders[Part Name],$A589,T_PlannedOrders[WeekIndex],1)&amp;" ("&amp;TEXT(SUMPRODUCT(MAX((T_PlannedOrders[Part Name]=$A589)*(T_PlannedOrders[WeekIndex]=1)*(T_PlannedOrders[EffectiveQty]&gt;0)*T_PlannedOrders[Order_Month])),"m月")&amp;"発注)")</f>
        <v/>
      </c>
      <c r="E649">
        <f>IF(SUMIFS(T_PlannedOrders[EffectiveQty],T_PlannedOrders[Part Name],$A589,T_PlannedOrders[WeekIndex],2)=0,"",SUMIFS(T_PlannedOrders[EffectiveQty],T_PlannedOrders[Part Name],$A589,T_PlannedOrders[WeekIndex],2)&amp;" ("&amp;TEXT(SUMPRODUCT(MAX((T_PlannedOrders[Part Name]=$A589)*(T_PlannedOrders[WeekIndex]=2)*(T_PlannedOrders[EffectiveQty]&gt;0)*T_PlannedOrders[Order_Month])),"m月")&amp;"発注)")</f>
        <v/>
      </c>
      <c r="F649">
        <f>IF(SUMIFS(T_PlannedOrders[EffectiveQty],T_PlannedOrders[Part Name],$A589,T_PlannedOrders[WeekIndex],3)=0,"",SUMIFS(T_PlannedOrders[EffectiveQty],T_PlannedOrders[Part Name],$A589,T_PlannedOrders[WeekIndex],3)&amp;" ("&amp;TEXT(SUMPRODUCT(MAX((T_PlannedOrders[Part Name]=$A589)*(T_PlannedOrders[WeekIndex]=3)*(T_PlannedOrders[EffectiveQty]&gt;0)*T_PlannedOrders[Order_Month])),"m月")&amp;"発注)")</f>
        <v/>
      </c>
      <c r="G649">
        <f>IF(SUMIFS(T_PlannedOrders[EffectiveQty],T_PlannedOrders[Part Name],$A589,T_PlannedOrders[WeekIndex],4)=0,"",SUMIFS(T_PlannedOrders[EffectiveQty],T_PlannedOrders[Part Name],$A589,T_PlannedOrders[WeekIndex],4)&amp;" ("&amp;TEXT(SUMPRODUCT(MAX((T_PlannedOrders[Part Name]=$A589)*(T_PlannedOrders[WeekIndex]=4)*(T_PlannedOrders[EffectiveQty]&gt;0)*T_PlannedOrders[Order_Month])),"m月")&amp;"発注)")</f>
        <v/>
      </c>
      <c r="H649">
        <f>IF(SUMIFS(T_PlannedOrders[EffectiveQty],T_PlannedOrders[Part Name],$A589,T_PlannedOrders[WeekIndex],5)=0,"",SUMIFS(T_PlannedOrders[EffectiveQty],T_PlannedOrders[Part Name],$A589,T_PlannedOrders[WeekIndex],5)&amp;" ("&amp;TEXT(SUMPRODUCT(MAX((T_PlannedOrders[Part Name]=$A589)*(T_PlannedOrders[WeekIndex]=5)*(T_PlannedOrders[EffectiveQty]&gt;0)*T_PlannedOrders[Order_Month])),"m月")&amp;"発注)")</f>
        <v/>
      </c>
      <c r="I649">
        <f>IF(SUMIFS(T_PlannedOrders[EffectiveQty],T_PlannedOrders[Part Name],$A589,T_PlannedOrders[WeekIndex],6)=0,"",SUMIFS(T_PlannedOrders[EffectiveQty],T_PlannedOrders[Part Name],$A589,T_PlannedOrders[WeekIndex],6)&amp;" ("&amp;TEXT(SUMPRODUCT(MAX((T_PlannedOrders[Part Name]=$A589)*(T_PlannedOrders[WeekIndex]=6)*(T_PlannedOrders[EffectiveQty]&gt;0)*T_PlannedOrders[Order_Month])),"m月")&amp;"発注)")</f>
        <v/>
      </c>
      <c r="J649">
        <f>IF(SUMIFS(T_PlannedOrders[EffectiveQty],T_PlannedOrders[Part Name],$A589,T_PlannedOrders[WeekIndex],7)=0,"",SUMIFS(T_PlannedOrders[EffectiveQty],T_PlannedOrders[Part Name],$A589,T_PlannedOrders[WeekIndex],7)&amp;" ("&amp;TEXT(SUMPRODUCT(MAX((T_PlannedOrders[Part Name]=$A589)*(T_PlannedOrders[WeekIndex]=7)*(T_PlannedOrders[EffectiveQty]&gt;0)*T_PlannedOrders[Order_Month])),"m月")&amp;"発注)")</f>
        <v/>
      </c>
      <c r="K649">
        <f>IF(SUMIFS(T_PlannedOrders[EffectiveQty],T_PlannedOrders[Part Name],$A589,T_PlannedOrders[WeekIndex],8)=0,"",SUMIFS(T_PlannedOrders[EffectiveQty],T_PlannedOrders[Part Name],$A589,T_PlannedOrders[WeekIndex],8)&amp;" ("&amp;TEXT(SUMPRODUCT(MAX((T_PlannedOrders[Part Name]=$A589)*(T_PlannedOrders[WeekIndex]=8)*(T_PlannedOrders[EffectiveQty]&gt;0)*T_PlannedOrders[Order_Month])),"m月")&amp;"発注)")</f>
        <v/>
      </c>
      <c r="L649">
        <f>IF(SUMIFS(T_PlannedOrders[EffectiveQty],T_PlannedOrders[Part Name],$A589,T_PlannedOrders[WeekIndex],9)=0,"",SUMIFS(T_PlannedOrders[EffectiveQty],T_PlannedOrders[Part Name],$A589,T_PlannedOrders[WeekIndex],9)&amp;" ("&amp;TEXT(SUMPRODUCT(MAX((T_PlannedOrders[Part Name]=$A589)*(T_PlannedOrders[WeekIndex]=9)*(T_PlannedOrders[EffectiveQty]&gt;0)*T_PlannedOrders[Order_Month])),"m月")&amp;"発注)")</f>
        <v/>
      </c>
      <c r="M649">
        <f>IF(SUMIFS(T_PlannedOrders[EffectiveQty],T_PlannedOrders[Part Name],$A589,T_PlannedOrders[WeekIndex],10)=0,"",SUMIFS(T_PlannedOrders[EffectiveQty],T_PlannedOrders[Part Name],$A589,T_PlannedOrders[WeekIndex],10)&amp;" ("&amp;TEXT(SUMPRODUCT(MAX((T_PlannedOrders[Part Name]=$A589)*(T_PlannedOrders[WeekIndex]=10)*(T_PlannedOrders[EffectiveQty]&gt;0)*T_PlannedOrders[Order_Month])),"m月")&amp;"発注)")</f>
        <v/>
      </c>
      <c r="N649">
        <f>IF(SUMIFS(T_PlannedOrders[EffectiveQty],T_PlannedOrders[Part Name],$A589,T_PlannedOrders[WeekIndex],11)=0,"",SUMIFS(T_PlannedOrders[EffectiveQty],T_PlannedOrders[Part Name],$A589,T_PlannedOrders[WeekIndex],11)&amp;" ("&amp;TEXT(SUMPRODUCT(MAX((T_PlannedOrders[Part Name]=$A589)*(T_PlannedOrders[WeekIndex]=11)*(T_PlannedOrders[EffectiveQty]&gt;0)*T_PlannedOrders[Order_Month])),"m月")&amp;"発注)")</f>
        <v/>
      </c>
      <c r="O649">
        <f>IF(SUMIFS(T_PlannedOrders[EffectiveQty],T_PlannedOrders[Part Name],$A589,T_PlannedOrders[WeekIndex],12)=0,"",SUMIFS(T_PlannedOrders[EffectiveQty],T_PlannedOrders[Part Name],$A589,T_PlannedOrders[WeekIndex],12)&amp;" ("&amp;TEXT(SUMPRODUCT(MAX((T_PlannedOrders[Part Name]=$A589)*(T_PlannedOrders[WeekIndex]=12)*(T_PlannedOrders[EffectiveQty]&gt;0)*T_PlannedOrders[Order_Month])),"m月")&amp;"発注)")</f>
        <v/>
      </c>
      <c r="P649">
        <f>IF(SUMIFS(T_PlannedOrders[EffectiveQty],T_PlannedOrders[Part Name],$A589,T_PlannedOrders[WeekIndex],13)=0,"",SUMIFS(T_PlannedOrders[EffectiveQty],T_PlannedOrders[Part Name],$A589,T_PlannedOrders[WeekIndex],13)&amp;" ("&amp;TEXT(SUMPRODUCT(MAX((T_PlannedOrders[Part Name]=$A589)*(T_PlannedOrders[WeekIndex]=13)*(T_PlannedOrders[EffectiveQty]&gt;0)*T_PlannedOrders[Order_Month])),"m月")&amp;"発注)")</f>
        <v/>
      </c>
      <c r="Q649">
        <f>IF(SUMIFS(T_PlannedOrders[EffectiveQty],T_PlannedOrders[Part Name],$A589,T_PlannedOrders[WeekIndex],14)=0,"",SUMIFS(T_PlannedOrders[EffectiveQty],T_PlannedOrders[Part Name],$A589,T_PlannedOrders[WeekIndex],14)&amp;" ("&amp;TEXT(SUMPRODUCT(MAX((T_PlannedOrders[Part Name]=$A589)*(T_PlannedOrders[WeekIndex]=14)*(T_PlannedOrders[EffectiveQty]&gt;0)*T_PlannedOrders[Order_Month])),"m月")&amp;"発注)")</f>
        <v/>
      </c>
      <c r="R649">
        <f>IF(SUMIFS(T_PlannedOrders[EffectiveQty],T_PlannedOrders[Part Name],$A589,T_PlannedOrders[WeekIndex],15)=0,"",SUMIFS(T_PlannedOrders[EffectiveQty],T_PlannedOrders[Part Name],$A589,T_PlannedOrders[WeekIndex],15)&amp;" ("&amp;TEXT(SUMPRODUCT(MAX((T_PlannedOrders[Part Name]=$A589)*(T_PlannedOrders[WeekIndex]=15)*(T_PlannedOrders[EffectiveQty]&gt;0)*T_PlannedOrders[Order_Month])),"m月")&amp;"発注)")</f>
        <v/>
      </c>
      <c r="S649">
        <f>IF(SUMIFS(T_PlannedOrders[EffectiveQty],T_PlannedOrders[Part Name],$A589,T_PlannedOrders[WeekIndex],16)=0,"",SUMIFS(T_PlannedOrders[EffectiveQty],T_PlannedOrders[Part Name],$A589,T_PlannedOrders[WeekIndex],16)&amp;" ("&amp;TEXT(SUMPRODUCT(MAX((T_PlannedOrders[Part Name]=$A589)*(T_PlannedOrders[WeekIndex]=16)*(T_PlannedOrders[EffectiveQty]&gt;0)*T_PlannedOrders[Order_Month])),"m月")&amp;"発注)")</f>
        <v/>
      </c>
      <c r="T649">
        <f>IF(SUMIFS(T_PlannedOrders[EffectiveQty],T_PlannedOrders[Part Name],$A589,T_PlannedOrders[WeekIndex],17)=0,"",SUMIFS(T_PlannedOrders[EffectiveQty],T_PlannedOrders[Part Name],$A589,T_PlannedOrders[WeekIndex],17)&amp;" ("&amp;TEXT(SUMPRODUCT(MAX((T_PlannedOrders[Part Name]=$A589)*(T_PlannedOrders[WeekIndex]=17)*(T_PlannedOrders[EffectiveQty]&gt;0)*T_PlannedOrders[Order_Month])),"m月")&amp;"発注)")</f>
        <v/>
      </c>
      <c r="U649">
        <f>IF(SUMIFS(T_PlannedOrders[EffectiveQty],T_PlannedOrders[Part Name],$A589,T_PlannedOrders[WeekIndex],18)=0,"",SUMIFS(T_PlannedOrders[EffectiveQty],T_PlannedOrders[Part Name],$A589,T_PlannedOrders[WeekIndex],18)&amp;" ("&amp;TEXT(SUMPRODUCT(MAX((T_PlannedOrders[Part Name]=$A589)*(T_PlannedOrders[WeekIndex]=18)*(T_PlannedOrders[EffectiveQty]&gt;0)*T_PlannedOrders[Order_Month])),"m月")&amp;"発注)")</f>
        <v/>
      </c>
      <c r="V649">
        <f>IF(SUMIFS(T_PlannedOrders[EffectiveQty],T_PlannedOrders[Part Name],$A589,T_PlannedOrders[WeekIndex],19)=0,"",SUMIFS(T_PlannedOrders[EffectiveQty],T_PlannedOrders[Part Name],$A589,T_PlannedOrders[WeekIndex],19)&amp;" ("&amp;TEXT(SUMPRODUCT(MAX((T_PlannedOrders[Part Name]=$A589)*(T_PlannedOrders[WeekIndex]=19)*(T_PlannedOrders[EffectiveQty]&gt;0)*T_PlannedOrders[Order_Month])),"m月")&amp;"発注)")</f>
        <v/>
      </c>
      <c r="W649">
        <f>IF(SUMIFS(T_PlannedOrders[EffectiveQty],T_PlannedOrders[Part Name],$A589,T_PlannedOrders[WeekIndex],20)=0,"",SUMIFS(T_PlannedOrders[EffectiveQty],T_PlannedOrders[Part Name],$A589,T_PlannedOrders[WeekIndex],20)&amp;" ("&amp;TEXT(SUMPRODUCT(MAX((T_PlannedOrders[Part Name]=$A589)*(T_PlannedOrders[WeekIndex]=20)*(T_PlannedOrders[EffectiveQty]&gt;0)*T_PlannedOrders[Order_Month])),"m月")&amp;"発注)")</f>
        <v/>
      </c>
      <c r="X649">
        <f>IF(SUMIFS(T_PlannedOrders[EffectiveQty],T_PlannedOrders[Part Name],$A589,T_PlannedOrders[WeekIndex],21)=0,"",SUMIFS(T_PlannedOrders[EffectiveQty],T_PlannedOrders[Part Name],$A589,T_PlannedOrders[WeekIndex],21)&amp;" ("&amp;TEXT(SUMPRODUCT(MAX((T_PlannedOrders[Part Name]=$A589)*(T_PlannedOrders[WeekIndex]=21)*(T_PlannedOrders[EffectiveQty]&gt;0)*T_PlannedOrders[Order_Month])),"m月")&amp;"発注)")</f>
        <v/>
      </c>
      <c r="Y649">
        <f>IF(SUMIFS(T_PlannedOrders[EffectiveQty],T_PlannedOrders[Part Name],$A589,T_PlannedOrders[WeekIndex],22)=0,"",SUMIFS(T_PlannedOrders[EffectiveQty],T_PlannedOrders[Part Name],$A589,T_PlannedOrders[WeekIndex],22)&amp;" ("&amp;TEXT(SUMPRODUCT(MAX((T_PlannedOrders[Part Name]=$A589)*(T_PlannedOrders[WeekIndex]=22)*(T_PlannedOrders[EffectiveQty]&gt;0)*T_PlannedOrders[Order_Month])),"m月")&amp;"発注)")</f>
        <v/>
      </c>
      <c r="Z649">
        <f>IF(SUMIFS(T_PlannedOrders[EffectiveQty],T_PlannedOrders[Part Name],$A589,T_PlannedOrders[WeekIndex],23)=0,"",SUMIFS(T_PlannedOrders[EffectiveQty],T_PlannedOrders[Part Name],$A589,T_PlannedOrders[WeekIndex],23)&amp;" ("&amp;TEXT(SUMPRODUCT(MAX((T_PlannedOrders[Part Name]=$A589)*(T_PlannedOrders[WeekIndex]=23)*(T_PlannedOrders[EffectiveQty]&gt;0)*T_PlannedOrders[Order_Month])),"m月")&amp;"発注)")</f>
        <v/>
      </c>
      <c r="AA649">
        <f>IF(SUMIFS(T_PlannedOrders[EffectiveQty],T_PlannedOrders[Part Name],$A589,T_PlannedOrders[WeekIndex],24)=0,"",SUMIFS(T_PlannedOrders[EffectiveQty],T_PlannedOrders[Part Name],$A589,T_PlannedOrders[WeekIndex],24)&amp;" ("&amp;TEXT(SUMPRODUCT(MAX((T_PlannedOrders[Part Name]=$A589)*(T_PlannedOrders[WeekIndex]=24)*(T_PlannedOrders[EffectiveQty]&gt;0)*T_PlannedOrders[Order_Month])),"m月")&amp;"発注)")</f>
        <v/>
      </c>
      <c r="AB649">
        <f>IF(SUMIFS(T_PlannedOrders[EffectiveQty],T_PlannedOrders[Part Name],$A589,T_PlannedOrders[WeekIndex],25)=0,"",SUMIFS(T_PlannedOrders[EffectiveQty],T_PlannedOrders[Part Name],$A589,T_PlannedOrders[WeekIndex],25)&amp;" ("&amp;TEXT(SUMPRODUCT(MAX((T_PlannedOrders[Part Name]=$A589)*(T_PlannedOrders[WeekIndex]=25)*(T_PlannedOrders[EffectiveQty]&gt;0)*T_PlannedOrders[Order_Month])),"m月")&amp;"発注)")</f>
        <v/>
      </c>
      <c r="AC649">
        <f>IF(SUMIFS(T_PlannedOrders[EffectiveQty],T_PlannedOrders[Part Name],$A589,T_PlannedOrders[WeekIndex],26)=0,"",SUMIFS(T_PlannedOrders[EffectiveQty],T_PlannedOrders[Part Name],$A589,T_PlannedOrders[WeekIndex],26)&amp;" ("&amp;TEXT(SUMPRODUCT(MAX((T_PlannedOrders[Part Name]=$A589)*(T_PlannedOrders[WeekIndex]=26)*(T_PlannedOrders[EffectiveQty]&gt;0)*T_PlannedOrders[Order_Month])),"m月")&amp;"発注)")</f>
        <v/>
      </c>
      <c r="AD649">
        <f>IF(SUMIFS(T_PlannedOrders[EffectiveQty],T_PlannedOrders[Part Name],$A589,T_PlannedOrders[WeekIndex],27)=0,"",SUMIFS(T_PlannedOrders[EffectiveQty],T_PlannedOrders[Part Name],$A589,T_PlannedOrders[WeekIndex],27)&amp;" ("&amp;TEXT(SUMPRODUCT(MAX((T_PlannedOrders[Part Name]=$A589)*(T_PlannedOrders[WeekIndex]=27)*(T_PlannedOrders[EffectiveQty]&gt;0)*T_PlannedOrders[Order_Month])),"m月")&amp;"発注)")</f>
        <v/>
      </c>
      <c r="AE649">
        <f>IF(SUMIFS(T_PlannedOrders[EffectiveQty],T_PlannedOrders[Part Name],$A589,T_PlannedOrders[WeekIndex],28)=0,"",SUMIFS(T_PlannedOrders[EffectiveQty],T_PlannedOrders[Part Name],$A589,T_PlannedOrders[WeekIndex],28)&amp;" ("&amp;TEXT(SUMPRODUCT(MAX((T_PlannedOrders[Part Name]=$A589)*(T_PlannedOrders[WeekIndex]=28)*(T_PlannedOrders[EffectiveQty]&gt;0)*T_PlannedOrders[Order_Month])),"m月")&amp;"発注)")</f>
        <v/>
      </c>
      <c r="AF649">
        <f>IF(SUMIFS(T_PlannedOrders[EffectiveQty],T_PlannedOrders[Part Name],$A589,T_PlannedOrders[WeekIndex],29)=0,"",SUMIFS(T_PlannedOrders[EffectiveQty],T_PlannedOrders[Part Name],$A589,T_PlannedOrders[WeekIndex],29)&amp;" ("&amp;TEXT(SUMPRODUCT(MAX((T_PlannedOrders[Part Name]=$A589)*(T_PlannedOrders[WeekIndex]=29)*(T_PlannedOrders[EffectiveQty]&gt;0)*T_PlannedOrders[Order_Month])),"m月")&amp;"発注)")</f>
        <v/>
      </c>
      <c r="AG649">
        <f>IF(SUMIFS(T_PlannedOrders[EffectiveQty],T_PlannedOrders[Part Name],$A589,T_PlannedOrders[WeekIndex],30)=0,"",SUMIFS(T_PlannedOrders[EffectiveQty],T_PlannedOrders[Part Name],$A589,T_PlannedOrders[WeekIndex],30)&amp;" ("&amp;TEXT(SUMPRODUCT(MAX((T_PlannedOrders[Part Name]=$A589)*(T_PlannedOrders[WeekIndex]=30)*(T_PlannedOrders[EffectiveQty]&gt;0)*T_PlannedOrders[Order_Month])),"m月")&amp;"発注)")</f>
        <v/>
      </c>
      <c r="AH649">
        <f>IF(SUMIFS(T_PlannedOrders[EffectiveQty],T_PlannedOrders[Part Name],$A589,T_PlannedOrders[WeekIndex],31)=0,"",SUMIFS(T_PlannedOrders[EffectiveQty],T_PlannedOrders[Part Name],$A589,T_PlannedOrders[WeekIndex],31)&amp;" ("&amp;TEXT(SUMPRODUCT(MAX((T_PlannedOrders[Part Name]=$A589)*(T_PlannedOrders[WeekIndex]=31)*(T_PlannedOrders[EffectiveQty]&gt;0)*T_PlannedOrders[Order_Month])),"m月")&amp;"発注)")</f>
        <v/>
      </c>
      <c r="AI649">
        <f>IF(SUMIFS(T_PlannedOrders[EffectiveQty],T_PlannedOrders[Part Name],$A589,T_PlannedOrders[WeekIndex],32)=0,"",SUMIFS(T_PlannedOrders[EffectiveQty],T_PlannedOrders[Part Name],$A589,T_PlannedOrders[WeekIndex],32)&amp;" ("&amp;TEXT(SUMPRODUCT(MAX((T_PlannedOrders[Part Name]=$A589)*(T_PlannedOrders[WeekIndex]=32)*(T_PlannedOrders[EffectiveQty]&gt;0)*T_PlannedOrders[Order_Month])),"m月")&amp;"発注)")</f>
        <v/>
      </c>
      <c r="AJ649">
        <f>IF(SUMIFS(T_PlannedOrders[EffectiveQty],T_PlannedOrders[Part Name],$A589,T_PlannedOrders[WeekIndex],33)=0,"",SUMIFS(T_PlannedOrders[EffectiveQty],T_PlannedOrders[Part Name],$A589,T_PlannedOrders[WeekIndex],33)&amp;" ("&amp;TEXT(SUMPRODUCT(MAX((T_PlannedOrders[Part Name]=$A589)*(T_PlannedOrders[WeekIndex]=33)*(T_PlannedOrders[EffectiveQty]&gt;0)*T_PlannedOrders[Order_Month])),"m月")&amp;"発注)")</f>
        <v/>
      </c>
      <c r="AK649">
        <f>IF(SUMIFS(T_PlannedOrders[EffectiveQty],T_PlannedOrders[Part Name],$A589,T_PlannedOrders[WeekIndex],34)=0,"",SUMIFS(T_PlannedOrders[EffectiveQty],T_PlannedOrders[Part Name],$A589,T_PlannedOrders[WeekIndex],34)&amp;" ("&amp;TEXT(SUMPRODUCT(MAX((T_PlannedOrders[Part Name]=$A589)*(T_PlannedOrders[WeekIndex]=34)*(T_PlannedOrders[EffectiveQty]&gt;0)*T_PlannedOrders[Order_Month])),"m月")&amp;"発注)")</f>
        <v/>
      </c>
      <c r="AL649">
        <f>IF(SUMIFS(T_PlannedOrders[EffectiveQty],T_PlannedOrders[Part Name],$A589,T_PlannedOrders[WeekIndex],35)=0,"",SUMIFS(T_PlannedOrders[EffectiveQty],T_PlannedOrders[Part Name],$A589,T_PlannedOrders[WeekIndex],35)&amp;" ("&amp;TEXT(SUMPRODUCT(MAX((T_PlannedOrders[Part Name]=$A589)*(T_PlannedOrders[WeekIndex]=35)*(T_PlannedOrders[EffectiveQty]&gt;0)*T_PlannedOrders[Order_Month])),"m月")&amp;"発注)")</f>
        <v/>
      </c>
      <c r="AM649">
        <f>IF(SUMIFS(T_PlannedOrders[EffectiveQty],T_PlannedOrders[Part Name],$A589,T_PlannedOrders[WeekIndex],36)=0,"",SUMIFS(T_PlannedOrders[EffectiveQty],T_PlannedOrders[Part Name],$A589,T_PlannedOrders[WeekIndex],36)&amp;" ("&amp;TEXT(SUMPRODUCT(MAX((T_PlannedOrders[Part Name]=$A589)*(T_PlannedOrders[WeekIndex]=36)*(T_PlannedOrders[EffectiveQty]&gt;0)*T_PlannedOrders[Order_Month])),"m月")&amp;"発注)")</f>
        <v/>
      </c>
      <c r="AN649">
        <f>IF(SUMIFS(T_PlannedOrders[EffectiveQty],T_PlannedOrders[Part Name],$A589,T_PlannedOrders[WeekIndex],37)=0,"",SUMIFS(T_PlannedOrders[EffectiveQty],T_PlannedOrders[Part Name],$A589,T_PlannedOrders[WeekIndex],37)&amp;" ("&amp;TEXT(SUMPRODUCT(MAX((T_PlannedOrders[Part Name]=$A589)*(T_PlannedOrders[WeekIndex]=37)*(T_PlannedOrders[EffectiveQty]&gt;0)*T_PlannedOrders[Order_Month])),"m月")&amp;"発注)")</f>
        <v/>
      </c>
      <c r="AO649">
        <f>IF(SUMIFS(T_PlannedOrders[EffectiveQty],T_PlannedOrders[Part Name],$A589,T_PlannedOrders[WeekIndex],38)=0,"",SUMIFS(T_PlannedOrders[EffectiveQty],T_PlannedOrders[Part Name],$A589,T_PlannedOrders[WeekIndex],38)&amp;" ("&amp;TEXT(SUMPRODUCT(MAX((T_PlannedOrders[Part Name]=$A589)*(T_PlannedOrders[WeekIndex]=38)*(T_PlannedOrders[EffectiveQty]&gt;0)*T_PlannedOrders[Order_Month])),"m月")&amp;"発注)")</f>
        <v/>
      </c>
      <c r="AP649">
        <f>IF(SUMIFS(T_PlannedOrders[EffectiveQty],T_PlannedOrders[Part Name],$A589,T_PlannedOrders[WeekIndex],39)=0,"",SUMIFS(T_PlannedOrders[EffectiveQty],T_PlannedOrders[Part Name],$A589,T_PlannedOrders[WeekIndex],39)&amp;" ("&amp;TEXT(SUMPRODUCT(MAX((T_PlannedOrders[Part Name]=$A589)*(T_PlannedOrders[WeekIndex]=39)*(T_PlannedOrders[EffectiveQty]&gt;0)*T_PlannedOrders[Order_Month])),"m月")&amp;"発注)")</f>
        <v/>
      </c>
      <c r="AQ649">
        <f>IF(SUMIFS(T_PlannedOrders[EffectiveQty],T_PlannedOrders[Part Name],$A589,T_PlannedOrders[WeekIndex],40)=0,"",SUMIFS(T_PlannedOrders[EffectiveQty],T_PlannedOrders[Part Name],$A589,T_PlannedOrders[WeekIndex],40)&amp;" ("&amp;TEXT(SUMPRODUCT(MAX((T_PlannedOrders[Part Name]=$A589)*(T_PlannedOrders[WeekIndex]=40)*(T_PlannedOrders[EffectiveQty]&gt;0)*T_PlannedOrders[Order_Month])),"m月")&amp;"発注)")</f>
        <v/>
      </c>
      <c r="AR649">
        <f>IF(SUMIFS(T_PlannedOrders[EffectiveQty],T_PlannedOrders[Part Name],$A589,T_PlannedOrders[WeekIndex],41)=0,"",SUMIFS(T_PlannedOrders[EffectiveQty],T_PlannedOrders[Part Name],$A589,T_PlannedOrders[WeekIndex],41)&amp;" ("&amp;TEXT(SUMPRODUCT(MAX((T_PlannedOrders[Part Name]=$A589)*(T_PlannedOrders[WeekIndex]=41)*(T_PlannedOrders[EffectiveQty]&gt;0)*T_PlannedOrders[Order_Month])),"m月")&amp;"発注)")</f>
        <v/>
      </c>
      <c r="AS649">
        <f>IF(SUMIFS(T_PlannedOrders[EffectiveQty],T_PlannedOrders[Part Name],$A589,T_PlannedOrders[WeekIndex],42)=0,"",SUMIFS(T_PlannedOrders[EffectiveQty],T_PlannedOrders[Part Name],$A589,T_PlannedOrders[WeekIndex],42)&amp;" ("&amp;TEXT(SUMPRODUCT(MAX((T_PlannedOrders[Part Name]=$A589)*(T_PlannedOrders[WeekIndex]=42)*(T_PlannedOrders[EffectiveQty]&gt;0)*T_PlannedOrders[Order_Month])),"m月")&amp;"発注)")</f>
        <v/>
      </c>
      <c r="AT649">
        <f>IF(SUMIFS(T_PlannedOrders[EffectiveQty],T_PlannedOrders[Part Name],$A589,T_PlannedOrders[WeekIndex],43)=0,"",SUMIFS(T_PlannedOrders[EffectiveQty],T_PlannedOrders[Part Name],$A589,T_PlannedOrders[WeekIndex],43)&amp;" ("&amp;TEXT(SUMPRODUCT(MAX((T_PlannedOrders[Part Name]=$A589)*(T_PlannedOrders[WeekIndex]=43)*(T_PlannedOrders[EffectiveQty]&gt;0)*T_PlannedOrders[Order_Month])),"m月")&amp;"発注)")</f>
        <v/>
      </c>
      <c r="AU649">
        <f>IF(SUMIFS(T_PlannedOrders[EffectiveQty],T_PlannedOrders[Part Name],$A589,T_PlannedOrders[WeekIndex],44)=0,"",SUMIFS(T_PlannedOrders[EffectiveQty],T_PlannedOrders[Part Name],$A589,T_PlannedOrders[WeekIndex],44)&amp;" ("&amp;TEXT(SUMPRODUCT(MAX((T_PlannedOrders[Part Name]=$A589)*(T_PlannedOrders[WeekIndex]=44)*(T_PlannedOrders[EffectiveQty]&gt;0)*T_PlannedOrders[Order_Month])),"m月")&amp;"発注)")</f>
        <v/>
      </c>
      <c r="AV649">
        <f>IF(SUMIFS(T_PlannedOrders[EffectiveQty],T_PlannedOrders[Part Name],$A589,T_PlannedOrders[WeekIndex],45)=0,"",SUMIFS(T_PlannedOrders[EffectiveQty],T_PlannedOrders[Part Name],$A589,T_PlannedOrders[WeekIndex],45)&amp;" ("&amp;TEXT(SUMPRODUCT(MAX((T_PlannedOrders[Part Name]=$A589)*(T_PlannedOrders[WeekIndex]=45)*(T_PlannedOrders[EffectiveQty]&gt;0)*T_PlannedOrders[Order_Month])),"m月")&amp;"発注)")</f>
        <v/>
      </c>
      <c r="AW649">
        <f>IF(SUMIFS(T_PlannedOrders[EffectiveQty],T_PlannedOrders[Part Name],$A589,T_PlannedOrders[WeekIndex],46)=0,"",SUMIFS(T_PlannedOrders[EffectiveQty],T_PlannedOrders[Part Name],$A589,T_PlannedOrders[WeekIndex],46)&amp;" ("&amp;TEXT(SUMPRODUCT(MAX((T_PlannedOrders[Part Name]=$A589)*(T_PlannedOrders[WeekIndex]=46)*(T_PlannedOrders[EffectiveQty]&gt;0)*T_PlannedOrders[Order_Month])),"m月")&amp;"発注)")</f>
        <v/>
      </c>
      <c r="AX649">
        <f>IF(SUMIFS(T_PlannedOrders[EffectiveQty],T_PlannedOrders[Part Name],$A589,T_PlannedOrders[WeekIndex],47)=0,"",SUMIFS(T_PlannedOrders[EffectiveQty],T_PlannedOrders[Part Name],$A589,T_PlannedOrders[WeekIndex],47)&amp;" ("&amp;TEXT(SUMPRODUCT(MAX((T_PlannedOrders[Part Name]=$A589)*(T_PlannedOrders[WeekIndex]=47)*(T_PlannedOrders[EffectiveQty]&gt;0)*T_PlannedOrders[Order_Month])),"m月")&amp;"発注)")</f>
        <v/>
      </c>
      <c r="AY649">
        <f>IF(SUMIFS(T_PlannedOrders[EffectiveQty],T_PlannedOrders[Part Name],$A589,T_PlannedOrders[WeekIndex],48)=0,"",SUMIFS(T_PlannedOrders[EffectiveQty],T_PlannedOrders[Part Name],$A589,T_PlannedOrders[WeekIndex],48)&amp;" ("&amp;TEXT(SUMPRODUCT(MAX((T_PlannedOrders[Part Name]=$A589)*(T_PlannedOrders[WeekIndex]=48)*(T_PlannedOrders[EffectiveQty]&gt;0)*T_PlannedOrders[Order_Month])),"m月")&amp;"発注)")</f>
        <v/>
      </c>
      <c r="AZ649">
        <f>IF(SUMIFS(T_PlannedOrders[EffectiveQty],T_PlannedOrders[Part Name],$A589,T_PlannedOrders[WeekIndex],49)=0,"",SUMIFS(T_PlannedOrders[EffectiveQty],T_PlannedOrders[Part Name],$A589,T_PlannedOrders[WeekIndex],49)&amp;" ("&amp;TEXT(SUMPRODUCT(MAX((T_PlannedOrders[Part Name]=$A589)*(T_PlannedOrders[WeekIndex]=49)*(T_PlannedOrders[EffectiveQty]&gt;0)*T_PlannedOrders[Order_Month])),"m月")&amp;"発注)")</f>
        <v/>
      </c>
      <c r="BA649">
        <f>IF(SUMIFS(T_PlannedOrders[EffectiveQty],T_PlannedOrders[Part Name],$A589,T_PlannedOrders[WeekIndex],50)=0,"",SUMIFS(T_PlannedOrders[EffectiveQty],T_PlannedOrders[Part Name],$A589,T_PlannedOrders[WeekIndex],50)&amp;" ("&amp;TEXT(SUMPRODUCT(MAX((T_PlannedOrders[Part Name]=$A589)*(T_PlannedOrders[WeekIndex]=50)*(T_PlannedOrders[EffectiveQty]&gt;0)*T_PlannedOrders[Order_Month])),"m月")&amp;"発注)")</f>
        <v/>
      </c>
      <c r="BB649">
        <f>IF(SUMIFS(T_PlannedOrders[EffectiveQty],T_PlannedOrders[Part Name],$A589,T_PlannedOrders[WeekIndex],51)=0,"",SUMIFS(T_PlannedOrders[EffectiveQty],T_PlannedOrders[Part Name],$A589,T_PlannedOrders[WeekIndex],51)&amp;" ("&amp;TEXT(SUMPRODUCT(MAX((T_PlannedOrders[Part Name]=$A589)*(T_PlannedOrders[WeekIndex]=51)*(T_PlannedOrders[EffectiveQty]&gt;0)*T_PlannedOrders[Order_Month])),"m月")&amp;"発注)")</f>
        <v/>
      </c>
      <c r="BC649">
        <f>IF(SUMIFS(T_PlannedOrders[EffectiveQty],T_PlannedOrders[Part Name],$A589,T_PlannedOrders[WeekIndex],52)=0,"",SUMIFS(T_PlannedOrders[EffectiveQty],T_PlannedOrders[Part Name],$A589,T_PlannedOrders[WeekIndex],52)&amp;" ("&amp;TEXT(SUMPRODUCT(MAX((T_PlannedOrders[Part Name]=$A589)*(T_PlannedOrders[WeekIndex]=52)*(T_PlannedOrders[EffectiveQty]&gt;0)*T_PlannedOrders[Order_Month])),"m月")&amp;"発注)")</f>
        <v/>
      </c>
      <c r="BD649">
        <f>IF(SUMIFS(T_PlannedOrders[EffectiveQty],T_PlannedOrders[Part Name],$A589,T_PlannedOrders[WeekIndex],53)=0,"",SUMIFS(T_PlannedOrders[EffectiveQty],T_PlannedOrders[Part Name],$A589,T_PlannedOrders[WeekIndex],53)&amp;" ("&amp;TEXT(SUMPRODUCT(MAX((T_PlannedOrders[Part Name]=$A589)*(T_PlannedOrders[WeekIndex]=53)*(T_PlannedOrders[EffectiveQty]&gt;0)*T_PlannedOrders[Order_Month])),"m月")&amp;"発注)")</f>
        <v/>
      </c>
      <c r="BE649">
        <f>IF(SUMIFS(T_PlannedOrders[EffectiveQty],T_PlannedOrders[Part Name],$A589,T_PlannedOrders[WeekIndex],54)=0,"",SUMIFS(T_PlannedOrders[EffectiveQty],T_PlannedOrders[Part Name],$A589,T_PlannedOrders[WeekIndex],54)&amp;" ("&amp;TEXT(SUMPRODUCT(MAX((T_PlannedOrders[Part Name]=$A589)*(T_PlannedOrders[WeekIndex]=54)*(T_PlannedOrders[EffectiveQty]&gt;0)*T_PlannedOrders[Order_Month])),"m月")&amp;"発注)")</f>
        <v/>
      </c>
      <c r="BF649">
        <f>IF(SUMIFS(T_PlannedOrders[EffectiveQty],T_PlannedOrders[Part Name],$A589,T_PlannedOrders[WeekIndex],55)=0,"",SUMIFS(T_PlannedOrders[EffectiveQty],T_PlannedOrders[Part Name],$A589,T_PlannedOrders[WeekIndex],55)&amp;" ("&amp;TEXT(SUMPRODUCT(MAX((T_PlannedOrders[Part Name]=$A589)*(T_PlannedOrders[WeekIndex]=55)*(T_PlannedOrders[EffectiveQty]&gt;0)*T_PlannedOrders[Order_Month])),"m月")&amp;"発注)")</f>
        <v/>
      </c>
      <c r="BG649">
        <f>IF(SUMIFS(T_PlannedOrders[EffectiveQty],T_PlannedOrders[Part Name],$A589,T_PlannedOrders[WeekIndex],56)=0,"",SUMIFS(T_PlannedOrders[EffectiveQty],T_PlannedOrders[Part Name],$A589,T_PlannedOrders[WeekIndex],56)&amp;" ("&amp;TEXT(SUMPRODUCT(MAX((T_PlannedOrders[Part Name]=$A589)*(T_PlannedOrders[WeekIndex]=56)*(T_PlannedOrders[EffectiveQty]&gt;0)*T_PlannedOrders[Order_Month])),"m月")&amp;"発注)")</f>
        <v/>
      </c>
      <c r="BH649">
        <f>IF(SUMIFS(T_PlannedOrders[EffectiveQty],T_PlannedOrders[Part Name],$A589,T_PlannedOrders[WeekIndex],57)=0,"",SUMIFS(T_PlannedOrders[EffectiveQty],T_PlannedOrders[Part Name],$A589,T_PlannedOrders[WeekIndex],57)&amp;" ("&amp;TEXT(SUMPRODUCT(MAX((T_PlannedOrders[Part Name]=$A589)*(T_PlannedOrders[WeekIndex]=57)*(T_PlannedOrders[EffectiveQty]&gt;0)*T_PlannedOrders[Order_Month])),"m月")&amp;"発注)")</f>
        <v/>
      </c>
      <c r="BI649">
        <f>IF(SUMIFS(T_PlannedOrders[EffectiveQty],T_PlannedOrders[Part Name],$A589,T_PlannedOrders[WeekIndex],58)=0,"",SUMIFS(T_PlannedOrders[EffectiveQty],T_PlannedOrders[Part Name],$A589,T_PlannedOrders[WeekIndex],58)&amp;" ("&amp;TEXT(SUMPRODUCT(MAX((T_PlannedOrders[Part Name]=$A589)*(T_PlannedOrders[WeekIndex]=58)*(T_PlannedOrders[EffectiveQty]&gt;0)*T_PlannedOrders[Order_Month])),"m月")&amp;"発注)")</f>
        <v/>
      </c>
      <c r="BJ649">
        <f>IF(SUMIFS(T_PlannedOrders[EffectiveQty],T_PlannedOrders[Part Name],$A589,T_PlannedOrders[WeekIndex],59)=0,"",SUMIFS(T_PlannedOrders[EffectiveQty],T_PlannedOrders[Part Name],$A589,T_PlannedOrders[WeekIndex],59)&amp;" ("&amp;TEXT(SUMPRODUCT(MAX((T_PlannedOrders[Part Name]=$A589)*(T_PlannedOrders[WeekIndex]=59)*(T_PlannedOrders[EffectiveQty]&gt;0)*T_PlannedOrders[Order_Month])),"m月")&amp;"発注)")</f>
        <v/>
      </c>
      <c r="BK649">
        <f>IF(SUMIFS(T_PlannedOrders[EffectiveQty],T_PlannedOrders[Part Name],$A589,T_PlannedOrders[WeekIndex],60)=0,"",SUMIFS(T_PlannedOrders[EffectiveQty],T_PlannedOrders[Part Name],$A589,T_PlannedOrders[WeekIndex],60)&amp;" ("&amp;TEXT(SUMPRODUCT(MAX((T_PlannedOrders[Part Name]=$A589)*(T_PlannedOrders[WeekIndex]=60)*(T_PlannedOrders[EffectiveQty]&gt;0)*T_PlannedOrders[Order_Month])),"m月")&amp;"発注)")</f>
        <v/>
      </c>
      <c r="BL649">
        <f>IF(SUMIFS(T_PlannedOrders[EffectiveQty],T_PlannedOrders[Part Name],$A589,T_PlannedOrders[WeekIndex],61)=0,"",SUMIFS(T_PlannedOrders[EffectiveQty],T_PlannedOrders[Part Name],$A589,T_PlannedOrders[WeekIndex],61)&amp;" ("&amp;TEXT(SUMPRODUCT(MAX((T_PlannedOrders[Part Name]=$A589)*(T_PlannedOrders[WeekIndex]=61)*(T_PlannedOrders[EffectiveQty]&gt;0)*T_PlannedOrders[Order_Month])),"m月")&amp;"発注)")</f>
        <v/>
      </c>
      <c r="BM649">
        <f>IF(SUMIFS(T_PlannedOrders[EffectiveQty],T_PlannedOrders[Part Name],$A589,T_PlannedOrders[WeekIndex],62)=0,"",SUMIFS(T_PlannedOrders[EffectiveQty],T_PlannedOrders[Part Name],$A589,T_PlannedOrders[WeekIndex],62)&amp;" ("&amp;TEXT(SUMPRODUCT(MAX((T_PlannedOrders[Part Name]=$A589)*(T_PlannedOrders[WeekIndex]=62)*(T_PlannedOrders[EffectiveQty]&gt;0)*T_PlannedOrders[Order_Month])),"m月")&amp;"発注)")</f>
        <v/>
      </c>
      <c r="BN649">
        <f>IF(SUMIFS(T_PlannedOrders[EffectiveQty],T_PlannedOrders[Part Name],$A589,T_PlannedOrders[WeekIndex],63)=0,"",SUMIFS(T_PlannedOrders[EffectiveQty],T_PlannedOrders[Part Name],$A589,T_PlannedOrders[WeekIndex],63)&amp;" ("&amp;TEXT(SUMPRODUCT(MAX((T_PlannedOrders[Part Name]=$A589)*(T_PlannedOrders[WeekIndex]=63)*(T_PlannedOrders[EffectiveQty]&gt;0)*T_PlannedOrders[Order_Month])),"m月")&amp;"発注)")</f>
        <v/>
      </c>
      <c r="BO649">
        <f>IF(SUMIFS(T_PlannedOrders[EffectiveQty],T_PlannedOrders[Part Name],$A589,T_PlannedOrders[WeekIndex],64)=0,"",SUMIFS(T_PlannedOrders[EffectiveQty],T_PlannedOrders[Part Name],$A589,T_PlannedOrders[WeekIndex],64)&amp;" ("&amp;TEXT(SUMPRODUCT(MAX((T_PlannedOrders[Part Name]=$A589)*(T_PlannedOrders[WeekIndex]=64)*(T_PlannedOrders[EffectiveQty]&gt;0)*T_PlannedOrders[Order_Month])),"m月")&amp;"発注)")</f>
        <v/>
      </c>
      <c r="BP649">
        <f>IF(SUMIFS(T_PlannedOrders[EffectiveQty],T_PlannedOrders[Part Name],$A589,T_PlannedOrders[WeekIndex],65)=0,"",SUMIFS(T_PlannedOrders[EffectiveQty],T_PlannedOrders[Part Name],$A589,T_PlannedOrders[WeekIndex],65)&amp;" ("&amp;TEXT(SUMPRODUCT(MAX((T_PlannedOrders[Part Name]=$A589)*(T_PlannedOrders[WeekIndex]=65)*(T_PlannedOrders[EffectiveQty]&gt;0)*T_PlannedOrders[Order_Month])),"m月")&amp;"発注)")</f>
        <v/>
      </c>
      <c r="BQ649">
        <f>IF(SUMIFS(T_PlannedOrders[EffectiveQty],T_PlannedOrders[Part Name],$A589,T_PlannedOrders[WeekIndex],66)=0,"",SUMIFS(T_PlannedOrders[EffectiveQty],T_PlannedOrders[Part Name],$A589,T_PlannedOrders[WeekIndex],66)&amp;" ("&amp;TEXT(SUMPRODUCT(MAX((T_PlannedOrders[Part Name]=$A589)*(T_PlannedOrders[WeekIndex]=66)*(T_PlannedOrders[EffectiveQty]&gt;0)*T_PlannedOrders[Order_Month])),"m月")&amp;"発注)")</f>
        <v/>
      </c>
      <c r="BR649">
        <f>IF(SUMIFS(T_PlannedOrders[EffectiveQty],T_PlannedOrders[Part Name],$A589,T_PlannedOrders[WeekIndex],67)=0,"",SUMIFS(T_PlannedOrders[EffectiveQty],T_PlannedOrders[Part Name],$A589,T_PlannedOrders[WeekIndex],67)&amp;" ("&amp;TEXT(SUMPRODUCT(MAX((T_PlannedOrders[Part Name]=$A589)*(T_PlannedOrders[WeekIndex]=67)*(T_PlannedOrders[EffectiveQty]&gt;0)*T_PlannedOrders[Order_Month])),"m月")&amp;"発注)")</f>
        <v/>
      </c>
      <c r="BS649">
        <f>IF(SUMIFS(T_PlannedOrders[EffectiveQty],T_PlannedOrders[Part Name],$A589,T_PlannedOrders[WeekIndex],68)=0,"",SUMIFS(T_PlannedOrders[EffectiveQty],T_PlannedOrders[Part Name],$A589,T_PlannedOrders[WeekIndex],68)&amp;" ("&amp;TEXT(SUMPRODUCT(MAX((T_PlannedOrders[Part Name]=$A589)*(T_PlannedOrders[WeekIndex]=68)*(T_PlannedOrders[EffectiveQty]&gt;0)*T_PlannedOrders[Order_Month])),"m月")&amp;"発注)")</f>
        <v/>
      </c>
      <c r="BT649">
        <f>IF(SUMIFS(T_PlannedOrders[EffectiveQty],T_PlannedOrders[Part Name],$A589,T_PlannedOrders[WeekIndex],69)=0,"",SUMIFS(T_PlannedOrders[EffectiveQty],T_PlannedOrders[Part Name],$A589,T_PlannedOrders[WeekIndex],69)&amp;" ("&amp;TEXT(SUMPRODUCT(MAX((T_PlannedOrders[Part Name]=$A589)*(T_PlannedOrders[WeekIndex]=69)*(T_PlannedOrders[EffectiveQty]&gt;0)*T_PlannedOrders[Order_Month])),"m月")&amp;"発注)")</f>
        <v/>
      </c>
      <c r="BU649">
        <f>IF(SUMIFS(T_PlannedOrders[EffectiveQty],T_PlannedOrders[Part Name],$A589,T_PlannedOrders[WeekIndex],70)=0,"",SUMIFS(T_PlannedOrders[EffectiveQty],T_PlannedOrders[Part Name],$A589,T_PlannedOrders[WeekIndex],70)&amp;" ("&amp;TEXT(SUMPRODUCT(MAX((T_PlannedOrders[Part Name]=$A589)*(T_PlannedOrders[WeekIndex]=70)*(T_PlannedOrders[EffectiveQty]&gt;0)*T_PlannedOrders[Order_Month])),"m月")&amp;"発注)")</f>
        <v/>
      </c>
      <c r="BV649">
        <f>IF(SUMIFS(T_PlannedOrders[EffectiveQty],T_PlannedOrders[Part Name],$A589,T_PlannedOrders[WeekIndex],71)=0,"",SUMIFS(T_PlannedOrders[EffectiveQty],T_PlannedOrders[Part Name],$A589,T_PlannedOrders[WeekIndex],71)&amp;" ("&amp;TEXT(SUMPRODUCT(MAX((T_PlannedOrders[Part Name]=$A589)*(T_PlannedOrders[WeekIndex]=71)*(T_PlannedOrders[EffectiveQty]&gt;0)*T_PlannedOrders[Order_Month])),"m月")&amp;"発注)")</f>
        <v/>
      </c>
      <c r="BW649">
        <f>IF(SUMIFS(T_PlannedOrders[EffectiveQty],T_PlannedOrders[Part Name],$A589,T_PlannedOrders[WeekIndex],72)=0,"",SUMIFS(T_PlannedOrders[EffectiveQty],T_PlannedOrders[Part Name],$A589,T_PlannedOrders[WeekIndex],72)&amp;" ("&amp;TEXT(SUMPRODUCT(MAX((T_PlannedOrders[Part Name]=$A589)*(T_PlannedOrders[WeekIndex]=72)*(T_PlannedOrders[EffectiveQty]&gt;0)*T_PlannedOrders[Order_Month])),"m月")&amp;"発注)")</f>
        <v/>
      </c>
      <c r="BX649">
        <f>IF(SUMIFS(T_PlannedOrders[EffectiveQty],T_PlannedOrders[Part Name],$A589,T_PlannedOrders[WeekIndex],73)=0,"",SUMIFS(T_PlannedOrders[EffectiveQty],T_PlannedOrders[Part Name],$A589,T_PlannedOrders[WeekIndex],73)&amp;" ("&amp;TEXT(SUMPRODUCT(MAX((T_PlannedOrders[Part Name]=$A589)*(T_PlannedOrders[WeekIndex]=73)*(T_PlannedOrders[EffectiveQty]&gt;0)*T_PlannedOrders[Order_Month])),"m月")&amp;"発注)")</f>
        <v/>
      </c>
      <c r="BY649">
        <f>IF(SUMIFS(T_PlannedOrders[EffectiveQty],T_PlannedOrders[Part Name],$A589,T_PlannedOrders[WeekIndex],74)=0,"",SUMIFS(T_PlannedOrders[EffectiveQty],T_PlannedOrders[Part Name],$A589,T_PlannedOrders[WeekIndex],74)&amp;" ("&amp;TEXT(SUMPRODUCT(MAX((T_PlannedOrders[Part Name]=$A589)*(T_PlannedOrders[WeekIndex]=74)*(T_PlannedOrders[EffectiveQty]&gt;0)*T_PlannedOrders[Order_Month])),"m月")&amp;"発注)")</f>
        <v/>
      </c>
      <c r="BZ649">
        <f>IF(SUMIFS(T_PlannedOrders[EffectiveQty],T_PlannedOrders[Part Name],$A589,T_PlannedOrders[WeekIndex],75)=0,"",SUMIFS(T_PlannedOrders[EffectiveQty],T_PlannedOrders[Part Name],$A589,T_PlannedOrders[WeekIndex],75)&amp;" ("&amp;TEXT(SUMPRODUCT(MAX((T_PlannedOrders[Part Name]=$A589)*(T_PlannedOrders[WeekIndex]=75)*(T_PlannedOrders[EffectiveQty]&gt;0)*T_PlannedOrders[Order_Month])),"m月")&amp;"発注)")</f>
        <v/>
      </c>
      <c r="CA649">
        <f>IF(SUMIFS(T_PlannedOrders[EffectiveQty],T_PlannedOrders[Part Name],$A589,T_PlannedOrders[WeekIndex],76)=0,"",SUMIFS(T_PlannedOrders[EffectiveQty],T_PlannedOrders[Part Name],$A589,T_PlannedOrders[WeekIndex],76)&amp;" ("&amp;TEXT(SUMPRODUCT(MAX((T_PlannedOrders[Part Name]=$A589)*(T_PlannedOrders[WeekIndex]=76)*(T_PlannedOrders[EffectiveQty]&gt;0)*T_PlannedOrders[Order_Month])),"m月")&amp;"発注)")</f>
        <v/>
      </c>
      <c r="CB649">
        <f>IF(SUMIFS(T_PlannedOrders[EffectiveQty],T_PlannedOrders[Part Name],$A589,T_PlannedOrders[WeekIndex],77)=0,"",SUMIFS(T_PlannedOrders[EffectiveQty],T_PlannedOrders[Part Name],$A589,T_PlannedOrders[WeekIndex],77)&amp;" ("&amp;TEXT(SUMPRODUCT(MAX((T_PlannedOrders[Part Name]=$A589)*(T_PlannedOrders[WeekIndex]=77)*(T_PlannedOrders[EffectiveQty]&gt;0)*T_PlannedOrders[Order_Month])),"m月")&amp;"発注)")</f>
        <v/>
      </c>
      <c r="CC649">
        <f>IF(SUMIFS(T_PlannedOrders[EffectiveQty],T_PlannedOrders[Part Name],$A589,T_PlannedOrders[WeekIndex],78)=0,"",SUMIFS(T_PlannedOrders[EffectiveQty],T_PlannedOrders[Part Name],$A589,T_PlannedOrders[WeekIndex],78)&amp;" ("&amp;TEXT(SUMPRODUCT(MAX((T_PlannedOrders[Part Name]=$A589)*(T_PlannedOrders[WeekIndex]=78)*(T_PlannedOrders[EffectiveQty]&gt;0)*T_PlannedOrders[Order_Month])),"m月")&amp;"発注)")</f>
        <v/>
      </c>
      <c r="CD649">
        <f>IF(SUMIFS(T_PlannedOrders[EffectiveQty],T_PlannedOrders[Part Name],$A589,T_PlannedOrders[WeekIndex],79)=0,"",SUMIFS(T_PlannedOrders[EffectiveQty],T_PlannedOrders[Part Name],$A589,T_PlannedOrders[WeekIndex],79)&amp;" ("&amp;TEXT(SUMPRODUCT(MAX((T_PlannedOrders[Part Name]=$A589)*(T_PlannedOrders[WeekIndex]=79)*(T_PlannedOrders[EffectiveQty]&gt;0)*T_PlannedOrders[Order_Month])),"m月")&amp;"発注)")</f>
        <v/>
      </c>
      <c r="CE649">
        <f>IF(SUMIFS(T_PlannedOrders[EffectiveQty],T_PlannedOrders[Part Name],$A589,T_PlannedOrders[WeekIndex],80)=0,"",SUMIFS(T_PlannedOrders[EffectiveQty],T_PlannedOrders[Part Name],$A589,T_PlannedOrders[WeekIndex],80)&amp;" ("&amp;TEXT(SUMPRODUCT(MAX((T_PlannedOrders[Part Name]=$A589)*(T_PlannedOrders[WeekIndex]=80)*(T_PlannedOrders[EffectiveQty]&gt;0)*T_PlannedOrders[Order_Month])),"m月")&amp;"発注)")</f>
        <v/>
      </c>
      <c r="CF649">
        <f>IF(SUMIFS(T_PlannedOrders[EffectiveQty],T_PlannedOrders[Part Name],$A589,T_PlannedOrders[WeekIndex],81)=0,"",SUMIFS(T_PlannedOrders[EffectiveQty],T_PlannedOrders[Part Name],$A589,T_PlannedOrders[WeekIndex],81)&amp;" ("&amp;TEXT(SUMPRODUCT(MAX((T_PlannedOrders[Part Name]=$A589)*(T_PlannedOrders[WeekIndex]=81)*(T_PlannedOrders[EffectiveQty]&gt;0)*T_PlannedOrders[Order_Month])),"m月")&amp;"発注)")</f>
        <v/>
      </c>
      <c r="CG649">
        <f>IF(SUMIFS(T_PlannedOrders[EffectiveQty],T_PlannedOrders[Part Name],$A589,T_PlannedOrders[WeekIndex],82)=0,"",SUMIFS(T_PlannedOrders[EffectiveQty],T_PlannedOrders[Part Name],$A589,T_PlannedOrders[WeekIndex],82)&amp;" ("&amp;TEXT(SUMPRODUCT(MAX((T_PlannedOrders[Part Name]=$A589)*(T_PlannedOrders[WeekIndex]=82)*(T_PlannedOrders[EffectiveQty]&gt;0)*T_PlannedOrders[Order_Month])),"m月")&amp;"発注)")</f>
        <v/>
      </c>
      <c r="CH649">
        <f>IF(SUMIFS(T_PlannedOrders[EffectiveQty],T_PlannedOrders[Part Name],$A589,T_PlannedOrders[WeekIndex],83)=0,"",SUMIFS(T_PlannedOrders[EffectiveQty],T_PlannedOrders[Part Name],$A589,T_PlannedOrders[WeekIndex],83)&amp;" ("&amp;TEXT(SUMPRODUCT(MAX((T_PlannedOrders[Part Name]=$A589)*(T_PlannedOrders[WeekIndex]=83)*(T_PlannedOrders[EffectiveQty]&gt;0)*T_PlannedOrders[Order_Month])),"m月")&amp;"発注)")</f>
        <v/>
      </c>
      <c r="CI649">
        <f>IF(SUMIFS(T_PlannedOrders[EffectiveQty],T_PlannedOrders[Part Name],$A589,T_PlannedOrders[WeekIndex],84)=0,"",SUMIFS(T_PlannedOrders[EffectiveQty],T_PlannedOrders[Part Name],$A589,T_PlannedOrders[WeekIndex],84)&amp;" ("&amp;TEXT(SUMPRODUCT(MAX((T_PlannedOrders[Part Name]=$A589)*(T_PlannedOrders[WeekIndex]=84)*(T_PlannedOrders[EffectiveQty]&gt;0)*T_PlannedOrders[Order_Month])),"m月")&amp;"発注)")</f>
        <v/>
      </c>
      <c r="CJ649">
        <f>IF(SUMIFS(T_PlannedOrders[EffectiveQty],T_PlannedOrders[Part Name],$A589,T_PlannedOrders[WeekIndex],85)=0,"",SUMIFS(T_PlannedOrders[EffectiveQty],T_PlannedOrders[Part Name],$A589,T_PlannedOrders[WeekIndex],85)&amp;" ("&amp;TEXT(SUMPRODUCT(MAX((T_PlannedOrders[Part Name]=$A589)*(T_PlannedOrders[WeekIndex]=85)*(T_PlannedOrders[EffectiveQty]&gt;0)*T_PlannedOrders[Order_Month])),"m月")&amp;"発注)")</f>
        <v/>
      </c>
      <c r="CK649">
        <f>IF(SUMIFS(T_PlannedOrders[EffectiveQty],T_PlannedOrders[Part Name],$A589,T_PlannedOrders[WeekIndex],86)=0,"",SUMIFS(T_PlannedOrders[EffectiveQty],T_PlannedOrders[Part Name],$A589,T_PlannedOrders[WeekIndex],86)&amp;" ("&amp;TEXT(SUMPRODUCT(MAX((T_PlannedOrders[Part Name]=$A589)*(T_PlannedOrders[WeekIndex]=86)*(T_PlannedOrders[EffectiveQty]&gt;0)*T_PlannedOrders[Order_Month])),"m月")&amp;"発注)")</f>
        <v/>
      </c>
      <c r="CL649">
        <f>IF(SUMIFS(T_PlannedOrders[EffectiveQty],T_PlannedOrders[Part Name],$A589,T_PlannedOrders[WeekIndex],87)=0,"",SUMIFS(T_PlannedOrders[EffectiveQty],T_PlannedOrders[Part Name],$A589,T_PlannedOrders[WeekIndex],87)&amp;" ("&amp;TEXT(SUMPRODUCT(MAX((T_PlannedOrders[Part Name]=$A589)*(T_PlannedOrders[WeekIndex]=87)*(T_PlannedOrders[EffectiveQty]&gt;0)*T_PlannedOrders[Order_Month])),"m月")&amp;"発注)")</f>
        <v/>
      </c>
      <c r="CM649">
        <f>IF(SUMIFS(T_PlannedOrders[EffectiveQty],T_PlannedOrders[Part Name],$A589,T_PlannedOrders[WeekIndex],88)=0,"",SUMIFS(T_PlannedOrders[EffectiveQty],T_PlannedOrders[Part Name],$A589,T_PlannedOrders[WeekIndex],88)&amp;" ("&amp;TEXT(SUMPRODUCT(MAX((T_PlannedOrders[Part Name]=$A589)*(T_PlannedOrders[WeekIndex]=88)*(T_PlannedOrders[EffectiveQty]&gt;0)*T_PlannedOrders[Order_Month])),"m月")&amp;"発注)")</f>
        <v/>
      </c>
      <c r="CN649">
        <f>IF(SUMIFS(T_PlannedOrders[EffectiveQty],T_PlannedOrders[Part Name],$A589,T_PlannedOrders[WeekIndex],89)=0,"",SUMIFS(T_PlannedOrders[EffectiveQty],T_PlannedOrders[Part Name],$A589,T_PlannedOrders[WeekIndex],89)&amp;" ("&amp;TEXT(SUMPRODUCT(MAX((T_PlannedOrders[Part Name]=$A589)*(T_PlannedOrders[WeekIndex]=89)*(T_PlannedOrders[EffectiveQty]&gt;0)*T_PlannedOrders[Order_Month])),"m月")&amp;"発注)")</f>
        <v/>
      </c>
      <c r="CO649">
        <f>IF(SUMIFS(T_PlannedOrders[EffectiveQty],T_PlannedOrders[Part Name],$A589,T_PlannedOrders[WeekIndex],90)=0,"",SUMIFS(T_PlannedOrders[EffectiveQty],T_PlannedOrders[Part Name],$A589,T_PlannedOrders[WeekIndex],90)&amp;" ("&amp;TEXT(SUMPRODUCT(MAX((T_PlannedOrders[Part Name]=$A589)*(T_PlannedOrders[WeekIndex]=90)*(T_PlannedOrders[EffectiveQty]&gt;0)*T_PlannedOrders[Order_Month])),"m月")&amp;"発注)")</f>
        <v/>
      </c>
      <c r="CP649">
        <f>IF(SUMIFS(T_PlannedOrders[EffectiveQty],T_PlannedOrders[Part Name],$A589,T_PlannedOrders[WeekIndex],91)=0,"",SUMIFS(T_PlannedOrders[EffectiveQty],T_PlannedOrders[Part Name],$A589,T_PlannedOrders[WeekIndex],91)&amp;" ("&amp;TEXT(SUMPRODUCT(MAX((T_PlannedOrders[Part Name]=$A589)*(T_PlannedOrders[WeekIndex]=91)*(T_PlannedOrders[EffectiveQty]&gt;0)*T_PlannedOrders[Order_Month])),"m月")&amp;"発注)")</f>
        <v/>
      </c>
      <c r="CQ649">
        <f>IF(SUMIFS(T_PlannedOrders[EffectiveQty],T_PlannedOrders[Part Name],$A589,T_PlannedOrders[WeekIndex],92)=0,"",SUMIFS(T_PlannedOrders[EffectiveQty],T_PlannedOrders[Part Name],$A589,T_PlannedOrders[WeekIndex],92)&amp;" ("&amp;TEXT(SUMPRODUCT(MAX((T_PlannedOrders[Part Name]=$A589)*(T_PlannedOrders[WeekIndex]=92)*(T_PlannedOrders[EffectiveQty]&gt;0)*T_PlannedOrders[Order_Month])),"m月")&amp;"発注)")</f>
        <v/>
      </c>
      <c r="CR649">
        <f>IF(SUMIFS(T_PlannedOrders[EffectiveQty],T_PlannedOrders[Part Name],$A589,T_PlannedOrders[WeekIndex],93)=0,"",SUMIFS(T_PlannedOrders[EffectiveQty],T_PlannedOrders[Part Name],$A589,T_PlannedOrders[WeekIndex],93)&amp;" ("&amp;TEXT(SUMPRODUCT(MAX((T_PlannedOrders[Part Name]=$A589)*(T_PlannedOrders[WeekIndex]=93)*(T_PlannedOrders[EffectiveQty]&gt;0)*T_PlannedOrders[Order_Month])),"m月")&amp;"発注)")</f>
        <v/>
      </c>
      <c r="CS649">
        <f>IF(SUMIFS(T_PlannedOrders[EffectiveQty],T_PlannedOrders[Part Name],$A589,T_PlannedOrders[WeekIndex],94)=0,"",SUMIFS(T_PlannedOrders[EffectiveQty],T_PlannedOrders[Part Name],$A589,T_PlannedOrders[WeekIndex],94)&amp;" ("&amp;TEXT(SUMPRODUCT(MAX((T_PlannedOrders[Part Name]=$A589)*(T_PlannedOrders[WeekIndex]=94)*(T_PlannedOrders[EffectiveQty]&gt;0)*T_PlannedOrders[Order_Month])),"m月")&amp;"発注)")</f>
        <v/>
      </c>
      <c r="CT649">
        <f>IF(SUMIFS(T_PlannedOrders[EffectiveQty],T_PlannedOrders[Part Name],$A589,T_PlannedOrders[WeekIndex],95)=0,"",SUMIFS(T_PlannedOrders[EffectiveQty],T_PlannedOrders[Part Name],$A589,T_PlannedOrders[WeekIndex],95)&amp;" ("&amp;TEXT(SUMPRODUCT(MAX((T_PlannedOrders[Part Name]=$A589)*(T_PlannedOrders[WeekIndex]=95)*(T_PlannedOrders[EffectiveQty]&gt;0)*T_PlannedOrders[Order_Month])),"m月")&amp;"発注)")</f>
        <v/>
      </c>
      <c r="CU649">
        <f>IF(SUMIFS(T_PlannedOrders[EffectiveQty],T_PlannedOrders[Part Name],$A589,T_PlannedOrders[WeekIndex],96)=0,"",SUMIFS(T_PlannedOrders[EffectiveQty],T_PlannedOrders[Part Name],$A589,T_PlannedOrders[WeekIndex],96)&amp;" ("&amp;TEXT(SUMPRODUCT(MAX((T_PlannedOrders[Part Name]=$A589)*(T_PlannedOrders[WeekIndex]=96)*(T_PlannedOrders[EffectiveQty]&gt;0)*T_PlannedOrders[Order_Month])),"m月")&amp;"発注)")</f>
        <v/>
      </c>
      <c r="CV649">
        <f>IF(SUMIFS(T_PlannedOrders[EffectiveQty],T_PlannedOrders[Part Name],$A589,T_PlannedOrders[WeekIndex],97)=0,"",SUMIFS(T_PlannedOrders[EffectiveQty],T_PlannedOrders[Part Name],$A589,T_PlannedOrders[WeekIndex],97)&amp;" ("&amp;TEXT(SUMPRODUCT(MAX((T_PlannedOrders[Part Name]=$A589)*(T_PlannedOrders[WeekIndex]=97)*(T_PlannedOrders[EffectiveQty]&gt;0)*T_PlannedOrders[Order_Month])),"m月")&amp;"発注)")</f>
        <v/>
      </c>
      <c r="CW649">
        <f>IF(SUMIFS(T_PlannedOrders[EffectiveQty],T_PlannedOrders[Part Name],$A589,T_PlannedOrders[WeekIndex],98)=0,"",SUMIFS(T_PlannedOrders[EffectiveQty],T_PlannedOrders[Part Name],$A589,T_PlannedOrders[WeekIndex],98)&amp;" ("&amp;TEXT(SUMPRODUCT(MAX((T_PlannedOrders[Part Name]=$A589)*(T_PlannedOrders[WeekIndex]=98)*(T_PlannedOrders[EffectiveQty]&gt;0)*T_PlannedOrders[Order_Month])),"m月")&amp;"発注)")</f>
        <v/>
      </c>
      <c r="CX649">
        <f>IF(SUMIFS(T_PlannedOrders[EffectiveQty],T_PlannedOrders[Part Name],$A589,T_PlannedOrders[WeekIndex],99)=0,"",SUMIFS(T_PlannedOrders[EffectiveQty],T_PlannedOrders[Part Name],$A589,T_PlannedOrders[WeekIndex],99)&amp;" ("&amp;TEXT(SUMPRODUCT(MAX((T_PlannedOrders[Part Name]=$A589)*(T_PlannedOrders[WeekIndex]=99)*(T_PlannedOrders[EffectiveQty]&gt;0)*T_PlannedOrders[Order_Month])),"m月")&amp;"発注)")</f>
        <v/>
      </c>
      <c r="CY649">
        <f>IF(SUMIFS(T_PlannedOrders[EffectiveQty],T_PlannedOrders[Part Name],$A589,T_PlannedOrders[WeekIndex],100)=0,"",SUMIFS(T_PlannedOrders[EffectiveQty],T_PlannedOrders[Part Name],$A589,T_PlannedOrders[WeekIndex],100)&amp;" ("&amp;TEXT(SUMPRODUCT(MAX((T_PlannedOrders[Part Name]=$A589)*(T_PlannedOrders[WeekIndex]=100)*(T_PlannedOrders[EffectiveQty]&gt;0)*T_PlannedOrders[Order_Month])),"m月")&amp;"発注)")</f>
        <v/>
      </c>
      <c r="CZ649">
        <f>IF(SUMIFS(T_PlannedOrders[EffectiveQty],T_PlannedOrders[Part Name],$A589,T_PlannedOrders[WeekIndex],101)=0,"",SUMIFS(T_PlannedOrders[EffectiveQty],T_PlannedOrders[Part Name],$A589,T_PlannedOrders[WeekIndex],101)&amp;" ("&amp;TEXT(SUMPRODUCT(MAX((T_PlannedOrders[Part Name]=$A589)*(T_PlannedOrders[WeekIndex]=101)*(T_PlannedOrders[EffectiveQty]&gt;0)*T_PlannedOrders[Order_Month])),"m月")&amp;"発注)")</f>
        <v/>
      </c>
      <c r="DA649">
        <f>IF(SUMIFS(T_PlannedOrders[EffectiveQty],T_PlannedOrders[Part Name],$A589,T_PlannedOrders[WeekIndex],102)=0,"",SUMIFS(T_PlannedOrders[EffectiveQty],T_PlannedOrders[Part Name],$A589,T_PlannedOrders[WeekIndex],102)&amp;" ("&amp;TEXT(SUMPRODUCT(MAX((T_PlannedOrders[Part Name]=$A589)*(T_PlannedOrders[WeekIndex]=102)*(T_PlannedOrders[EffectiveQty]&gt;0)*T_PlannedOrders[Order_Month])),"m月")&amp;"発注)")</f>
        <v/>
      </c>
      <c r="DB649">
        <f>IF(SUMIFS(T_PlannedOrders[EffectiveQty],T_PlannedOrders[Part Name],$A589,T_PlannedOrders[WeekIndex],103)=0,"",SUMIFS(T_PlannedOrders[EffectiveQty],T_PlannedOrders[Part Name],$A589,T_PlannedOrders[WeekIndex],103)&amp;" ("&amp;TEXT(SUMPRODUCT(MAX((T_PlannedOrders[Part Name]=$A589)*(T_PlannedOrders[WeekIndex]=103)*(T_PlannedOrders[EffectiveQty]&gt;0)*T_PlannedOrders[Order_Month])),"m月")&amp;"発注)")</f>
        <v/>
      </c>
      <c r="DC649">
        <f>IF(SUMIFS(T_PlannedOrders[EffectiveQty],T_PlannedOrders[Part Name],$A589,T_PlannedOrders[WeekIndex],104)=0,"",SUMIFS(T_PlannedOrders[EffectiveQty],T_PlannedOrders[Part Name],$A589,T_PlannedOrders[WeekIndex],104)&amp;" ("&amp;TEXT(SUMPRODUCT(MAX((T_PlannedOrders[Part Name]=$A589)*(T_PlannedOrders[WeekIndex]=104)*(T_PlannedOrders[EffectiveQty]&gt;0)*T_PlannedOrders[Order_Month])),"m月")&amp;"発注)")</f>
        <v/>
      </c>
    </row>
    <row r="650">
      <c r="B650" s="4" t="inlineStr">
        <is>
          <t>合計在庫(週末時点,kg)</t>
        </is>
      </c>
      <c r="D650">
        <f>'Grid_Stock'!B22</f>
        <v/>
      </c>
      <c r="E650">
        <f>'Grid_Stock'!C22</f>
        <v/>
      </c>
      <c r="F650">
        <f>'Grid_Stock'!D22</f>
        <v/>
      </c>
      <c r="G650">
        <f>'Grid_Stock'!E22</f>
        <v/>
      </c>
      <c r="H650">
        <f>'Grid_Stock'!F22</f>
        <v/>
      </c>
      <c r="I650">
        <f>'Grid_Stock'!G22</f>
        <v/>
      </c>
      <c r="J650">
        <f>'Grid_Stock'!H22</f>
        <v/>
      </c>
      <c r="K650">
        <f>'Grid_Stock'!I22</f>
        <v/>
      </c>
      <c r="L650">
        <f>'Grid_Stock'!J22</f>
        <v/>
      </c>
      <c r="M650">
        <f>'Grid_Stock'!K22</f>
        <v/>
      </c>
      <c r="N650">
        <f>'Grid_Stock'!L22</f>
        <v/>
      </c>
      <c r="O650">
        <f>'Grid_Stock'!M22</f>
        <v/>
      </c>
      <c r="P650">
        <f>'Grid_Stock'!N22</f>
        <v/>
      </c>
      <c r="Q650">
        <f>'Grid_Stock'!O22</f>
        <v/>
      </c>
      <c r="R650">
        <f>'Grid_Stock'!P22</f>
        <v/>
      </c>
      <c r="S650">
        <f>'Grid_Stock'!Q22</f>
        <v/>
      </c>
      <c r="T650">
        <f>'Grid_Stock'!R22</f>
        <v/>
      </c>
      <c r="U650">
        <f>'Grid_Stock'!S22</f>
        <v/>
      </c>
      <c r="V650">
        <f>'Grid_Stock'!T22</f>
        <v/>
      </c>
      <c r="W650">
        <f>'Grid_Stock'!U22</f>
        <v/>
      </c>
      <c r="X650">
        <f>'Grid_Stock'!V22</f>
        <v/>
      </c>
      <c r="Y650">
        <f>'Grid_Stock'!W22</f>
        <v/>
      </c>
      <c r="Z650">
        <f>'Grid_Stock'!X22</f>
        <v/>
      </c>
      <c r="AA650">
        <f>'Grid_Stock'!Y22</f>
        <v/>
      </c>
      <c r="AB650">
        <f>'Grid_Stock'!Z22</f>
        <v/>
      </c>
      <c r="AC650">
        <f>'Grid_Stock'!AA22</f>
        <v/>
      </c>
      <c r="AD650">
        <f>'Grid_Stock'!AB22</f>
        <v/>
      </c>
      <c r="AE650">
        <f>'Grid_Stock'!AC22</f>
        <v/>
      </c>
      <c r="AF650">
        <f>'Grid_Stock'!AD22</f>
        <v/>
      </c>
      <c r="AG650">
        <f>'Grid_Stock'!AE22</f>
        <v/>
      </c>
      <c r="AH650">
        <f>'Grid_Stock'!AF22</f>
        <v/>
      </c>
      <c r="AI650">
        <f>'Grid_Stock'!AG22</f>
        <v/>
      </c>
      <c r="AJ650">
        <f>'Grid_Stock'!AH22</f>
        <v/>
      </c>
      <c r="AK650">
        <f>'Grid_Stock'!AI22</f>
        <v/>
      </c>
      <c r="AL650">
        <f>'Grid_Stock'!AJ22</f>
        <v/>
      </c>
      <c r="AM650">
        <f>'Grid_Stock'!AK22</f>
        <v/>
      </c>
      <c r="AN650">
        <f>'Grid_Stock'!AL22</f>
        <v/>
      </c>
      <c r="AO650">
        <f>'Grid_Stock'!AM22</f>
        <v/>
      </c>
      <c r="AP650">
        <f>'Grid_Stock'!AN22</f>
        <v/>
      </c>
      <c r="AQ650">
        <f>'Grid_Stock'!AO22</f>
        <v/>
      </c>
      <c r="AR650">
        <f>'Grid_Stock'!AP22</f>
        <v/>
      </c>
      <c r="AS650">
        <f>'Grid_Stock'!AQ22</f>
        <v/>
      </c>
      <c r="AT650">
        <f>'Grid_Stock'!AR22</f>
        <v/>
      </c>
      <c r="AU650">
        <f>'Grid_Stock'!AS22</f>
        <v/>
      </c>
      <c r="AV650">
        <f>'Grid_Stock'!AT22</f>
        <v/>
      </c>
      <c r="AW650">
        <f>'Grid_Stock'!AU22</f>
        <v/>
      </c>
      <c r="AX650">
        <f>'Grid_Stock'!AV22</f>
        <v/>
      </c>
      <c r="AY650">
        <f>'Grid_Stock'!AW22</f>
        <v/>
      </c>
      <c r="AZ650">
        <f>'Grid_Stock'!AX22</f>
        <v/>
      </c>
      <c r="BA650">
        <f>'Grid_Stock'!AY22</f>
        <v/>
      </c>
      <c r="BB650">
        <f>'Grid_Stock'!AZ22</f>
        <v/>
      </c>
      <c r="BC650">
        <f>'Grid_Stock'!BA22</f>
        <v/>
      </c>
      <c r="BD650">
        <f>'Grid_Stock'!BB22</f>
        <v/>
      </c>
      <c r="BE650">
        <f>'Grid_Stock'!BC22</f>
        <v/>
      </c>
      <c r="BF650">
        <f>'Grid_Stock'!BD22</f>
        <v/>
      </c>
      <c r="BG650">
        <f>'Grid_Stock'!BE22</f>
        <v/>
      </c>
      <c r="BH650">
        <f>'Grid_Stock'!BF22</f>
        <v/>
      </c>
      <c r="BI650">
        <f>'Grid_Stock'!BG22</f>
        <v/>
      </c>
      <c r="BJ650">
        <f>'Grid_Stock'!BH22</f>
        <v/>
      </c>
      <c r="BK650">
        <f>'Grid_Stock'!BI22</f>
        <v/>
      </c>
      <c r="BL650">
        <f>'Grid_Stock'!BJ22</f>
        <v/>
      </c>
      <c r="BM650">
        <f>'Grid_Stock'!BK22</f>
        <v/>
      </c>
      <c r="BN650">
        <f>'Grid_Stock'!BL22</f>
        <v/>
      </c>
      <c r="BO650">
        <f>'Grid_Stock'!BM22</f>
        <v/>
      </c>
      <c r="BP650">
        <f>'Grid_Stock'!BN22</f>
        <v/>
      </c>
      <c r="BQ650">
        <f>'Grid_Stock'!BO22</f>
        <v/>
      </c>
      <c r="BR650">
        <f>'Grid_Stock'!BP22</f>
        <v/>
      </c>
      <c r="BS650">
        <f>'Grid_Stock'!BQ22</f>
        <v/>
      </c>
      <c r="BT650">
        <f>'Grid_Stock'!BR22</f>
        <v/>
      </c>
      <c r="BU650">
        <f>'Grid_Stock'!BS22</f>
        <v/>
      </c>
      <c r="BV650">
        <f>'Grid_Stock'!BT22</f>
        <v/>
      </c>
      <c r="BW650">
        <f>'Grid_Stock'!BU22</f>
        <v/>
      </c>
      <c r="BX650">
        <f>'Grid_Stock'!BV22</f>
        <v/>
      </c>
      <c r="BY650">
        <f>'Grid_Stock'!BW22</f>
        <v/>
      </c>
      <c r="BZ650">
        <f>'Grid_Stock'!BX22</f>
        <v/>
      </c>
      <c r="CA650">
        <f>'Grid_Stock'!BY22</f>
        <v/>
      </c>
      <c r="CB650">
        <f>'Grid_Stock'!BZ22</f>
        <v/>
      </c>
      <c r="CC650">
        <f>'Grid_Stock'!CA22</f>
        <v/>
      </c>
      <c r="CD650">
        <f>'Grid_Stock'!CB22</f>
        <v/>
      </c>
      <c r="CE650">
        <f>'Grid_Stock'!CC22</f>
        <v/>
      </c>
      <c r="CF650">
        <f>'Grid_Stock'!CD22</f>
        <v/>
      </c>
      <c r="CG650">
        <f>'Grid_Stock'!CE22</f>
        <v/>
      </c>
      <c r="CH650">
        <f>'Grid_Stock'!CF22</f>
        <v/>
      </c>
      <c r="CI650">
        <f>'Grid_Stock'!CG22</f>
        <v/>
      </c>
      <c r="CJ650">
        <f>'Grid_Stock'!CH22</f>
        <v/>
      </c>
      <c r="CK650">
        <f>'Grid_Stock'!CI22</f>
        <v/>
      </c>
      <c r="CL650">
        <f>'Grid_Stock'!CJ22</f>
        <v/>
      </c>
      <c r="CM650">
        <f>'Grid_Stock'!CK22</f>
        <v/>
      </c>
      <c r="CN650">
        <f>'Grid_Stock'!CL22</f>
        <v/>
      </c>
      <c r="CO650">
        <f>'Grid_Stock'!CM22</f>
        <v/>
      </c>
      <c r="CP650">
        <f>'Grid_Stock'!CN22</f>
        <v/>
      </c>
      <c r="CQ650">
        <f>'Grid_Stock'!CO22</f>
        <v/>
      </c>
      <c r="CR650">
        <f>'Grid_Stock'!CP22</f>
        <v/>
      </c>
      <c r="CS650">
        <f>'Grid_Stock'!CQ22</f>
        <v/>
      </c>
      <c r="CT650">
        <f>'Grid_Stock'!CR22</f>
        <v/>
      </c>
      <c r="CU650">
        <f>'Grid_Stock'!CS22</f>
        <v/>
      </c>
      <c r="CV650">
        <f>'Grid_Stock'!CT22</f>
        <v/>
      </c>
      <c r="CW650">
        <f>'Grid_Stock'!CU22</f>
        <v/>
      </c>
      <c r="CX650">
        <f>'Grid_Stock'!CV22</f>
        <v/>
      </c>
      <c r="CY650">
        <f>'Grid_Stock'!CW22</f>
        <v/>
      </c>
      <c r="CZ650">
        <f>'Grid_Stock'!CX22</f>
        <v/>
      </c>
      <c r="DA650">
        <f>'Grid_Stock'!CY22</f>
        <v/>
      </c>
      <c r="DB650">
        <f>'Grid_Stock'!CZ22</f>
        <v/>
      </c>
      <c r="DC650">
        <f>'Grid_Stock'!DA22</f>
        <v/>
      </c>
    </row>
    <row r="651">
      <c r="B651" s="16" t="inlineStr">
        <is>
          <t>（発注の目安はDashboardの基準在庫[下限/上限]と色分けを参照）</t>
        </is>
      </c>
    </row>
    <row r="653">
      <c r="A653" s="14" t="inlineStr">
        <is>
          <t>CHEM-1660</t>
        </is>
      </c>
      <c r="B653" s="14" t="inlineStr">
        <is>
          <t>GW-3394</t>
        </is>
      </c>
      <c r="C653" s="15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  <c r="AA653" s="14" t="n"/>
      <c r="AB653" s="14" t="n"/>
      <c r="AC653" s="14" t="n"/>
      <c r="AD653" s="14" t="n"/>
      <c r="AE653" s="14" t="n"/>
      <c r="AF653" s="14" t="n"/>
      <c r="AG653" s="14" t="n"/>
      <c r="AH653" s="14" t="n"/>
      <c r="AI653" s="14" t="n"/>
      <c r="AJ653" s="14" t="n"/>
      <c r="AK653" s="14" t="n"/>
      <c r="AL653" s="14" t="n"/>
      <c r="AM653" s="14" t="n"/>
      <c r="AN653" s="14" t="n"/>
      <c r="AO653" s="14" t="n"/>
      <c r="AP653" s="14" t="n"/>
      <c r="AQ653" s="14" t="n"/>
      <c r="AR653" s="14" t="n"/>
      <c r="AS653" s="14" t="n"/>
      <c r="AT653" s="14" t="n"/>
      <c r="AU653" s="14" t="n"/>
      <c r="AV653" s="14" t="n"/>
      <c r="AW653" s="14" t="n"/>
      <c r="AX653" s="14" t="n"/>
      <c r="AY653" s="14" t="n"/>
      <c r="AZ653" s="14" t="n"/>
      <c r="BA653" s="14" t="n"/>
      <c r="BB653" s="14" t="n"/>
      <c r="BC653" s="14" t="n"/>
      <c r="BD653" s="14" t="n"/>
      <c r="BE653" s="14" t="n"/>
      <c r="BF653" s="14" t="n"/>
      <c r="BG653" s="14" t="n"/>
      <c r="BH653" s="14" t="n"/>
      <c r="BI653" s="14" t="n"/>
      <c r="BJ653" s="14" t="n"/>
      <c r="BK653" s="14" t="n"/>
      <c r="BL653" s="14" t="n"/>
      <c r="BM653" s="14" t="n"/>
      <c r="BN653" s="14" t="n"/>
      <c r="BO653" s="14" t="n"/>
      <c r="BP653" s="14" t="n"/>
      <c r="BQ653" s="14" t="n"/>
      <c r="BR653" s="14" t="n"/>
      <c r="BS653" s="14" t="n"/>
      <c r="BT653" s="14" t="n"/>
      <c r="BU653" s="14" t="n"/>
      <c r="BV653" s="14" t="n"/>
      <c r="BW653" s="14" t="n"/>
      <c r="BX653" s="14" t="n"/>
      <c r="BY653" s="14" t="n"/>
      <c r="BZ653" s="14" t="n"/>
      <c r="CA653" s="14" t="n"/>
      <c r="CB653" s="14" t="n"/>
      <c r="CC653" s="14" t="n"/>
      <c r="CD653" s="14" t="n"/>
      <c r="CE653" s="14" t="n"/>
      <c r="CF653" s="14" t="n"/>
      <c r="CG653" s="14" t="n"/>
      <c r="CH653" s="14" t="n"/>
      <c r="CI653" s="14" t="n"/>
      <c r="CJ653" s="14" t="n"/>
      <c r="CK653" s="14" t="n"/>
      <c r="CL653" s="14" t="n"/>
      <c r="CM653" s="14" t="n"/>
      <c r="CN653" s="14" t="n"/>
      <c r="CO653" s="14" t="n"/>
      <c r="CP653" s="14" t="n"/>
      <c r="CQ653" s="14" t="n"/>
      <c r="CR653" s="14" t="n"/>
      <c r="CS653" s="14" t="n"/>
      <c r="CT653" s="14" t="n"/>
      <c r="CU653" s="14" t="n"/>
      <c r="CV653" s="14" t="n"/>
      <c r="CW653" s="14" t="n"/>
      <c r="CX653" s="14" t="n"/>
      <c r="CY653" s="14" t="n"/>
      <c r="CZ653" s="14" t="n"/>
      <c r="DA653" s="14" t="n"/>
      <c r="DB653" s="14" t="n"/>
      <c r="DC653" s="14" t="n"/>
    </row>
    <row r="654">
      <c r="B654" t="inlineStr">
        <is>
          <t>TSP-219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Name],$A653)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TSP-655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Name],$A653)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TSP-656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Name],$A653)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VSP-820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Name],$A653)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VSP-822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Name],$A653)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VSP-869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7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Name],$A653)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VSP-870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7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Name],$A653)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VSP-910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7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Name],$A653)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VSP-989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7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Name],$A653)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VSP-990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7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Name],$A653)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s="4" t="inlineStr">
        <is>
          <t>合計使用量(kg)/週</t>
        </is>
      </c>
      <c r="D674">
        <f>'Grid_Requirement'!B18</f>
        <v/>
      </c>
      <c r="E674">
        <f>'Grid_Requirement'!C18</f>
        <v/>
      </c>
      <c r="F674">
        <f>'Grid_Requirement'!D18</f>
        <v/>
      </c>
      <c r="G674">
        <f>'Grid_Requirement'!E18</f>
        <v/>
      </c>
      <c r="H674">
        <f>'Grid_Requirement'!F18</f>
        <v/>
      </c>
      <c r="I674">
        <f>'Grid_Requirement'!G18</f>
        <v/>
      </c>
      <c r="J674">
        <f>'Grid_Requirement'!H18</f>
        <v/>
      </c>
      <c r="K674">
        <f>'Grid_Requirement'!I18</f>
        <v/>
      </c>
      <c r="L674">
        <f>'Grid_Requirement'!J18</f>
        <v/>
      </c>
      <c r="M674">
        <f>'Grid_Requirement'!K18</f>
        <v/>
      </c>
      <c r="N674">
        <f>'Grid_Requirement'!L18</f>
        <v/>
      </c>
      <c r="O674">
        <f>'Grid_Requirement'!M18</f>
        <v/>
      </c>
      <c r="P674">
        <f>'Grid_Requirement'!N18</f>
        <v/>
      </c>
      <c r="Q674">
        <f>'Grid_Requirement'!O18</f>
        <v/>
      </c>
      <c r="R674">
        <f>'Grid_Requirement'!P18</f>
        <v/>
      </c>
      <c r="S674">
        <f>'Grid_Requirement'!Q18</f>
        <v/>
      </c>
      <c r="T674">
        <f>'Grid_Requirement'!R18</f>
        <v/>
      </c>
      <c r="U674">
        <f>'Grid_Requirement'!S18</f>
        <v/>
      </c>
      <c r="V674">
        <f>'Grid_Requirement'!T18</f>
        <v/>
      </c>
      <c r="W674">
        <f>'Grid_Requirement'!U18</f>
        <v/>
      </c>
      <c r="X674">
        <f>'Grid_Requirement'!V18</f>
        <v/>
      </c>
      <c r="Y674">
        <f>'Grid_Requirement'!W18</f>
        <v/>
      </c>
      <c r="Z674">
        <f>'Grid_Requirement'!X18</f>
        <v/>
      </c>
      <c r="AA674">
        <f>'Grid_Requirement'!Y18</f>
        <v/>
      </c>
      <c r="AB674">
        <f>'Grid_Requirement'!Z18</f>
        <v/>
      </c>
      <c r="AC674">
        <f>'Grid_Requirement'!AA18</f>
        <v/>
      </c>
      <c r="AD674">
        <f>'Grid_Requirement'!AB18</f>
        <v/>
      </c>
      <c r="AE674">
        <f>'Grid_Requirement'!AC18</f>
        <v/>
      </c>
      <c r="AF674">
        <f>'Grid_Requirement'!AD18</f>
        <v/>
      </c>
      <c r="AG674">
        <f>'Grid_Requirement'!AE18</f>
        <v/>
      </c>
      <c r="AH674">
        <f>'Grid_Requirement'!AF18</f>
        <v/>
      </c>
      <c r="AI674">
        <f>'Grid_Requirement'!AG18</f>
        <v/>
      </c>
      <c r="AJ674">
        <f>'Grid_Requirement'!AH18</f>
        <v/>
      </c>
      <c r="AK674">
        <f>'Grid_Requirement'!AI18</f>
        <v/>
      </c>
      <c r="AL674">
        <f>'Grid_Requirement'!AJ18</f>
        <v/>
      </c>
      <c r="AM674">
        <f>'Grid_Requirement'!AK18</f>
        <v/>
      </c>
      <c r="AN674">
        <f>'Grid_Requirement'!AL18</f>
        <v/>
      </c>
      <c r="AO674">
        <f>'Grid_Requirement'!AM18</f>
        <v/>
      </c>
      <c r="AP674">
        <f>'Grid_Requirement'!AN18</f>
        <v/>
      </c>
      <c r="AQ674">
        <f>'Grid_Requirement'!AO18</f>
        <v/>
      </c>
      <c r="AR674">
        <f>'Grid_Requirement'!AP18</f>
        <v/>
      </c>
      <c r="AS674">
        <f>'Grid_Requirement'!AQ18</f>
        <v/>
      </c>
      <c r="AT674">
        <f>'Grid_Requirement'!AR18</f>
        <v/>
      </c>
      <c r="AU674">
        <f>'Grid_Requirement'!AS18</f>
        <v/>
      </c>
      <c r="AV674">
        <f>'Grid_Requirement'!AT18</f>
        <v/>
      </c>
      <c r="AW674">
        <f>'Grid_Requirement'!AU18</f>
        <v/>
      </c>
      <c r="AX674">
        <f>'Grid_Requirement'!AV18</f>
        <v/>
      </c>
      <c r="AY674">
        <f>'Grid_Requirement'!AW18</f>
        <v/>
      </c>
      <c r="AZ674">
        <f>'Grid_Requirement'!AX18</f>
        <v/>
      </c>
      <c r="BA674">
        <f>'Grid_Requirement'!AY18</f>
        <v/>
      </c>
      <c r="BB674">
        <f>'Grid_Requirement'!AZ18</f>
        <v/>
      </c>
      <c r="BC674">
        <f>'Grid_Requirement'!BA18</f>
        <v/>
      </c>
      <c r="BD674">
        <f>'Grid_Requirement'!BB18</f>
        <v/>
      </c>
      <c r="BE674">
        <f>'Grid_Requirement'!BC18</f>
        <v/>
      </c>
      <c r="BF674">
        <f>'Grid_Requirement'!BD18</f>
        <v/>
      </c>
      <c r="BG674">
        <f>'Grid_Requirement'!BE18</f>
        <v/>
      </c>
      <c r="BH674">
        <f>'Grid_Requirement'!BF18</f>
        <v/>
      </c>
      <c r="BI674">
        <f>'Grid_Requirement'!BG18</f>
        <v/>
      </c>
      <c r="BJ674">
        <f>'Grid_Requirement'!BH18</f>
        <v/>
      </c>
      <c r="BK674">
        <f>'Grid_Requirement'!BI18</f>
        <v/>
      </c>
      <c r="BL674">
        <f>'Grid_Requirement'!BJ18</f>
        <v/>
      </c>
      <c r="BM674">
        <f>'Grid_Requirement'!BK18</f>
        <v/>
      </c>
      <c r="BN674">
        <f>'Grid_Requirement'!BL18</f>
        <v/>
      </c>
      <c r="BO674">
        <f>'Grid_Requirement'!BM18</f>
        <v/>
      </c>
      <c r="BP674">
        <f>'Grid_Requirement'!BN18</f>
        <v/>
      </c>
      <c r="BQ674">
        <f>'Grid_Requirement'!BO18</f>
        <v/>
      </c>
      <c r="BR674">
        <f>'Grid_Requirement'!BP18</f>
        <v/>
      </c>
      <c r="BS674">
        <f>'Grid_Requirement'!BQ18</f>
        <v/>
      </c>
      <c r="BT674">
        <f>'Grid_Requirement'!BR18</f>
        <v/>
      </c>
      <c r="BU674">
        <f>'Grid_Requirement'!BS18</f>
        <v/>
      </c>
      <c r="BV674">
        <f>'Grid_Requirement'!BT18</f>
        <v/>
      </c>
      <c r="BW674">
        <f>'Grid_Requirement'!BU18</f>
        <v/>
      </c>
      <c r="BX674">
        <f>'Grid_Requirement'!BV18</f>
        <v/>
      </c>
      <c r="BY674">
        <f>'Grid_Requirement'!BW18</f>
        <v/>
      </c>
      <c r="BZ674">
        <f>'Grid_Requirement'!BX18</f>
        <v/>
      </c>
      <c r="CA674">
        <f>'Grid_Requirement'!BY18</f>
        <v/>
      </c>
      <c r="CB674">
        <f>'Grid_Requirement'!BZ18</f>
        <v/>
      </c>
      <c r="CC674">
        <f>'Grid_Requirement'!CA18</f>
        <v/>
      </c>
      <c r="CD674">
        <f>'Grid_Requirement'!CB18</f>
        <v/>
      </c>
      <c r="CE674">
        <f>'Grid_Requirement'!CC18</f>
        <v/>
      </c>
      <c r="CF674">
        <f>'Grid_Requirement'!CD18</f>
        <v/>
      </c>
      <c r="CG674">
        <f>'Grid_Requirement'!CE18</f>
        <v/>
      </c>
      <c r="CH674">
        <f>'Grid_Requirement'!CF18</f>
        <v/>
      </c>
      <c r="CI674">
        <f>'Grid_Requirement'!CG18</f>
        <v/>
      </c>
      <c r="CJ674">
        <f>'Grid_Requirement'!CH18</f>
        <v/>
      </c>
      <c r="CK674">
        <f>'Grid_Requirement'!CI18</f>
        <v/>
      </c>
      <c r="CL674">
        <f>'Grid_Requirement'!CJ18</f>
        <v/>
      </c>
      <c r="CM674">
        <f>'Grid_Requirement'!CK18</f>
        <v/>
      </c>
      <c r="CN674">
        <f>'Grid_Requirement'!CL18</f>
        <v/>
      </c>
      <c r="CO674">
        <f>'Grid_Requirement'!CM18</f>
        <v/>
      </c>
      <c r="CP674">
        <f>'Grid_Requirement'!CN18</f>
        <v/>
      </c>
      <c r="CQ674">
        <f>'Grid_Requirement'!CO18</f>
        <v/>
      </c>
      <c r="CR674">
        <f>'Grid_Requirement'!CP18</f>
        <v/>
      </c>
      <c r="CS674">
        <f>'Grid_Requirement'!CQ18</f>
        <v/>
      </c>
      <c r="CT674">
        <f>'Grid_Requirement'!CR18</f>
        <v/>
      </c>
      <c r="CU674">
        <f>'Grid_Requirement'!CS18</f>
        <v/>
      </c>
      <c r="CV674">
        <f>'Grid_Requirement'!CT18</f>
        <v/>
      </c>
      <c r="CW674">
        <f>'Grid_Requirement'!CU18</f>
        <v/>
      </c>
      <c r="CX674">
        <f>'Grid_Requirement'!CV18</f>
        <v/>
      </c>
      <c r="CY674">
        <f>'Grid_Requirement'!CW18</f>
        <v/>
      </c>
      <c r="CZ674">
        <f>'Grid_Requirement'!CX18</f>
        <v/>
      </c>
      <c r="DA674">
        <f>'Grid_Requirement'!CY18</f>
        <v/>
      </c>
      <c r="DB674">
        <f>'Grid_Requirement'!CZ18</f>
        <v/>
      </c>
      <c r="DC674">
        <f>'Grid_Requirement'!DA18</f>
        <v/>
      </c>
    </row>
    <row r="675">
      <c r="B675" t="inlineStr">
        <is>
          <t>TTAF在庫(実績,kg)</t>
        </is>
      </c>
      <c r="D675">
        <f>'T_TTAFStock'!B22</f>
        <v/>
      </c>
      <c r="E675">
        <f>'T_TTAFStock'!C22</f>
        <v/>
      </c>
      <c r="F675">
        <f>'T_TTAFStock'!D22</f>
        <v/>
      </c>
      <c r="G675">
        <f>'T_TTAFStock'!E22</f>
        <v/>
      </c>
      <c r="H675">
        <f>'T_TTAFStock'!F22</f>
        <v/>
      </c>
      <c r="I675">
        <f>'T_TTAFStock'!G22</f>
        <v/>
      </c>
      <c r="J675">
        <f>'T_TTAFStock'!H22</f>
        <v/>
      </c>
      <c r="K675">
        <f>'T_TTAFStock'!I22</f>
        <v/>
      </c>
      <c r="L675">
        <f>'T_TTAFStock'!J22</f>
        <v/>
      </c>
      <c r="M675">
        <f>'T_TTAFStock'!K22</f>
        <v/>
      </c>
      <c r="N675">
        <f>'T_TTAFStock'!L22</f>
        <v/>
      </c>
      <c r="O675">
        <f>'T_TTAFStock'!M22</f>
        <v/>
      </c>
      <c r="P675">
        <f>'T_TTAFStock'!N22</f>
        <v/>
      </c>
      <c r="Q675">
        <f>'T_TTAFStock'!O22</f>
        <v/>
      </c>
      <c r="R675">
        <f>'T_TTAFStock'!P22</f>
        <v/>
      </c>
      <c r="S675">
        <f>'T_TTAFStock'!Q22</f>
        <v/>
      </c>
      <c r="T675">
        <f>'T_TTAFStock'!R22</f>
        <v/>
      </c>
      <c r="U675">
        <f>'T_TTAFStock'!S22</f>
        <v/>
      </c>
      <c r="V675">
        <f>'T_TTAFStock'!T22</f>
        <v/>
      </c>
      <c r="W675">
        <f>'T_TTAFStock'!U22</f>
        <v/>
      </c>
      <c r="X675">
        <f>'T_TTAFStock'!V22</f>
        <v/>
      </c>
      <c r="Y675">
        <f>'T_TTAFStock'!W22</f>
        <v/>
      </c>
      <c r="Z675">
        <f>'T_TTAFStock'!X22</f>
        <v/>
      </c>
      <c r="AA675">
        <f>'T_TTAFStock'!Y22</f>
        <v/>
      </c>
      <c r="AB675">
        <f>'T_TTAFStock'!Z22</f>
        <v/>
      </c>
      <c r="AC675">
        <f>'T_TTAFStock'!AA22</f>
        <v/>
      </c>
      <c r="AD675">
        <f>'T_TTAFStock'!AB22</f>
        <v/>
      </c>
      <c r="AE675">
        <f>'T_TTAFStock'!AC22</f>
        <v/>
      </c>
      <c r="AF675">
        <f>'T_TTAFStock'!AD22</f>
        <v/>
      </c>
      <c r="AG675">
        <f>'T_TTAFStock'!AE22</f>
        <v/>
      </c>
      <c r="AH675">
        <f>'T_TTAFStock'!AF22</f>
        <v/>
      </c>
      <c r="AI675">
        <f>'T_TTAFStock'!AG22</f>
        <v/>
      </c>
      <c r="AJ675">
        <f>'T_TTAFStock'!AH22</f>
        <v/>
      </c>
      <c r="AK675">
        <f>'T_TTAFStock'!AI22</f>
        <v/>
      </c>
      <c r="AL675">
        <f>'T_TTAFStock'!AJ22</f>
        <v/>
      </c>
      <c r="AM675">
        <f>'T_TTAFStock'!AK22</f>
        <v/>
      </c>
      <c r="AN675">
        <f>'T_TTAFStock'!AL22</f>
        <v/>
      </c>
      <c r="AO675">
        <f>'T_TTAFStock'!AM22</f>
        <v/>
      </c>
      <c r="AP675">
        <f>'T_TTAFStock'!AN22</f>
        <v/>
      </c>
      <c r="AQ675">
        <f>'T_TTAFStock'!AO22</f>
        <v/>
      </c>
      <c r="AR675">
        <f>'T_TTAFStock'!AP22</f>
        <v/>
      </c>
      <c r="AS675">
        <f>'T_TTAFStock'!AQ22</f>
        <v/>
      </c>
      <c r="AT675">
        <f>'T_TTAFStock'!AR22</f>
        <v/>
      </c>
      <c r="AU675">
        <f>'T_TTAFStock'!AS22</f>
        <v/>
      </c>
      <c r="AV675">
        <f>'T_TTAFStock'!AT22</f>
        <v/>
      </c>
      <c r="AW675">
        <f>'T_TTAFStock'!AU22</f>
        <v/>
      </c>
      <c r="AX675">
        <f>'T_TTAFStock'!AV22</f>
        <v/>
      </c>
      <c r="AY675">
        <f>'T_TTAFStock'!AW22</f>
        <v/>
      </c>
      <c r="AZ675">
        <f>'T_TTAFStock'!AX22</f>
        <v/>
      </c>
      <c r="BA675">
        <f>'T_TTAFStock'!AY22</f>
        <v/>
      </c>
      <c r="BB675">
        <f>'T_TTAFStock'!AZ22</f>
        <v/>
      </c>
      <c r="BC675">
        <f>'T_TTAFStock'!BA22</f>
        <v/>
      </c>
      <c r="BD675">
        <f>'T_TTAFStock'!BB22</f>
        <v/>
      </c>
      <c r="BE675">
        <f>'T_TTAFStock'!BC22</f>
        <v/>
      </c>
      <c r="BF675">
        <f>'T_TTAFStock'!BD22</f>
        <v/>
      </c>
      <c r="BG675">
        <f>'T_TTAFStock'!BE22</f>
        <v/>
      </c>
      <c r="BH675">
        <f>'T_TTAFStock'!BF22</f>
        <v/>
      </c>
      <c r="BI675">
        <f>'T_TTAFStock'!BG22</f>
        <v/>
      </c>
      <c r="BJ675">
        <f>'T_TTAFStock'!BH22</f>
        <v/>
      </c>
      <c r="BK675">
        <f>'T_TTAFStock'!BI22</f>
        <v/>
      </c>
      <c r="BL675">
        <f>'T_TTAFStock'!BJ22</f>
        <v/>
      </c>
      <c r="BM675">
        <f>'T_TTAFStock'!BK22</f>
        <v/>
      </c>
      <c r="BN675">
        <f>'T_TTAFStock'!BL22</f>
        <v/>
      </c>
      <c r="BO675">
        <f>'T_TTAFStock'!BM22</f>
        <v/>
      </c>
      <c r="BP675">
        <f>'T_TTAFStock'!BN22</f>
        <v/>
      </c>
      <c r="BQ675">
        <f>'T_TTAFStock'!BO22</f>
        <v/>
      </c>
      <c r="BR675">
        <f>'T_TTAFStock'!BP22</f>
        <v/>
      </c>
      <c r="BS675">
        <f>'T_TTAFStock'!BQ22</f>
        <v/>
      </c>
      <c r="BT675">
        <f>'T_TTAFStock'!BR22</f>
        <v/>
      </c>
      <c r="BU675">
        <f>'T_TTAFStock'!BS22</f>
        <v/>
      </c>
      <c r="BV675">
        <f>'T_TTAFStock'!BT22</f>
        <v/>
      </c>
      <c r="BW675">
        <f>'T_TTAFStock'!BU22</f>
        <v/>
      </c>
      <c r="BX675">
        <f>'T_TTAFStock'!BV22</f>
        <v/>
      </c>
      <c r="BY675">
        <f>'T_TTAFStock'!BW22</f>
        <v/>
      </c>
      <c r="BZ675">
        <f>'T_TTAFStock'!BX22</f>
        <v/>
      </c>
      <c r="CA675">
        <f>'T_TTAFStock'!BY22</f>
        <v/>
      </c>
      <c r="CB675">
        <f>'T_TTAFStock'!BZ22</f>
        <v/>
      </c>
      <c r="CC675">
        <f>'T_TTAFStock'!CA22</f>
        <v/>
      </c>
      <c r="CD675">
        <f>'T_TTAFStock'!CB22</f>
        <v/>
      </c>
      <c r="CE675">
        <f>'T_TTAFStock'!CC22</f>
        <v/>
      </c>
      <c r="CF675">
        <f>'T_TTAFStock'!CD22</f>
        <v/>
      </c>
      <c r="CG675">
        <f>'T_TTAFStock'!CE22</f>
        <v/>
      </c>
      <c r="CH675">
        <f>'T_TTAFStock'!CF22</f>
        <v/>
      </c>
      <c r="CI675">
        <f>'T_TTAFStock'!CG22</f>
        <v/>
      </c>
      <c r="CJ675">
        <f>'T_TTAFStock'!CH22</f>
        <v/>
      </c>
      <c r="CK675">
        <f>'T_TTAFStock'!CI22</f>
        <v/>
      </c>
      <c r="CL675">
        <f>'T_TTAFStock'!CJ22</f>
        <v/>
      </c>
      <c r="CM675">
        <f>'T_TTAFStock'!CK22</f>
        <v/>
      </c>
      <c r="CN675">
        <f>'T_TTAFStock'!CL22</f>
        <v/>
      </c>
      <c r="CO675">
        <f>'T_TTAFStock'!CM22</f>
        <v/>
      </c>
      <c r="CP675">
        <f>'T_TTAFStock'!CN22</f>
        <v/>
      </c>
      <c r="CQ675">
        <f>'T_TTAFStock'!CO22</f>
        <v/>
      </c>
      <c r="CR675">
        <f>'T_TTAFStock'!CP22</f>
        <v/>
      </c>
      <c r="CS675">
        <f>'T_TTAFStock'!CQ22</f>
        <v/>
      </c>
      <c r="CT675">
        <f>'T_TTAFStock'!CR22</f>
        <v/>
      </c>
      <c r="CU675">
        <f>'T_TTAFStock'!CS22</f>
        <v/>
      </c>
      <c r="CV675">
        <f>'T_TTAFStock'!CT22</f>
        <v/>
      </c>
      <c r="CW675">
        <f>'T_TTAFStock'!CU22</f>
        <v/>
      </c>
      <c r="CX675">
        <f>'T_TTAFStock'!CV22</f>
        <v/>
      </c>
      <c r="CY675">
        <f>'T_TTAFStock'!CW22</f>
        <v/>
      </c>
      <c r="CZ675">
        <f>'T_TTAFStock'!CX22</f>
        <v/>
      </c>
      <c r="DA675">
        <f>'T_TTAFStock'!CY22</f>
        <v/>
      </c>
      <c r="DB675">
        <f>'T_TTAFStock'!CZ22</f>
        <v/>
      </c>
      <c r="DC675">
        <f>'T_TTAFStock'!DA22</f>
        <v/>
      </c>
    </row>
    <row r="676">
      <c r="B676" t="inlineStr">
        <is>
          <t>自社在庫(実績,kg)</t>
        </is>
      </c>
      <c r="D676">
        <f>'T_SelfStock'!B22</f>
        <v/>
      </c>
      <c r="E676">
        <f>'T_SelfStock'!C22</f>
        <v/>
      </c>
      <c r="F676">
        <f>'T_SelfStock'!D22</f>
        <v/>
      </c>
      <c r="G676">
        <f>'T_SelfStock'!E22</f>
        <v/>
      </c>
      <c r="H676">
        <f>'T_SelfStock'!F22</f>
        <v/>
      </c>
      <c r="I676">
        <f>'T_SelfStock'!G22</f>
        <v/>
      </c>
      <c r="J676">
        <f>'T_SelfStock'!H22</f>
        <v/>
      </c>
      <c r="K676">
        <f>'T_SelfStock'!I22</f>
        <v/>
      </c>
      <c r="L676">
        <f>'T_SelfStock'!J22</f>
        <v/>
      </c>
      <c r="M676">
        <f>'T_SelfStock'!K22</f>
        <v/>
      </c>
      <c r="N676">
        <f>'T_SelfStock'!L22</f>
        <v/>
      </c>
      <c r="O676">
        <f>'T_SelfStock'!M22</f>
        <v/>
      </c>
      <c r="P676">
        <f>'T_SelfStock'!N22</f>
        <v/>
      </c>
      <c r="Q676">
        <f>'T_SelfStock'!O22</f>
        <v/>
      </c>
      <c r="R676">
        <f>'T_SelfStock'!P22</f>
        <v/>
      </c>
      <c r="S676">
        <f>'T_SelfStock'!Q22</f>
        <v/>
      </c>
      <c r="T676">
        <f>'T_SelfStock'!R22</f>
        <v/>
      </c>
      <c r="U676">
        <f>'T_SelfStock'!S22</f>
        <v/>
      </c>
      <c r="V676">
        <f>'T_SelfStock'!T22</f>
        <v/>
      </c>
      <c r="W676">
        <f>'T_SelfStock'!U22</f>
        <v/>
      </c>
      <c r="X676">
        <f>'T_SelfStock'!V22</f>
        <v/>
      </c>
      <c r="Y676">
        <f>'T_SelfStock'!W22</f>
        <v/>
      </c>
      <c r="Z676">
        <f>'T_SelfStock'!X22</f>
        <v/>
      </c>
      <c r="AA676">
        <f>'T_SelfStock'!Y22</f>
        <v/>
      </c>
      <c r="AB676">
        <f>'T_SelfStock'!Z22</f>
        <v/>
      </c>
      <c r="AC676">
        <f>'T_SelfStock'!AA22</f>
        <v/>
      </c>
      <c r="AD676">
        <f>'T_SelfStock'!AB22</f>
        <v/>
      </c>
      <c r="AE676">
        <f>'T_SelfStock'!AC22</f>
        <v/>
      </c>
      <c r="AF676">
        <f>'T_SelfStock'!AD22</f>
        <v/>
      </c>
      <c r="AG676">
        <f>'T_SelfStock'!AE22</f>
        <v/>
      </c>
      <c r="AH676">
        <f>'T_SelfStock'!AF22</f>
        <v/>
      </c>
      <c r="AI676">
        <f>'T_SelfStock'!AG22</f>
        <v/>
      </c>
      <c r="AJ676">
        <f>'T_SelfStock'!AH22</f>
        <v/>
      </c>
      <c r="AK676">
        <f>'T_SelfStock'!AI22</f>
        <v/>
      </c>
      <c r="AL676">
        <f>'T_SelfStock'!AJ22</f>
        <v/>
      </c>
      <c r="AM676">
        <f>'T_SelfStock'!AK22</f>
        <v/>
      </c>
      <c r="AN676">
        <f>'T_SelfStock'!AL22</f>
        <v/>
      </c>
      <c r="AO676">
        <f>'T_SelfStock'!AM22</f>
        <v/>
      </c>
      <c r="AP676">
        <f>'T_SelfStock'!AN22</f>
        <v/>
      </c>
      <c r="AQ676">
        <f>'T_SelfStock'!AO22</f>
        <v/>
      </c>
      <c r="AR676">
        <f>'T_SelfStock'!AP22</f>
        <v/>
      </c>
      <c r="AS676">
        <f>'T_SelfStock'!AQ22</f>
        <v/>
      </c>
      <c r="AT676">
        <f>'T_SelfStock'!AR22</f>
        <v/>
      </c>
      <c r="AU676">
        <f>'T_SelfStock'!AS22</f>
        <v/>
      </c>
      <c r="AV676">
        <f>'T_SelfStock'!AT22</f>
        <v/>
      </c>
      <c r="AW676">
        <f>'T_SelfStock'!AU22</f>
        <v/>
      </c>
      <c r="AX676">
        <f>'T_SelfStock'!AV22</f>
        <v/>
      </c>
      <c r="AY676">
        <f>'T_SelfStock'!AW22</f>
        <v/>
      </c>
      <c r="AZ676">
        <f>'T_SelfStock'!AX22</f>
        <v/>
      </c>
      <c r="BA676">
        <f>'T_SelfStock'!AY22</f>
        <v/>
      </c>
      <c r="BB676">
        <f>'T_SelfStock'!AZ22</f>
        <v/>
      </c>
      <c r="BC676">
        <f>'T_SelfStock'!BA22</f>
        <v/>
      </c>
      <c r="BD676">
        <f>'T_SelfStock'!BB22</f>
        <v/>
      </c>
      <c r="BE676">
        <f>'T_SelfStock'!BC22</f>
        <v/>
      </c>
      <c r="BF676">
        <f>'T_SelfStock'!BD22</f>
        <v/>
      </c>
      <c r="BG676">
        <f>'T_SelfStock'!BE22</f>
        <v/>
      </c>
      <c r="BH676">
        <f>'T_SelfStock'!BF22</f>
        <v/>
      </c>
      <c r="BI676">
        <f>'T_SelfStock'!BG22</f>
        <v/>
      </c>
      <c r="BJ676">
        <f>'T_SelfStock'!BH22</f>
        <v/>
      </c>
      <c r="BK676">
        <f>'T_SelfStock'!BI22</f>
        <v/>
      </c>
      <c r="BL676">
        <f>'T_SelfStock'!BJ22</f>
        <v/>
      </c>
      <c r="BM676">
        <f>'T_SelfStock'!BK22</f>
        <v/>
      </c>
      <c r="BN676">
        <f>'T_SelfStock'!BL22</f>
        <v/>
      </c>
      <c r="BO676">
        <f>'T_SelfStock'!BM22</f>
        <v/>
      </c>
      <c r="BP676">
        <f>'T_SelfStock'!BN22</f>
        <v/>
      </c>
      <c r="BQ676">
        <f>'T_SelfStock'!BO22</f>
        <v/>
      </c>
      <c r="BR676">
        <f>'T_SelfStock'!BP22</f>
        <v/>
      </c>
      <c r="BS676">
        <f>'T_SelfStock'!BQ22</f>
        <v/>
      </c>
      <c r="BT676">
        <f>'T_SelfStock'!BR22</f>
        <v/>
      </c>
      <c r="BU676">
        <f>'T_SelfStock'!BS22</f>
        <v/>
      </c>
      <c r="BV676">
        <f>'T_SelfStock'!BT22</f>
        <v/>
      </c>
      <c r="BW676">
        <f>'T_SelfStock'!BU22</f>
        <v/>
      </c>
      <c r="BX676">
        <f>'T_SelfStock'!BV22</f>
        <v/>
      </c>
      <c r="BY676">
        <f>'T_SelfStock'!BW22</f>
        <v/>
      </c>
      <c r="BZ676">
        <f>'T_SelfStock'!BX22</f>
        <v/>
      </c>
      <c r="CA676">
        <f>'T_SelfStock'!BY22</f>
        <v/>
      </c>
      <c r="CB676">
        <f>'T_SelfStock'!BZ22</f>
        <v/>
      </c>
      <c r="CC676">
        <f>'T_SelfStock'!CA22</f>
        <v/>
      </c>
      <c r="CD676">
        <f>'T_SelfStock'!CB22</f>
        <v/>
      </c>
      <c r="CE676">
        <f>'T_SelfStock'!CC22</f>
        <v/>
      </c>
      <c r="CF676">
        <f>'T_SelfStock'!CD22</f>
        <v/>
      </c>
      <c r="CG676">
        <f>'T_SelfStock'!CE22</f>
        <v/>
      </c>
      <c r="CH676">
        <f>'T_SelfStock'!CF22</f>
        <v/>
      </c>
      <c r="CI676">
        <f>'T_SelfStock'!CG22</f>
        <v/>
      </c>
      <c r="CJ676">
        <f>'T_SelfStock'!CH22</f>
        <v/>
      </c>
      <c r="CK676">
        <f>'T_SelfStock'!CI22</f>
        <v/>
      </c>
      <c r="CL676">
        <f>'T_SelfStock'!CJ22</f>
        <v/>
      </c>
      <c r="CM676">
        <f>'T_SelfStock'!CK22</f>
        <v/>
      </c>
      <c r="CN676">
        <f>'T_SelfStock'!CL22</f>
        <v/>
      </c>
      <c r="CO676">
        <f>'T_SelfStock'!CM22</f>
        <v/>
      </c>
      <c r="CP676">
        <f>'T_SelfStock'!CN22</f>
        <v/>
      </c>
      <c r="CQ676">
        <f>'T_SelfStock'!CO22</f>
        <v/>
      </c>
      <c r="CR676">
        <f>'T_SelfStock'!CP22</f>
        <v/>
      </c>
      <c r="CS676">
        <f>'T_SelfStock'!CQ22</f>
        <v/>
      </c>
      <c r="CT676">
        <f>'T_SelfStock'!CR22</f>
        <v/>
      </c>
      <c r="CU676">
        <f>'T_SelfStock'!CS22</f>
        <v/>
      </c>
      <c r="CV676">
        <f>'T_SelfStock'!CT22</f>
        <v/>
      </c>
      <c r="CW676">
        <f>'T_SelfStock'!CU22</f>
        <v/>
      </c>
      <c r="CX676">
        <f>'T_SelfStock'!CV22</f>
        <v/>
      </c>
      <c r="CY676">
        <f>'T_SelfStock'!CW22</f>
        <v/>
      </c>
      <c r="CZ676">
        <f>'T_SelfStock'!CX22</f>
        <v/>
      </c>
      <c r="DA676">
        <f>'T_SelfStock'!CY22</f>
        <v/>
      </c>
      <c r="DB676">
        <f>'T_SelfStock'!CZ22</f>
        <v/>
      </c>
      <c r="DC676">
        <f>'T_SelfStock'!DA22</f>
        <v/>
      </c>
    </row>
    <row r="677">
      <c r="B677" t="inlineStr">
        <is>
          <t>Order(発注予定,kg)</t>
        </is>
      </c>
      <c r="D677">
        <f>IF(SUMIFS(T_PlannedOrders[EffectiveQty],T_PlannedOrders[Part Name],$A653,T_PlannedOrders[WeekIndex],1)=0,"",SUMIFS(T_PlannedOrders[EffectiveQty],T_PlannedOrders[Part Name],$A653,T_PlannedOrders[WeekIndex],1)&amp;" ("&amp;TEXT(SUMPRODUCT(MAX((T_PlannedOrders[Part Name]=$A653)*(T_PlannedOrders[WeekIndex]=1)*(T_PlannedOrders[EffectiveQty]&gt;0)*T_PlannedOrders[Order_Month])),"m月")&amp;"発注)")</f>
        <v/>
      </c>
      <c r="E677">
        <f>IF(SUMIFS(T_PlannedOrders[EffectiveQty],T_PlannedOrders[Part Name],$A653,T_PlannedOrders[WeekIndex],2)=0,"",SUMIFS(T_PlannedOrders[EffectiveQty],T_PlannedOrders[Part Name],$A653,T_PlannedOrders[WeekIndex],2)&amp;" ("&amp;TEXT(SUMPRODUCT(MAX((T_PlannedOrders[Part Name]=$A653)*(T_PlannedOrders[WeekIndex]=2)*(T_PlannedOrders[EffectiveQty]&gt;0)*T_PlannedOrders[Order_Month])),"m月")&amp;"発注)")</f>
        <v/>
      </c>
      <c r="F677">
        <f>IF(SUMIFS(T_PlannedOrders[EffectiveQty],T_PlannedOrders[Part Name],$A653,T_PlannedOrders[WeekIndex],3)=0,"",SUMIFS(T_PlannedOrders[EffectiveQty],T_PlannedOrders[Part Name],$A653,T_PlannedOrders[WeekIndex],3)&amp;" ("&amp;TEXT(SUMPRODUCT(MAX((T_PlannedOrders[Part Name]=$A653)*(T_PlannedOrders[WeekIndex]=3)*(T_PlannedOrders[EffectiveQty]&gt;0)*T_PlannedOrders[Order_Month])),"m月")&amp;"発注)")</f>
        <v/>
      </c>
      <c r="G677">
        <f>IF(SUMIFS(T_PlannedOrders[EffectiveQty],T_PlannedOrders[Part Name],$A653,T_PlannedOrders[WeekIndex],4)=0,"",SUMIFS(T_PlannedOrders[EffectiveQty],T_PlannedOrders[Part Name],$A653,T_PlannedOrders[WeekIndex],4)&amp;" ("&amp;TEXT(SUMPRODUCT(MAX((T_PlannedOrders[Part Name]=$A653)*(T_PlannedOrders[WeekIndex]=4)*(T_PlannedOrders[EffectiveQty]&gt;0)*T_PlannedOrders[Order_Month])),"m月")&amp;"発注)")</f>
        <v/>
      </c>
      <c r="H677">
        <f>IF(SUMIFS(T_PlannedOrders[EffectiveQty],T_PlannedOrders[Part Name],$A653,T_PlannedOrders[WeekIndex],5)=0,"",SUMIFS(T_PlannedOrders[EffectiveQty],T_PlannedOrders[Part Name],$A653,T_PlannedOrders[WeekIndex],5)&amp;" ("&amp;TEXT(SUMPRODUCT(MAX((T_PlannedOrders[Part Name]=$A653)*(T_PlannedOrders[WeekIndex]=5)*(T_PlannedOrders[EffectiveQty]&gt;0)*T_PlannedOrders[Order_Month])),"m月")&amp;"発注)")</f>
        <v/>
      </c>
      <c r="I677">
        <f>IF(SUMIFS(T_PlannedOrders[EffectiveQty],T_PlannedOrders[Part Name],$A653,T_PlannedOrders[WeekIndex],6)=0,"",SUMIFS(T_PlannedOrders[EffectiveQty],T_PlannedOrders[Part Name],$A653,T_PlannedOrders[WeekIndex],6)&amp;" ("&amp;TEXT(SUMPRODUCT(MAX((T_PlannedOrders[Part Name]=$A653)*(T_PlannedOrders[WeekIndex]=6)*(T_PlannedOrders[EffectiveQty]&gt;0)*T_PlannedOrders[Order_Month])),"m月")&amp;"発注)")</f>
        <v/>
      </c>
      <c r="J677">
        <f>IF(SUMIFS(T_PlannedOrders[EffectiveQty],T_PlannedOrders[Part Name],$A653,T_PlannedOrders[WeekIndex],7)=0,"",SUMIFS(T_PlannedOrders[EffectiveQty],T_PlannedOrders[Part Name],$A653,T_PlannedOrders[WeekIndex],7)&amp;" ("&amp;TEXT(SUMPRODUCT(MAX((T_PlannedOrders[Part Name]=$A653)*(T_PlannedOrders[WeekIndex]=7)*(T_PlannedOrders[EffectiveQty]&gt;0)*T_PlannedOrders[Order_Month])),"m月")&amp;"発注)")</f>
        <v/>
      </c>
      <c r="K677">
        <f>IF(SUMIFS(T_PlannedOrders[EffectiveQty],T_PlannedOrders[Part Name],$A653,T_PlannedOrders[WeekIndex],8)=0,"",SUMIFS(T_PlannedOrders[EffectiveQty],T_PlannedOrders[Part Name],$A653,T_PlannedOrders[WeekIndex],8)&amp;" ("&amp;TEXT(SUMPRODUCT(MAX((T_PlannedOrders[Part Name]=$A653)*(T_PlannedOrders[WeekIndex]=8)*(T_PlannedOrders[EffectiveQty]&gt;0)*T_PlannedOrders[Order_Month])),"m月")&amp;"発注)")</f>
        <v/>
      </c>
      <c r="L677">
        <f>IF(SUMIFS(T_PlannedOrders[EffectiveQty],T_PlannedOrders[Part Name],$A653,T_PlannedOrders[WeekIndex],9)=0,"",SUMIFS(T_PlannedOrders[EffectiveQty],T_PlannedOrders[Part Name],$A653,T_PlannedOrders[WeekIndex],9)&amp;" ("&amp;TEXT(SUMPRODUCT(MAX((T_PlannedOrders[Part Name]=$A653)*(T_PlannedOrders[WeekIndex]=9)*(T_PlannedOrders[EffectiveQty]&gt;0)*T_PlannedOrders[Order_Month])),"m月")&amp;"発注)")</f>
        <v/>
      </c>
      <c r="M677">
        <f>IF(SUMIFS(T_PlannedOrders[EffectiveQty],T_PlannedOrders[Part Name],$A653,T_PlannedOrders[WeekIndex],10)=0,"",SUMIFS(T_PlannedOrders[EffectiveQty],T_PlannedOrders[Part Name],$A653,T_PlannedOrders[WeekIndex],10)&amp;" ("&amp;TEXT(SUMPRODUCT(MAX((T_PlannedOrders[Part Name]=$A653)*(T_PlannedOrders[WeekIndex]=10)*(T_PlannedOrders[EffectiveQty]&gt;0)*T_PlannedOrders[Order_Month])),"m月")&amp;"発注)")</f>
        <v/>
      </c>
      <c r="N677">
        <f>IF(SUMIFS(T_PlannedOrders[EffectiveQty],T_PlannedOrders[Part Name],$A653,T_PlannedOrders[WeekIndex],11)=0,"",SUMIFS(T_PlannedOrders[EffectiveQty],T_PlannedOrders[Part Name],$A653,T_PlannedOrders[WeekIndex],11)&amp;" ("&amp;TEXT(SUMPRODUCT(MAX((T_PlannedOrders[Part Name]=$A653)*(T_PlannedOrders[WeekIndex]=11)*(T_PlannedOrders[EffectiveQty]&gt;0)*T_PlannedOrders[Order_Month])),"m月")&amp;"発注)")</f>
        <v/>
      </c>
      <c r="O677">
        <f>IF(SUMIFS(T_PlannedOrders[EffectiveQty],T_PlannedOrders[Part Name],$A653,T_PlannedOrders[WeekIndex],12)=0,"",SUMIFS(T_PlannedOrders[EffectiveQty],T_PlannedOrders[Part Name],$A653,T_PlannedOrders[WeekIndex],12)&amp;" ("&amp;TEXT(SUMPRODUCT(MAX((T_PlannedOrders[Part Name]=$A653)*(T_PlannedOrders[WeekIndex]=12)*(T_PlannedOrders[EffectiveQty]&gt;0)*T_PlannedOrders[Order_Month])),"m月")&amp;"発注)")</f>
        <v/>
      </c>
      <c r="P677">
        <f>IF(SUMIFS(T_PlannedOrders[EffectiveQty],T_PlannedOrders[Part Name],$A653,T_PlannedOrders[WeekIndex],13)=0,"",SUMIFS(T_PlannedOrders[EffectiveQty],T_PlannedOrders[Part Name],$A653,T_PlannedOrders[WeekIndex],13)&amp;" ("&amp;TEXT(SUMPRODUCT(MAX((T_PlannedOrders[Part Name]=$A653)*(T_PlannedOrders[WeekIndex]=13)*(T_PlannedOrders[EffectiveQty]&gt;0)*T_PlannedOrders[Order_Month])),"m月")&amp;"発注)")</f>
        <v/>
      </c>
      <c r="Q677">
        <f>IF(SUMIFS(T_PlannedOrders[EffectiveQty],T_PlannedOrders[Part Name],$A653,T_PlannedOrders[WeekIndex],14)=0,"",SUMIFS(T_PlannedOrders[EffectiveQty],T_PlannedOrders[Part Name],$A653,T_PlannedOrders[WeekIndex],14)&amp;" ("&amp;TEXT(SUMPRODUCT(MAX((T_PlannedOrders[Part Name]=$A653)*(T_PlannedOrders[WeekIndex]=14)*(T_PlannedOrders[EffectiveQty]&gt;0)*T_PlannedOrders[Order_Month])),"m月")&amp;"発注)")</f>
        <v/>
      </c>
      <c r="R677">
        <f>IF(SUMIFS(T_PlannedOrders[EffectiveQty],T_PlannedOrders[Part Name],$A653,T_PlannedOrders[WeekIndex],15)=0,"",SUMIFS(T_PlannedOrders[EffectiveQty],T_PlannedOrders[Part Name],$A653,T_PlannedOrders[WeekIndex],15)&amp;" ("&amp;TEXT(SUMPRODUCT(MAX((T_PlannedOrders[Part Name]=$A653)*(T_PlannedOrders[WeekIndex]=15)*(T_PlannedOrders[EffectiveQty]&gt;0)*T_PlannedOrders[Order_Month])),"m月")&amp;"発注)")</f>
        <v/>
      </c>
      <c r="S677">
        <f>IF(SUMIFS(T_PlannedOrders[EffectiveQty],T_PlannedOrders[Part Name],$A653,T_PlannedOrders[WeekIndex],16)=0,"",SUMIFS(T_PlannedOrders[EffectiveQty],T_PlannedOrders[Part Name],$A653,T_PlannedOrders[WeekIndex],16)&amp;" ("&amp;TEXT(SUMPRODUCT(MAX((T_PlannedOrders[Part Name]=$A653)*(T_PlannedOrders[WeekIndex]=16)*(T_PlannedOrders[EffectiveQty]&gt;0)*T_PlannedOrders[Order_Month])),"m月")&amp;"発注)")</f>
        <v/>
      </c>
      <c r="T677">
        <f>IF(SUMIFS(T_PlannedOrders[EffectiveQty],T_PlannedOrders[Part Name],$A653,T_PlannedOrders[WeekIndex],17)=0,"",SUMIFS(T_PlannedOrders[EffectiveQty],T_PlannedOrders[Part Name],$A653,T_PlannedOrders[WeekIndex],17)&amp;" ("&amp;TEXT(SUMPRODUCT(MAX((T_PlannedOrders[Part Name]=$A653)*(T_PlannedOrders[WeekIndex]=17)*(T_PlannedOrders[EffectiveQty]&gt;0)*T_PlannedOrders[Order_Month])),"m月")&amp;"発注)")</f>
        <v/>
      </c>
      <c r="U677">
        <f>IF(SUMIFS(T_PlannedOrders[EffectiveQty],T_PlannedOrders[Part Name],$A653,T_PlannedOrders[WeekIndex],18)=0,"",SUMIFS(T_PlannedOrders[EffectiveQty],T_PlannedOrders[Part Name],$A653,T_PlannedOrders[WeekIndex],18)&amp;" ("&amp;TEXT(SUMPRODUCT(MAX((T_PlannedOrders[Part Name]=$A653)*(T_PlannedOrders[WeekIndex]=18)*(T_PlannedOrders[EffectiveQty]&gt;0)*T_PlannedOrders[Order_Month])),"m月")&amp;"発注)")</f>
        <v/>
      </c>
      <c r="V677">
        <f>IF(SUMIFS(T_PlannedOrders[EffectiveQty],T_PlannedOrders[Part Name],$A653,T_PlannedOrders[WeekIndex],19)=0,"",SUMIFS(T_PlannedOrders[EffectiveQty],T_PlannedOrders[Part Name],$A653,T_PlannedOrders[WeekIndex],19)&amp;" ("&amp;TEXT(SUMPRODUCT(MAX((T_PlannedOrders[Part Name]=$A653)*(T_PlannedOrders[WeekIndex]=19)*(T_PlannedOrders[EffectiveQty]&gt;0)*T_PlannedOrders[Order_Month])),"m月")&amp;"発注)")</f>
        <v/>
      </c>
      <c r="W677">
        <f>IF(SUMIFS(T_PlannedOrders[EffectiveQty],T_PlannedOrders[Part Name],$A653,T_PlannedOrders[WeekIndex],20)=0,"",SUMIFS(T_PlannedOrders[EffectiveQty],T_PlannedOrders[Part Name],$A653,T_PlannedOrders[WeekIndex],20)&amp;" ("&amp;TEXT(SUMPRODUCT(MAX((T_PlannedOrders[Part Name]=$A653)*(T_PlannedOrders[WeekIndex]=20)*(T_PlannedOrders[EffectiveQty]&gt;0)*T_PlannedOrders[Order_Month])),"m月")&amp;"発注)")</f>
        <v/>
      </c>
      <c r="X677">
        <f>IF(SUMIFS(T_PlannedOrders[EffectiveQty],T_PlannedOrders[Part Name],$A653,T_PlannedOrders[WeekIndex],21)=0,"",SUMIFS(T_PlannedOrders[EffectiveQty],T_PlannedOrders[Part Name],$A653,T_PlannedOrders[WeekIndex],21)&amp;" ("&amp;TEXT(SUMPRODUCT(MAX((T_PlannedOrders[Part Name]=$A653)*(T_PlannedOrders[WeekIndex]=21)*(T_PlannedOrders[EffectiveQty]&gt;0)*T_PlannedOrders[Order_Month])),"m月")&amp;"発注)")</f>
        <v/>
      </c>
      <c r="Y677">
        <f>IF(SUMIFS(T_PlannedOrders[EffectiveQty],T_PlannedOrders[Part Name],$A653,T_PlannedOrders[WeekIndex],22)=0,"",SUMIFS(T_PlannedOrders[EffectiveQty],T_PlannedOrders[Part Name],$A653,T_PlannedOrders[WeekIndex],22)&amp;" ("&amp;TEXT(SUMPRODUCT(MAX((T_PlannedOrders[Part Name]=$A653)*(T_PlannedOrders[WeekIndex]=22)*(T_PlannedOrders[EffectiveQty]&gt;0)*T_PlannedOrders[Order_Month])),"m月")&amp;"発注)")</f>
        <v/>
      </c>
      <c r="Z677">
        <f>IF(SUMIFS(T_PlannedOrders[EffectiveQty],T_PlannedOrders[Part Name],$A653,T_PlannedOrders[WeekIndex],23)=0,"",SUMIFS(T_PlannedOrders[EffectiveQty],T_PlannedOrders[Part Name],$A653,T_PlannedOrders[WeekIndex],23)&amp;" ("&amp;TEXT(SUMPRODUCT(MAX((T_PlannedOrders[Part Name]=$A653)*(T_PlannedOrders[WeekIndex]=23)*(T_PlannedOrders[EffectiveQty]&gt;0)*T_PlannedOrders[Order_Month])),"m月")&amp;"発注)")</f>
        <v/>
      </c>
      <c r="AA677">
        <f>IF(SUMIFS(T_PlannedOrders[EffectiveQty],T_PlannedOrders[Part Name],$A653,T_PlannedOrders[WeekIndex],24)=0,"",SUMIFS(T_PlannedOrders[EffectiveQty],T_PlannedOrders[Part Name],$A653,T_PlannedOrders[WeekIndex],24)&amp;" ("&amp;TEXT(SUMPRODUCT(MAX((T_PlannedOrders[Part Name]=$A653)*(T_PlannedOrders[WeekIndex]=24)*(T_PlannedOrders[EffectiveQty]&gt;0)*T_PlannedOrders[Order_Month])),"m月")&amp;"発注)")</f>
        <v/>
      </c>
      <c r="AB677">
        <f>IF(SUMIFS(T_PlannedOrders[EffectiveQty],T_PlannedOrders[Part Name],$A653,T_PlannedOrders[WeekIndex],25)=0,"",SUMIFS(T_PlannedOrders[EffectiveQty],T_PlannedOrders[Part Name],$A653,T_PlannedOrders[WeekIndex],25)&amp;" ("&amp;TEXT(SUMPRODUCT(MAX((T_PlannedOrders[Part Name]=$A653)*(T_PlannedOrders[WeekIndex]=25)*(T_PlannedOrders[EffectiveQty]&gt;0)*T_PlannedOrders[Order_Month])),"m月")&amp;"発注)")</f>
        <v/>
      </c>
      <c r="AC677">
        <f>IF(SUMIFS(T_PlannedOrders[EffectiveQty],T_PlannedOrders[Part Name],$A653,T_PlannedOrders[WeekIndex],26)=0,"",SUMIFS(T_PlannedOrders[EffectiveQty],T_PlannedOrders[Part Name],$A653,T_PlannedOrders[WeekIndex],26)&amp;" ("&amp;TEXT(SUMPRODUCT(MAX((T_PlannedOrders[Part Name]=$A653)*(T_PlannedOrders[WeekIndex]=26)*(T_PlannedOrders[EffectiveQty]&gt;0)*T_PlannedOrders[Order_Month])),"m月")&amp;"発注)")</f>
        <v/>
      </c>
      <c r="AD677">
        <f>IF(SUMIFS(T_PlannedOrders[EffectiveQty],T_PlannedOrders[Part Name],$A653,T_PlannedOrders[WeekIndex],27)=0,"",SUMIFS(T_PlannedOrders[EffectiveQty],T_PlannedOrders[Part Name],$A653,T_PlannedOrders[WeekIndex],27)&amp;" ("&amp;TEXT(SUMPRODUCT(MAX((T_PlannedOrders[Part Name]=$A653)*(T_PlannedOrders[WeekIndex]=27)*(T_PlannedOrders[EffectiveQty]&gt;0)*T_PlannedOrders[Order_Month])),"m月")&amp;"発注)")</f>
        <v/>
      </c>
      <c r="AE677">
        <f>IF(SUMIFS(T_PlannedOrders[EffectiveQty],T_PlannedOrders[Part Name],$A653,T_PlannedOrders[WeekIndex],28)=0,"",SUMIFS(T_PlannedOrders[EffectiveQty],T_PlannedOrders[Part Name],$A653,T_PlannedOrders[WeekIndex],28)&amp;" ("&amp;TEXT(SUMPRODUCT(MAX((T_PlannedOrders[Part Name]=$A653)*(T_PlannedOrders[WeekIndex]=28)*(T_PlannedOrders[EffectiveQty]&gt;0)*T_PlannedOrders[Order_Month])),"m月")&amp;"発注)")</f>
        <v/>
      </c>
      <c r="AF677">
        <f>IF(SUMIFS(T_PlannedOrders[EffectiveQty],T_PlannedOrders[Part Name],$A653,T_PlannedOrders[WeekIndex],29)=0,"",SUMIFS(T_PlannedOrders[EffectiveQty],T_PlannedOrders[Part Name],$A653,T_PlannedOrders[WeekIndex],29)&amp;" ("&amp;TEXT(SUMPRODUCT(MAX((T_PlannedOrders[Part Name]=$A653)*(T_PlannedOrders[WeekIndex]=29)*(T_PlannedOrders[EffectiveQty]&gt;0)*T_PlannedOrders[Order_Month])),"m月")&amp;"発注)")</f>
        <v/>
      </c>
      <c r="AG677">
        <f>IF(SUMIFS(T_PlannedOrders[EffectiveQty],T_PlannedOrders[Part Name],$A653,T_PlannedOrders[WeekIndex],30)=0,"",SUMIFS(T_PlannedOrders[EffectiveQty],T_PlannedOrders[Part Name],$A653,T_PlannedOrders[WeekIndex],30)&amp;" ("&amp;TEXT(SUMPRODUCT(MAX((T_PlannedOrders[Part Name]=$A653)*(T_PlannedOrders[WeekIndex]=30)*(T_PlannedOrders[EffectiveQty]&gt;0)*T_PlannedOrders[Order_Month])),"m月")&amp;"発注)")</f>
        <v/>
      </c>
      <c r="AH677">
        <f>IF(SUMIFS(T_PlannedOrders[EffectiveQty],T_PlannedOrders[Part Name],$A653,T_PlannedOrders[WeekIndex],31)=0,"",SUMIFS(T_PlannedOrders[EffectiveQty],T_PlannedOrders[Part Name],$A653,T_PlannedOrders[WeekIndex],31)&amp;" ("&amp;TEXT(SUMPRODUCT(MAX((T_PlannedOrders[Part Name]=$A653)*(T_PlannedOrders[WeekIndex]=31)*(T_PlannedOrders[EffectiveQty]&gt;0)*T_PlannedOrders[Order_Month])),"m月")&amp;"発注)")</f>
        <v/>
      </c>
      <c r="AI677">
        <f>IF(SUMIFS(T_PlannedOrders[EffectiveQty],T_PlannedOrders[Part Name],$A653,T_PlannedOrders[WeekIndex],32)=0,"",SUMIFS(T_PlannedOrders[EffectiveQty],T_PlannedOrders[Part Name],$A653,T_PlannedOrders[WeekIndex],32)&amp;" ("&amp;TEXT(SUMPRODUCT(MAX((T_PlannedOrders[Part Name]=$A653)*(T_PlannedOrders[WeekIndex]=32)*(T_PlannedOrders[EffectiveQty]&gt;0)*T_PlannedOrders[Order_Month])),"m月")&amp;"発注)")</f>
        <v/>
      </c>
      <c r="AJ677">
        <f>IF(SUMIFS(T_PlannedOrders[EffectiveQty],T_PlannedOrders[Part Name],$A653,T_PlannedOrders[WeekIndex],33)=0,"",SUMIFS(T_PlannedOrders[EffectiveQty],T_PlannedOrders[Part Name],$A653,T_PlannedOrders[WeekIndex],33)&amp;" ("&amp;TEXT(SUMPRODUCT(MAX((T_PlannedOrders[Part Name]=$A653)*(T_PlannedOrders[WeekIndex]=33)*(T_PlannedOrders[EffectiveQty]&gt;0)*T_PlannedOrders[Order_Month])),"m月")&amp;"発注)")</f>
        <v/>
      </c>
      <c r="AK677">
        <f>IF(SUMIFS(T_PlannedOrders[EffectiveQty],T_PlannedOrders[Part Name],$A653,T_PlannedOrders[WeekIndex],34)=0,"",SUMIFS(T_PlannedOrders[EffectiveQty],T_PlannedOrders[Part Name],$A653,T_PlannedOrders[WeekIndex],34)&amp;" ("&amp;TEXT(SUMPRODUCT(MAX((T_PlannedOrders[Part Name]=$A653)*(T_PlannedOrders[WeekIndex]=34)*(T_PlannedOrders[EffectiveQty]&gt;0)*T_PlannedOrders[Order_Month])),"m月")&amp;"発注)")</f>
        <v/>
      </c>
      <c r="AL677">
        <f>IF(SUMIFS(T_PlannedOrders[EffectiveQty],T_PlannedOrders[Part Name],$A653,T_PlannedOrders[WeekIndex],35)=0,"",SUMIFS(T_PlannedOrders[EffectiveQty],T_PlannedOrders[Part Name],$A653,T_PlannedOrders[WeekIndex],35)&amp;" ("&amp;TEXT(SUMPRODUCT(MAX((T_PlannedOrders[Part Name]=$A653)*(T_PlannedOrders[WeekIndex]=35)*(T_PlannedOrders[EffectiveQty]&gt;0)*T_PlannedOrders[Order_Month])),"m月")&amp;"発注)")</f>
        <v/>
      </c>
      <c r="AM677">
        <f>IF(SUMIFS(T_PlannedOrders[EffectiveQty],T_PlannedOrders[Part Name],$A653,T_PlannedOrders[WeekIndex],36)=0,"",SUMIFS(T_PlannedOrders[EffectiveQty],T_PlannedOrders[Part Name],$A653,T_PlannedOrders[WeekIndex],36)&amp;" ("&amp;TEXT(SUMPRODUCT(MAX((T_PlannedOrders[Part Name]=$A653)*(T_PlannedOrders[WeekIndex]=36)*(T_PlannedOrders[EffectiveQty]&gt;0)*T_PlannedOrders[Order_Month])),"m月")&amp;"発注)")</f>
        <v/>
      </c>
      <c r="AN677">
        <f>IF(SUMIFS(T_PlannedOrders[EffectiveQty],T_PlannedOrders[Part Name],$A653,T_PlannedOrders[WeekIndex],37)=0,"",SUMIFS(T_PlannedOrders[EffectiveQty],T_PlannedOrders[Part Name],$A653,T_PlannedOrders[WeekIndex],37)&amp;" ("&amp;TEXT(SUMPRODUCT(MAX((T_PlannedOrders[Part Name]=$A653)*(T_PlannedOrders[WeekIndex]=37)*(T_PlannedOrders[EffectiveQty]&gt;0)*T_PlannedOrders[Order_Month])),"m月")&amp;"発注)")</f>
        <v/>
      </c>
      <c r="AO677">
        <f>IF(SUMIFS(T_PlannedOrders[EffectiveQty],T_PlannedOrders[Part Name],$A653,T_PlannedOrders[WeekIndex],38)=0,"",SUMIFS(T_PlannedOrders[EffectiveQty],T_PlannedOrders[Part Name],$A653,T_PlannedOrders[WeekIndex],38)&amp;" ("&amp;TEXT(SUMPRODUCT(MAX((T_PlannedOrders[Part Name]=$A653)*(T_PlannedOrders[WeekIndex]=38)*(T_PlannedOrders[EffectiveQty]&gt;0)*T_PlannedOrders[Order_Month])),"m月")&amp;"発注)")</f>
        <v/>
      </c>
      <c r="AP677">
        <f>IF(SUMIFS(T_PlannedOrders[EffectiveQty],T_PlannedOrders[Part Name],$A653,T_PlannedOrders[WeekIndex],39)=0,"",SUMIFS(T_PlannedOrders[EffectiveQty],T_PlannedOrders[Part Name],$A653,T_PlannedOrders[WeekIndex],39)&amp;" ("&amp;TEXT(SUMPRODUCT(MAX((T_PlannedOrders[Part Name]=$A653)*(T_PlannedOrders[WeekIndex]=39)*(T_PlannedOrders[EffectiveQty]&gt;0)*T_PlannedOrders[Order_Month])),"m月")&amp;"発注)")</f>
        <v/>
      </c>
      <c r="AQ677">
        <f>IF(SUMIFS(T_PlannedOrders[EffectiveQty],T_PlannedOrders[Part Name],$A653,T_PlannedOrders[WeekIndex],40)=0,"",SUMIFS(T_PlannedOrders[EffectiveQty],T_PlannedOrders[Part Name],$A653,T_PlannedOrders[WeekIndex],40)&amp;" ("&amp;TEXT(SUMPRODUCT(MAX((T_PlannedOrders[Part Name]=$A653)*(T_PlannedOrders[WeekIndex]=40)*(T_PlannedOrders[EffectiveQty]&gt;0)*T_PlannedOrders[Order_Month])),"m月")&amp;"発注)")</f>
        <v/>
      </c>
      <c r="AR677">
        <f>IF(SUMIFS(T_PlannedOrders[EffectiveQty],T_PlannedOrders[Part Name],$A653,T_PlannedOrders[WeekIndex],41)=0,"",SUMIFS(T_PlannedOrders[EffectiveQty],T_PlannedOrders[Part Name],$A653,T_PlannedOrders[WeekIndex],41)&amp;" ("&amp;TEXT(SUMPRODUCT(MAX((T_PlannedOrders[Part Name]=$A653)*(T_PlannedOrders[WeekIndex]=41)*(T_PlannedOrders[EffectiveQty]&gt;0)*T_PlannedOrders[Order_Month])),"m月")&amp;"発注)")</f>
        <v/>
      </c>
      <c r="AS677">
        <f>IF(SUMIFS(T_PlannedOrders[EffectiveQty],T_PlannedOrders[Part Name],$A653,T_PlannedOrders[WeekIndex],42)=0,"",SUMIFS(T_PlannedOrders[EffectiveQty],T_PlannedOrders[Part Name],$A653,T_PlannedOrders[WeekIndex],42)&amp;" ("&amp;TEXT(SUMPRODUCT(MAX((T_PlannedOrders[Part Name]=$A653)*(T_PlannedOrders[WeekIndex]=42)*(T_PlannedOrders[EffectiveQty]&gt;0)*T_PlannedOrders[Order_Month])),"m月")&amp;"発注)")</f>
        <v/>
      </c>
      <c r="AT677">
        <f>IF(SUMIFS(T_PlannedOrders[EffectiveQty],T_PlannedOrders[Part Name],$A653,T_PlannedOrders[WeekIndex],43)=0,"",SUMIFS(T_PlannedOrders[EffectiveQty],T_PlannedOrders[Part Name],$A653,T_PlannedOrders[WeekIndex],43)&amp;" ("&amp;TEXT(SUMPRODUCT(MAX((T_PlannedOrders[Part Name]=$A653)*(T_PlannedOrders[WeekIndex]=43)*(T_PlannedOrders[EffectiveQty]&gt;0)*T_PlannedOrders[Order_Month])),"m月")&amp;"発注)")</f>
        <v/>
      </c>
      <c r="AU677">
        <f>IF(SUMIFS(T_PlannedOrders[EffectiveQty],T_PlannedOrders[Part Name],$A653,T_PlannedOrders[WeekIndex],44)=0,"",SUMIFS(T_PlannedOrders[EffectiveQty],T_PlannedOrders[Part Name],$A653,T_PlannedOrders[WeekIndex],44)&amp;" ("&amp;TEXT(SUMPRODUCT(MAX((T_PlannedOrders[Part Name]=$A653)*(T_PlannedOrders[WeekIndex]=44)*(T_PlannedOrders[EffectiveQty]&gt;0)*T_PlannedOrders[Order_Month])),"m月")&amp;"発注)")</f>
        <v/>
      </c>
      <c r="AV677">
        <f>IF(SUMIFS(T_PlannedOrders[EffectiveQty],T_PlannedOrders[Part Name],$A653,T_PlannedOrders[WeekIndex],45)=0,"",SUMIFS(T_PlannedOrders[EffectiveQty],T_PlannedOrders[Part Name],$A653,T_PlannedOrders[WeekIndex],45)&amp;" ("&amp;TEXT(SUMPRODUCT(MAX((T_PlannedOrders[Part Name]=$A653)*(T_PlannedOrders[WeekIndex]=45)*(T_PlannedOrders[EffectiveQty]&gt;0)*T_PlannedOrders[Order_Month])),"m月")&amp;"発注)")</f>
        <v/>
      </c>
      <c r="AW677">
        <f>IF(SUMIFS(T_PlannedOrders[EffectiveQty],T_PlannedOrders[Part Name],$A653,T_PlannedOrders[WeekIndex],46)=0,"",SUMIFS(T_PlannedOrders[EffectiveQty],T_PlannedOrders[Part Name],$A653,T_PlannedOrders[WeekIndex],46)&amp;" ("&amp;TEXT(SUMPRODUCT(MAX((T_PlannedOrders[Part Name]=$A653)*(T_PlannedOrders[WeekIndex]=46)*(T_PlannedOrders[EffectiveQty]&gt;0)*T_PlannedOrders[Order_Month])),"m月")&amp;"発注)")</f>
        <v/>
      </c>
      <c r="AX677">
        <f>IF(SUMIFS(T_PlannedOrders[EffectiveQty],T_PlannedOrders[Part Name],$A653,T_PlannedOrders[WeekIndex],47)=0,"",SUMIFS(T_PlannedOrders[EffectiveQty],T_PlannedOrders[Part Name],$A653,T_PlannedOrders[WeekIndex],47)&amp;" ("&amp;TEXT(SUMPRODUCT(MAX((T_PlannedOrders[Part Name]=$A653)*(T_PlannedOrders[WeekIndex]=47)*(T_PlannedOrders[EffectiveQty]&gt;0)*T_PlannedOrders[Order_Month])),"m月")&amp;"発注)")</f>
        <v/>
      </c>
      <c r="AY677">
        <f>IF(SUMIFS(T_PlannedOrders[EffectiveQty],T_PlannedOrders[Part Name],$A653,T_PlannedOrders[WeekIndex],48)=0,"",SUMIFS(T_PlannedOrders[EffectiveQty],T_PlannedOrders[Part Name],$A653,T_PlannedOrders[WeekIndex],48)&amp;" ("&amp;TEXT(SUMPRODUCT(MAX((T_PlannedOrders[Part Name]=$A653)*(T_PlannedOrders[WeekIndex]=48)*(T_PlannedOrders[EffectiveQty]&gt;0)*T_PlannedOrders[Order_Month])),"m月")&amp;"発注)")</f>
        <v/>
      </c>
      <c r="AZ677">
        <f>IF(SUMIFS(T_PlannedOrders[EffectiveQty],T_PlannedOrders[Part Name],$A653,T_PlannedOrders[WeekIndex],49)=0,"",SUMIFS(T_PlannedOrders[EffectiveQty],T_PlannedOrders[Part Name],$A653,T_PlannedOrders[WeekIndex],49)&amp;" ("&amp;TEXT(SUMPRODUCT(MAX((T_PlannedOrders[Part Name]=$A653)*(T_PlannedOrders[WeekIndex]=49)*(T_PlannedOrders[EffectiveQty]&gt;0)*T_PlannedOrders[Order_Month])),"m月")&amp;"発注)")</f>
        <v/>
      </c>
      <c r="BA677">
        <f>IF(SUMIFS(T_PlannedOrders[EffectiveQty],T_PlannedOrders[Part Name],$A653,T_PlannedOrders[WeekIndex],50)=0,"",SUMIFS(T_PlannedOrders[EffectiveQty],T_PlannedOrders[Part Name],$A653,T_PlannedOrders[WeekIndex],50)&amp;" ("&amp;TEXT(SUMPRODUCT(MAX((T_PlannedOrders[Part Name]=$A653)*(T_PlannedOrders[WeekIndex]=50)*(T_PlannedOrders[EffectiveQty]&gt;0)*T_PlannedOrders[Order_Month])),"m月")&amp;"発注)")</f>
        <v/>
      </c>
      <c r="BB677">
        <f>IF(SUMIFS(T_PlannedOrders[EffectiveQty],T_PlannedOrders[Part Name],$A653,T_PlannedOrders[WeekIndex],51)=0,"",SUMIFS(T_PlannedOrders[EffectiveQty],T_PlannedOrders[Part Name],$A653,T_PlannedOrders[WeekIndex],51)&amp;" ("&amp;TEXT(SUMPRODUCT(MAX((T_PlannedOrders[Part Name]=$A653)*(T_PlannedOrders[WeekIndex]=51)*(T_PlannedOrders[EffectiveQty]&gt;0)*T_PlannedOrders[Order_Month])),"m月")&amp;"発注)")</f>
        <v/>
      </c>
      <c r="BC677">
        <f>IF(SUMIFS(T_PlannedOrders[EffectiveQty],T_PlannedOrders[Part Name],$A653,T_PlannedOrders[WeekIndex],52)=0,"",SUMIFS(T_PlannedOrders[EffectiveQty],T_PlannedOrders[Part Name],$A653,T_PlannedOrders[WeekIndex],52)&amp;" ("&amp;TEXT(SUMPRODUCT(MAX((T_PlannedOrders[Part Name]=$A653)*(T_PlannedOrders[WeekIndex]=52)*(T_PlannedOrders[EffectiveQty]&gt;0)*T_PlannedOrders[Order_Month])),"m月")&amp;"発注)")</f>
        <v/>
      </c>
      <c r="BD677">
        <f>IF(SUMIFS(T_PlannedOrders[EffectiveQty],T_PlannedOrders[Part Name],$A653,T_PlannedOrders[WeekIndex],53)=0,"",SUMIFS(T_PlannedOrders[EffectiveQty],T_PlannedOrders[Part Name],$A653,T_PlannedOrders[WeekIndex],53)&amp;" ("&amp;TEXT(SUMPRODUCT(MAX((T_PlannedOrders[Part Name]=$A653)*(T_PlannedOrders[WeekIndex]=53)*(T_PlannedOrders[EffectiveQty]&gt;0)*T_PlannedOrders[Order_Month])),"m月")&amp;"発注)")</f>
        <v/>
      </c>
      <c r="BE677">
        <f>IF(SUMIFS(T_PlannedOrders[EffectiveQty],T_PlannedOrders[Part Name],$A653,T_PlannedOrders[WeekIndex],54)=0,"",SUMIFS(T_PlannedOrders[EffectiveQty],T_PlannedOrders[Part Name],$A653,T_PlannedOrders[WeekIndex],54)&amp;" ("&amp;TEXT(SUMPRODUCT(MAX((T_PlannedOrders[Part Name]=$A653)*(T_PlannedOrders[WeekIndex]=54)*(T_PlannedOrders[EffectiveQty]&gt;0)*T_PlannedOrders[Order_Month])),"m月")&amp;"発注)")</f>
        <v/>
      </c>
      <c r="BF677">
        <f>IF(SUMIFS(T_PlannedOrders[EffectiveQty],T_PlannedOrders[Part Name],$A653,T_PlannedOrders[WeekIndex],55)=0,"",SUMIFS(T_PlannedOrders[EffectiveQty],T_PlannedOrders[Part Name],$A653,T_PlannedOrders[WeekIndex],55)&amp;" ("&amp;TEXT(SUMPRODUCT(MAX((T_PlannedOrders[Part Name]=$A653)*(T_PlannedOrders[WeekIndex]=55)*(T_PlannedOrders[EffectiveQty]&gt;0)*T_PlannedOrders[Order_Month])),"m月")&amp;"発注)")</f>
        <v/>
      </c>
      <c r="BG677">
        <f>IF(SUMIFS(T_PlannedOrders[EffectiveQty],T_PlannedOrders[Part Name],$A653,T_PlannedOrders[WeekIndex],56)=0,"",SUMIFS(T_PlannedOrders[EffectiveQty],T_PlannedOrders[Part Name],$A653,T_PlannedOrders[WeekIndex],56)&amp;" ("&amp;TEXT(SUMPRODUCT(MAX((T_PlannedOrders[Part Name]=$A653)*(T_PlannedOrders[WeekIndex]=56)*(T_PlannedOrders[EffectiveQty]&gt;0)*T_PlannedOrders[Order_Month])),"m月")&amp;"発注)")</f>
        <v/>
      </c>
      <c r="BH677">
        <f>IF(SUMIFS(T_PlannedOrders[EffectiveQty],T_PlannedOrders[Part Name],$A653,T_PlannedOrders[WeekIndex],57)=0,"",SUMIFS(T_PlannedOrders[EffectiveQty],T_PlannedOrders[Part Name],$A653,T_PlannedOrders[WeekIndex],57)&amp;" ("&amp;TEXT(SUMPRODUCT(MAX((T_PlannedOrders[Part Name]=$A653)*(T_PlannedOrders[WeekIndex]=57)*(T_PlannedOrders[EffectiveQty]&gt;0)*T_PlannedOrders[Order_Month])),"m月")&amp;"発注)")</f>
        <v/>
      </c>
      <c r="BI677">
        <f>IF(SUMIFS(T_PlannedOrders[EffectiveQty],T_PlannedOrders[Part Name],$A653,T_PlannedOrders[WeekIndex],58)=0,"",SUMIFS(T_PlannedOrders[EffectiveQty],T_PlannedOrders[Part Name],$A653,T_PlannedOrders[WeekIndex],58)&amp;" ("&amp;TEXT(SUMPRODUCT(MAX((T_PlannedOrders[Part Name]=$A653)*(T_PlannedOrders[WeekIndex]=58)*(T_PlannedOrders[EffectiveQty]&gt;0)*T_PlannedOrders[Order_Month])),"m月")&amp;"発注)")</f>
        <v/>
      </c>
      <c r="BJ677">
        <f>IF(SUMIFS(T_PlannedOrders[EffectiveQty],T_PlannedOrders[Part Name],$A653,T_PlannedOrders[WeekIndex],59)=0,"",SUMIFS(T_PlannedOrders[EffectiveQty],T_PlannedOrders[Part Name],$A653,T_PlannedOrders[WeekIndex],59)&amp;" ("&amp;TEXT(SUMPRODUCT(MAX((T_PlannedOrders[Part Name]=$A653)*(T_PlannedOrders[WeekIndex]=59)*(T_PlannedOrders[EffectiveQty]&gt;0)*T_PlannedOrders[Order_Month])),"m月")&amp;"発注)")</f>
        <v/>
      </c>
      <c r="BK677">
        <f>IF(SUMIFS(T_PlannedOrders[EffectiveQty],T_PlannedOrders[Part Name],$A653,T_PlannedOrders[WeekIndex],60)=0,"",SUMIFS(T_PlannedOrders[EffectiveQty],T_PlannedOrders[Part Name],$A653,T_PlannedOrders[WeekIndex],60)&amp;" ("&amp;TEXT(SUMPRODUCT(MAX((T_PlannedOrders[Part Name]=$A653)*(T_PlannedOrders[WeekIndex]=60)*(T_PlannedOrders[EffectiveQty]&gt;0)*T_PlannedOrders[Order_Month])),"m月")&amp;"発注)")</f>
        <v/>
      </c>
      <c r="BL677">
        <f>IF(SUMIFS(T_PlannedOrders[EffectiveQty],T_PlannedOrders[Part Name],$A653,T_PlannedOrders[WeekIndex],61)=0,"",SUMIFS(T_PlannedOrders[EffectiveQty],T_PlannedOrders[Part Name],$A653,T_PlannedOrders[WeekIndex],61)&amp;" ("&amp;TEXT(SUMPRODUCT(MAX((T_PlannedOrders[Part Name]=$A653)*(T_PlannedOrders[WeekIndex]=61)*(T_PlannedOrders[EffectiveQty]&gt;0)*T_PlannedOrders[Order_Month])),"m月")&amp;"発注)")</f>
        <v/>
      </c>
      <c r="BM677">
        <f>IF(SUMIFS(T_PlannedOrders[EffectiveQty],T_PlannedOrders[Part Name],$A653,T_PlannedOrders[WeekIndex],62)=0,"",SUMIFS(T_PlannedOrders[EffectiveQty],T_PlannedOrders[Part Name],$A653,T_PlannedOrders[WeekIndex],62)&amp;" ("&amp;TEXT(SUMPRODUCT(MAX((T_PlannedOrders[Part Name]=$A653)*(T_PlannedOrders[WeekIndex]=62)*(T_PlannedOrders[EffectiveQty]&gt;0)*T_PlannedOrders[Order_Month])),"m月")&amp;"発注)")</f>
        <v/>
      </c>
      <c r="BN677">
        <f>IF(SUMIFS(T_PlannedOrders[EffectiveQty],T_PlannedOrders[Part Name],$A653,T_PlannedOrders[WeekIndex],63)=0,"",SUMIFS(T_PlannedOrders[EffectiveQty],T_PlannedOrders[Part Name],$A653,T_PlannedOrders[WeekIndex],63)&amp;" ("&amp;TEXT(SUMPRODUCT(MAX((T_PlannedOrders[Part Name]=$A653)*(T_PlannedOrders[WeekIndex]=63)*(T_PlannedOrders[EffectiveQty]&gt;0)*T_PlannedOrders[Order_Month])),"m月")&amp;"発注)")</f>
        <v/>
      </c>
      <c r="BO677">
        <f>IF(SUMIFS(T_PlannedOrders[EffectiveQty],T_PlannedOrders[Part Name],$A653,T_PlannedOrders[WeekIndex],64)=0,"",SUMIFS(T_PlannedOrders[EffectiveQty],T_PlannedOrders[Part Name],$A653,T_PlannedOrders[WeekIndex],64)&amp;" ("&amp;TEXT(SUMPRODUCT(MAX((T_PlannedOrders[Part Name]=$A653)*(T_PlannedOrders[WeekIndex]=64)*(T_PlannedOrders[EffectiveQty]&gt;0)*T_PlannedOrders[Order_Month])),"m月")&amp;"発注)")</f>
        <v/>
      </c>
      <c r="BP677">
        <f>IF(SUMIFS(T_PlannedOrders[EffectiveQty],T_PlannedOrders[Part Name],$A653,T_PlannedOrders[WeekIndex],65)=0,"",SUMIFS(T_PlannedOrders[EffectiveQty],T_PlannedOrders[Part Name],$A653,T_PlannedOrders[WeekIndex],65)&amp;" ("&amp;TEXT(SUMPRODUCT(MAX((T_PlannedOrders[Part Name]=$A653)*(T_PlannedOrders[WeekIndex]=65)*(T_PlannedOrders[EffectiveQty]&gt;0)*T_PlannedOrders[Order_Month])),"m月")&amp;"発注)")</f>
        <v/>
      </c>
      <c r="BQ677">
        <f>IF(SUMIFS(T_PlannedOrders[EffectiveQty],T_PlannedOrders[Part Name],$A653,T_PlannedOrders[WeekIndex],66)=0,"",SUMIFS(T_PlannedOrders[EffectiveQty],T_PlannedOrders[Part Name],$A653,T_PlannedOrders[WeekIndex],66)&amp;" ("&amp;TEXT(SUMPRODUCT(MAX((T_PlannedOrders[Part Name]=$A653)*(T_PlannedOrders[WeekIndex]=66)*(T_PlannedOrders[EffectiveQty]&gt;0)*T_PlannedOrders[Order_Month])),"m月")&amp;"発注)")</f>
        <v/>
      </c>
      <c r="BR677">
        <f>IF(SUMIFS(T_PlannedOrders[EffectiveQty],T_PlannedOrders[Part Name],$A653,T_PlannedOrders[WeekIndex],67)=0,"",SUMIFS(T_PlannedOrders[EffectiveQty],T_PlannedOrders[Part Name],$A653,T_PlannedOrders[WeekIndex],67)&amp;" ("&amp;TEXT(SUMPRODUCT(MAX((T_PlannedOrders[Part Name]=$A653)*(T_PlannedOrders[WeekIndex]=67)*(T_PlannedOrders[EffectiveQty]&gt;0)*T_PlannedOrders[Order_Month])),"m月")&amp;"発注)")</f>
        <v/>
      </c>
      <c r="BS677">
        <f>IF(SUMIFS(T_PlannedOrders[EffectiveQty],T_PlannedOrders[Part Name],$A653,T_PlannedOrders[WeekIndex],68)=0,"",SUMIFS(T_PlannedOrders[EffectiveQty],T_PlannedOrders[Part Name],$A653,T_PlannedOrders[WeekIndex],68)&amp;" ("&amp;TEXT(SUMPRODUCT(MAX((T_PlannedOrders[Part Name]=$A653)*(T_PlannedOrders[WeekIndex]=68)*(T_PlannedOrders[EffectiveQty]&gt;0)*T_PlannedOrders[Order_Month])),"m月")&amp;"発注)")</f>
        <v/>
      </c>
      <c r="BT677">
        <f>IF(SUMIFS(T_PlannedOrders[EffectiveQty],T_PlannedOrders[Part Name],$A653,T_PlannedOrders[WeekIndex],69)=0,"",SUMIFS(T_PlannedOrders[EffectiveQty],T_PlannedOrders[Part Name],$A653,T_PlannedOrders[WeekIndex],69)&amp;" ("&amp;TEXT(SUMPRODUCT(MAX((T_PlannedOrders[Part Name]=$A653)*(T_PlannedOrders[WeekIndex]=69)*(T_PlannedOrders[EffectiveQty]&gt;0)*T_PlannedOrders[Order_Month])),"m月")&amp;"発注)")</f>
        <v/>
      </c>
      <c r="BU677">
        <f>IF(SUMIFS(T_PlannedOrders[EffectiveQty],T_PlannedOrders[Part Name],$A653,T_PlannedOrders[WeekIndex],70)=0,"",SUMIFS(T_PlannedOrders[EffectiveQty],T_PlannedOrders[Part Name],$A653,T_PlannedOrders[WeekIndex],70)&amp;" ("&amp;TEXT(SUMPRODUCT(MAX((T_PlannedOrders[Part Name]=$A653)*(T_PlannedOrders[WeekIndex]=70)*(T_PlannedOrders[EffectiveQty]&gt;0)*T_PlannedOrders[Order_Month])),"m月")&amp;"発注)")</f>
        <v/>
      </c>
      <c r="BV677">
        <f>IF(SUMIFS(T_PlannedOrders[EffectiveQty],T_PlannedOrders[Part Name],$A653,T_PlannedOrders[WeekIndex],71)=0,"",SUMIFS(T_PlannedOrders[EffectiveQty],T_PlannedOrders[Part Name],$A653,T_PlannedOrders[WeekIndex],71)&amp;" ("&amp;TEXT(SUMPRODUCT(MAX((T_PlannedOrders[Part Name]=$A653)*(T_PlannedOrders[WeekIndex]=71)*(T_PlannedOrders[EffectiveQty]&gt;0)*T_PlannedOrders[Order_Month])),"m月")&amp;"発注)")</f>
        <v/>
      </c>
      <c r="BW677">
        <f>IF(SUMIFS(T_PlannedOrders[EffectiveQty],T_PlannedOrders[Part Name],$A653,T_PlannedOrders[WeekIndex],72)=0,"",SUMIFS(T_PlannedOrders[EffectiveQty],T_PlannedOrders[Part Name],$A653,T_PlannedOrders[WeekIndex],72)&amp;" ("&amp;TEXT(SUMPRODUCT(MAX((T_PlannedOrders[Part Name]=$A653)*(T_PlannedOrders[WeekIndex]=72)*(T_PlannedOrders[EffectiveQty]&gt;0)*T_PlannedOrders[Order_Month])),"m月")&amp;"発注)")</f>
        <v/>
      </c>
      <c r="BX677">
        <f>IF(SUMIFS(T_PlannedOrders[EffectiveQty],T_PlannedOrders[Part Name],$A653,T_PlannedOrders[WeekIndex],73)=0,"",SUMIFS(T_PlannedOrders[EffectiveQty],T_PlannedOrders[Part Name],$A653,T_PlannedOrders[WeekIndex],73)&amp;" ("&amp;TEXT(SUMPRODUCT(MAX((T_PlannedOrders[Part Name]=$A653)*(T_PlannedOrders[WeekIndex]=73)*(T_PlannedOrders[EffectiveQty]&gt;0)*T_PlannedOrders[Order_Month])),"m月")&amp;"発注)")</f>
        <v/>
      </c>
      <c r="BY677">
        <f>IF(SUMIFS(T_PlannedOrders[EffectiveQty],T_PlannedOrders[Part Name],$A653,T_PlannedOrders[WeekIndex],74)=0,"",SUMIFS(T_PlannedOrders[EffectiveQty],T_PlannedOrders[Part Name],$A653,T_PlannedOrders[WeekIndex],74)&amp;" ("&amp;TEXT(SUMPRODUCT(MAX((T_PlannedOrders[Part Name]=$A653)*(T_PlannedOrders[WeekIndex]=74)*(T_PlannedOrders[EffectiveQty]&gt;0)*T_PlannedOrders[Order_Month])),"m月")&amp;"発注)")</f>
        <v/>
      </c>
      <c r="BZ677">
        <f>IF(SUMIFS(T_PlannedOrders[EffectiveQty],T_PlannedOrders[Part Name],$A653,T_PlannedOrders[WeekIndex],75)=0,"",SUMIFS(T_PlannedOrders[EffectiveQty],T_PlannedOrders[Part Name],$A653,T_PlannedOrders[WeekIndex],75)&amp;" ("&amp;TEXT(SUMPRODUCT(MAX((T_PlannedOrders[Part Name]=$A653)*(T_PlannedOrders[WeekIndex]=75)*(T_PlannedOrders[EffectiveQty]&gt;0)*T_PlannedOrders[Order_Month])),"m月")&amp;"発注)")</f>
        <v/>
      </c>
      <c r="CA677">
        <f>IF(SUMIFS(T_PlannedOrders[EffectiveQty],T_PlannedOrders[Part Name],$A653,T_PlannedOrders[WeekIndex],76)=0,"",SUMIFS(T_PlannedOrders[EffectiveQty],T_PlannedOrders[Part Name],$A653,T_PlannedOrders[WeekIndex],76)&amp;" ("&amp;TEXT(SUMPRODUCT(MAX((T_PlannedOrders[Part Name]=$A653)*(T_PlannedOrders[WeekIndex]=76)*(T_PlannedOrders[EffectiveQty]&gt;0)*T_PlannedOrders[Order_Month])),"m月")&amp;"発注)")</f>
        <v/>
      </c>
      <c r="CB677">
        <f>IF(SUMIFS(T_PlannedOrders[EffectiveQty],T_PlannedOrders[Part Name],$A653,T_PlannedOrders[WeekIndex],77)=0,"",SUMIFS(T_PlannedOrders[EffectiveQty],T_PlannedOrders[Part Name],$A653,T_PlannedOrders[WeekIndex],77)&amp;" ("&amp;TEXT(SUMPRODUCT(MAX((T_PlannedOrders[Part Name]=$A653)*(T_PlannedOrders[WeekIndex]=77)*(T_PlannedOrders[EffectiveQty]&gt;0)*T_PlannedOrders[Order_Month])),"m月")&amp;"発注)")</f>
        <v/>
      </c>
      <c r="CC677">
        <f>IF(SUMIFS(T_PlannedOrders[EffectiveQty],T_PlannedOrders[Part Name],$A653,T_PlannedOrders[WeekIndex],78)=0,"",SUMIFS(T_PlannedOrders[EffectiveQty],T_PlannedOrders[Part Name],$A653,T_PlannedOrders[WeekIndex],78)&amp;" ("&amp;TEXT(SUMPRODUCT(MAX((T_PlannedOrders[Part Name]=$A653)*(T_PlannedOrders[WeekIndex]=78)*(T_PlannedOrders[EffectiveQty]&gt;0)*T_PlannedOrders[Order_Month])),"m月")&amp;"発注)")</f>
        <v/>
      </c>
      <c r="CD677">
        <f>IF(SUMIFS(T_PlannedOrders[EffectiveQty],T_PlannedOrders[Part Name],$A653,T_PlannedOrders[WeekIndex],79)=0,"",SUMIFS(T_PlannedOrders[EffectiveQty],T_PlannedOrders[Part Name],$A653,T_PlannedOrders[WeekIndex],79)&amp;" ("&amp;TEXT(SUMPRODUCT(MAX((T_PlannedOrders[Part Name]=$A653)*(T_PlannedOrders[WeekIndex]=79)*(T_PlannedOrders[EffectiveQty]&gt;0)*T_PlannedOrders[Order_Month])),"m月")&amp;"発注)")</f>
        <v/>
      </c>
      <c r="CE677">
        <f>IF(SUMIFS(T_PlannedOrders[EffectiveQty],T_PlannedOrders[Part Name],$A653,T_PlannedOrders[WeekIndex],80)=0,"",SUMIFS(T_PlannedOrders[EffectiveQty],T_PlannedOrders[Part Name],$A653,T_PlannedOrders[WeekIndex],80)&amp;" ("&amp;TEXT(SUMPRODUCT(MAX((T_PlannedOrders[Part Name]=$A653)*(T_PlannedOrders[WeekIndex]=80)*(T_PlannedOrders[EffectiveQty]&gt;0)*T_PlannedOrders[Order_Month])),"m月")&amp;"発注)")</f>
        <v/>
      </c>
      <c r="CF677">
        <f>IF(SUMIFS(T_PlannedOrders[EffectiveQty],T_PlannedOrders[Part Name],$A653,T_PlannedOrders[WeekIndex],81)=0,"",SUMIFS(T_PlannedOrders[EffectiveQty],T_PlannedOrders[Part Name],$A653,T_PlannedOrders[WeekIndex],81)&amp;" ("&amp;TEXT(SUMPRODUCT(MAX((T_PlannedOrders[Part Name]=$A653)*(T_PlannedOrders[WeekIndex]=81)*(T_PlannedOrders[EffectiveQty]&gt;0)*T_PlannedOrders[Order_Month])),"m月")&amp;"発注)")</f>
        <v/>
      </c>
      <c r="CG677">
        <f>IF(SUMIFS(T_PlannedOrders[EffectiveQty],T_PlannedOrders[Part Name],$A653,T_PlannedOrders[WeekIndex],82)=0,"",SUMIFS(T_PlannedOrders[EffectiveQty],T_PlannedOrders[Part Name],$A653,T_PlannedOrders[WeekIndex],82)&amp;" ("&amp;TEXT(SUMPRODUCT(MAX((T_PlannedOrders[Part Name]=$A653)*(T_PlannedOrders[WeekIndex]=82)*(T_PlannedOrders[EffectiveQty]&gt;0)*T_PlannedOrders[Order_Month])),"m月")&amp;"発注)")</f>
        <v/>
      </c>
      <c r="CH677">
        <f>IF(SUMIFS(T_PlannedOrders[EffectiveQty],T_PlannedOrders[Part Name],$A653,T_PlannedOrders[WeekIndex],83)=0,"",SUMIFS(T_PlannedOrders[EffectiveQty],T_PlannedOrders[Part Name],$A653,T_PlannedOrders[WeekIndex],83)&amp;" ("&amp;TEXT(SUMPRODUCT(MAX((T_PlannedOrders[Part Name]=$A653)*(T_PlannedOrders[WeekIndex]=83)*(T_PlannedOrders[EffectiveQty]&gt;0)*T_PlannedOrders[Order_Month])),"m月")&amp;"発注)")</f>
        <v/>
      </c>
      <c r="CI677">
        <f>IF(SUMIFS(T_PlannedOrders[EffectiveQty],T_PlannedOrders[Part Name],$A653,T_PlannedOrders[WeekIndex],84)=0,"",SUMIFS(T_PlannedOrders[EffectiveQty],T_PlannedOrders[Part Name],$A653,T_PlannedOrders[WeekIndex],84)&amp;" ("&amp;TEXT(SUMPRODUCT(MAX((T_PlannedOrders[Part Name]=$A653)*(T_PlannedOrders[WeekIndex]=84)*(T_PlannedOrders[EffectiveQty]&gt;0)*T_PlannedOrders[Order_Month])),"m月")&amp;"発注)")</f>
        <v/>
      </c>
      <c r="CJ677">
        <f>IF(SUMIFS(T_PlannedOrders[EffectiveQty],T_PlannedOrders[Part Name],$A653,T_PlannedOrders[WeekIndex],85)=0,"",SUMIFS(T_PlannedOrders[EffectiveQty],T_PlannedOrders[Part Name],$A653,T_PlannedOrders[WeekIndex],85)&amp;" ("&amp;TEXT(SUMPRODUCT(MAX((T_PlannedOrders[Part Name]=$A653)*(T_PlannedOrders[WeekIndex]=85)*(T_PlannedOrders[EffectiveQty]&gt;0)*T_PlannedOrders[Order_Month])),"m月")&amp;"発注)")</f>
        <v/>
      </c>
      <c r="CK677">
        <f>IF(SUMIFS(T_PlannedOrders[EffectiveQty],T_PlannedOrders[Part Name],$A653,T_PlannedOrders[WeekIndex],86)=0,"",SUMIFS(T_PlannedOrders[EffectiveQty],T_PlannedOrders[Part Name],$A653,T_PlannedOrders[WeekIndex],86)&amp;" ("&amp;TEXT(SUMPRODUCT(MAX((T_PlannedOrders[Part Name]=$A653)*(T_PlannedOrders[WeekIndex]=86)*(T_PlannedOrders[EffectiveQty]&gt;0)*T_PlannedOrders[Order_Month])),"m月")&amp;"発注)")</f>
        <v/>
      </c>
      <c r="CL677">
        <f>IF(SUMIFS(T_PlannedOrders[EffectiveQty],T_PlannedOrders[Part Name],$A653,T_PlannedOrders[WeekIndex],87)=0,"",SUMIFS(T_PlannedOrders[EffectiveQty],T_PlannedOrders[Part Name],$A653,T_PlannedOrders[WeekIndex],87)&amp;" ("&amp;TEXT(SUMPRODUCT(MAX((T_PlannedOrders[Part Name]=$A653)*(T_PlannedOrders[WeekIndex]=87)*(T_PlannedOrders[EffectiveQty]&gt;0)*T_PlannedOrders[Order_Month])),"m月")&amp;"発注)")</f>
        <v/>
      </c>
      <c r="CM677">
        <f>IF(SUMIFS(T_PlannedOrders[EffectiveQty],T_PlannedOrders[Part Name],$A653,T_PlannedOrders[WeekIndex],88)=0,"",SUMIFS(T_PlannedOrders[EffectiveQty],T_PlannedOrders[Part Name],$A653,T_PlannedOrders[WeekIndex],88)&amp;" ("&amp;TEXT(SUMPRODUCT(MAX((T_PlannedOrders[Part Name]=$A653)*(T_PlannedOrders[WeekIndex]=88)*(T_PlannedOrders[EffectiveQty]&gt;0)*T_PlannedOrders[Order_Month])),"m月")&amp;"発注)")</f>
        <v/>
      </c>
      <c r="CN677">
        <f>IF(SUMIFS(T_PlannedOrders[EffectiveQty],T_PlannedOrders[Part Name],$A653,T_PlannedOrders[WeekIndex],89)=0,"",SUMIFS(T_PlannedOrders[EffectiveQty],T_PlannedOrders[Part Name],$A653,T_PlannedOrders[WeekIndex],89)&amp;" ("&amp;TEXT(SUMPRODUCT(MAX((T_PlannedOrders[Part Name]=$A653)*(T_PlannedOrders[WeekIndex]=89)*(T_PlannedOrders[EffectiveQty]&gt;0)*T_PlannedOrders[Order_Month])),"m月")&amp;"発注)")</f>
        <v/>
      </c>
      <c r="CO677">
        <f>IF(SUMIFS(T_PlannedOrders[EffectiveQty],T_PlannedOrders[Part Name],$A653,T_PlannedOrders[WeekIndex],90)=0,"",SUMIFS(T_PlannedOrders[EffectiveQty],T_PlannedOrders[Part Name],$A653,T_PlannedOrders[WeekIndex],90)&amp;" ("&amp;TEXT(SUMPRODUCT(MAX((T_PlannedOrders[Part Name]=$A653)*(T_PlannedOrders[WeekIndex]=90)*(T_PlannedOrders[EffectiveQty]&gt;0)*T_PlannedOrders[Order_Month])),"m月")&amp;"発注)")</f>
        <v/>
      </c>
      <c r="CP677">
        <f>IF(SUMIFS(T_PlannedOrders[EffectiveQty],T_PlannedOrders[Part Name],$A653,T_PlannedOrders[WeekIndex],91)=0,"",SUMIFS(T_PlannedOrders[EffectiveQty],T_PlannedOrders[Part Name],$A653,T_PlannedOrders[WeekIndex],91)&amp;" ("&amp;TEXT(SUMPRODUCT(MAX((T_PlannedOrders[Part Name]=$A653)*(T_PlannedOrders[WeekIndex]=91)*(T_PlannedOrders[EffectiveQty]&gt;0)*T_PlannedOrders[Order_Month])),"m月")&amp;"発注)")</f>
        <v/>
      </c>
      <c r="CQ677">
        <f>IF(SUMIFS(T_PlannedOrders[EffectiveQty],T_PlannedOrders[Part Name],$A653,T_PlannedOrders[WeekIndex],92)=0,"",SUMIFS(T_PlannedOrders[EffectiveQty],T_PlannedOrders[Part Name],$A653,T_PlannedOrders[WeekIndex],92)&amp;" ("&amp;TEXT(SUMPRODUCT(MAX((T_PlannedOrders[Part Name]=$A653)*(T_PlannedOrders[WeekIndex]=92)*(T_PlannedOrders[EffectiveQty]&gt;0)*T_PlannedOrders[Order_Month])),"m月")&amp;"発注)")</f>
        <v/>
      </c>
      <c r="CR677">
        <f>IF(SUMIFS(T_PlannedOrders[EffectiveQty],T_PlannedOrders[Part Name],$A653,T_PlannedOrders[WeekIndex],93)=0,"",SUMIFS(T_PlannedOrders[EffectiveQty],T_PlannedOrders[Part Name],$A653,T_PlannedOrders[WeekIndex],93)&amp;" ("&amp;TEXT(SUMPRODUCT(MAX((T_PlannedOrders[Part Name]=$A653)*(T_PlannedOrders[WeekIndex]=93)*(T_PlannedOrders[EffectiveQty]&gt;0)*T_PlannedOrders[Order_Month])),"m月")&amp;"発注)")</f>
        <v/>
      </c>
      <c r="CS677">
        <f>IF(SUMIFS(T_PlannedOrders[EffectiveQty],T_PlannedOrders[Part Name],$A653,T_PlannedOrders[WeekIndex],94)=0,"",SUMIFS(T_PlannedOrders[EffectiveQty],T_PlannedOrders[Part Name],$A653,T_PlannedOrders[WeekIndex],94)&amp;" ("&amp;TEXT(SUMPRODUCT(MAX((T_PlannedOrders[Part Name]=$A653)*(T_PlannedOrders[WeekIndex]=94)*(T_PlannedOrders[EffectiveQty]&gt;0)*T_PlannedOrders[Order_Month])),"m月")&amp;"発注)")</f>
        <v/>
      </c>
      <c r="CT677">
        <f>IF(SUMIFS(T_PlannedOrders[EffectiveQty],T_PlannedOrders[Part Name],$A653,T_PlannedOrders[WeekIndex],95)=0,"",SUMIFS(T_PlannedOrders[EffectiveQty],T_PlannedOrders[Part Name],$A653,T_PlannedOrders[WeekIndex],95)&amp;" ("&amp;TEXT(SUMPRODUCT(MAX((T_PlannedOrders[Part Name]=$A653)*(T_PlannedOrders[WeekIndex]=95)*(T_PlannedOrders[EffectiveQty]&gt;0)*T_PlannedOrders[Order_Month])),"m月")&amp;"発注)")</f>
        <v/>
      </c>
      <c r="CU677">
        <f>IF(SUMIFS(T_PlannedOrders[EffectiveQty],T_PlannedOrders[Part Name],$A653,T_PlannedOrders[WeekIndex],96)=0,"",SUMIFS(T_PlannedOrders[EffectiveQty],T_PlannedOrders[Part Name],$A653,T_PlannedOrders[WeekIndex],96)&amp;" ("&amp;TEXT(SUMPRODUCT(MAX((T_PlannedOrders[Part Name]=$A653)*(T_PlannedOrders[WeekIndex]=96)*(T_PlannedOrders[EffectiveQty]&gt;0)*T_PlannedOrders[Order_Month])),"m月")&amp;"発注)")</f>
        <v/>
      </c>
      <c r="CV677">
        <f>IF(SUMIFS(T_PlannedOrders[EffectiveQty],T_PlannedOrders[Part Name],$A653,T_PlannedOrders[WeekIndex],97)=0,"",SUMIFS(T_PlannedOrders[EffectiveQty],T_PlannedOrders[Part Name],$A653,T_PlannedOrders[WeekIndex],97)&amp;" ("&amp;TEXT(SUMPRODUCT(MAX((T_PlannedOrders[Part Name]=$A653)*(T_PlannedOrders[WeekIndex]=97)*(T_PlannedOrders[EffectiveQty]&gt;0)*T_PlannedOrders[Order_Month])),"m月")&amp;"発注)")</f>
        <v/>
      </c>
      <c r="CW677">
        <f>IF(SUMIFS(T_PlannedOrders[EffectiveQty],T_PlannedOrders[Part Name],$A653,T_PlannedOrders[WeekIndex],98)=0,"",SUMIFS(T_PlannedOrders[EffectiveQty],T_PlannedOrders[Part Name],$A653,T_PlannedOrders[WeekIndex],98)&amp;" ("&amp;TEXT(SUMPRODUCT(MAX((T_PlannedOrders[Part Name]=$A653)*(T_PlannedOrders[WeekIndex]=98)*(T_PlannedOrders[EffectiveQty]&gt;0)*T_PlannedOrders[Order_Month])),"m月")&amp;"発注)")</f>
        <v/>
      </c>
      <c r="CX677">
        <f>IF(SUMIFS(T_PlannedOrders[EffectiveQty],T_PlannedOrders[Part Name],$A653,T_PlannedOrders[WeekIndex],99)=0,"",SUMIFS(T_PlannedOrders[EffectiveQty],T_PlannedOrders[Part Name],$A653,T_PlannedOrders[WeekIndex],99)&amp;" ("&amp;TEXT(SUMPRODUCT(MAX((T_PlannedOrders[Part Name]=$A653)*(T_PlannedOrders[WeekIndex]=99)*(T_PlannedOrders[EffectiveQty]&gt;0)*T_PlannedOrders[Order_Month])),"m月")&amp;"発注)")</f>
        <v/>
      </c>
      <c r="CY677">
        <f>IF(SUMIFS(T_PlannedOrders[EffectiveQty],T_PlannedOrders[Part Name],$A653,T_PlannedOrders[WeekIndex],100)=0,"",SUMIFS(T_PlannedOrders[EffectiveQty],T_PlannedOrders[Part Name],$A653,T_PlannedOrders[WeekIndex],100)&amp;" ("&amp;TEXT(SUMPRODUCT(MAX((T_PlannedOrders[Part Name]=$A653)*(T_PlannedOrders[WeekIndex]=100)*(T_PlannedOrders[EffectiveQty]&gt;0)*T_PlannedOrders[Order_Month])),"m月")&amp;"発注)")</f>
        <v/>
      </c>
      <c r="CZ677">
        <f>IF(SUMIFS(T_PlannedOrders[EffectiveQty],T_PlannedOrders[Part Name],$A653,T_PlannedOrders[WeekIndex],101)=0,"",SUMIFS(T_PlannedOrders[EffectiveQty],T_PlannedOrders[Part Name],$A653,T_PlannedOrders[WeekIndex],101)&amp;" ("&amp;TEXT(SUMPRODUCT(MAX((T_PlannedOrders[Part Name]=$A653)*(T_PlannedOrders[WeekIndex]=101)*(T_PlannedOrders[EffectiveQty]&gt;0)*T_PlannedOrders[Order_Month])),"m月")&amp;"発注)")</f>
        <v/>
      </c>
      <c r="DA677">
        <f>IF(SUMIFS(T_PlannedOrders[EffectiveQty],T_PlannedOrders[Part Name],$A653,T_PlannedOrders[WeekIndex],102)=0,"",SUMIFS(T_PlannedOrders[EffectiveQty],T_PlannedOrders[Part Name],$A653,T_PlannedOrders[WeekIndex],102)&amp;" ("&amp;TEXT(SUMPRODUCT(MAX((T_PlannedOrders[Part Name]=$A653)*(T_PlannedOrders[WeekIndex]=102)*(T_PlannedOrders[EffectiveQty]&gt;0)*T_PlannedOrders[Order_Month])),"m月")&amp;"発注)")</f>
        <v/>
      </c>
      <c r="DB677">
        <f>IF(SUMIFS(T_PlannedOrders[EffectiveQty],T_PlannedOrders[Part Name],$A653,T_PlannedOrders[WeekIndex],103)=0,"",SUMIFS(T_PlannedOrders[EffectiveQty],T_PlannedOrders[Part Name],$A653,T_PlannedOrders[WeekIndex],103)&amp;" ("&amp;TEXT(SUMPRODUCT(MAX((T_PlannedOrders[Part Name]=$A653)*(T_PlannedOrders[WeekIndex]=103)*(T_PlannedOrders[EffectiveQty]&gt;0)*T_PlannedOrders[Order_Month])),"m月")&amp;"発注)")</f>
        <v/>
      </c>
      <c r="DC677">
        <f>IF(SUMIFS(T_PlannedOrders[EffectiveQty],T_PlannedOrders[Part Name],$A653,T_PlannedOrders[WeekIndex],104)=0,"",SUMIFS(T_PlannedOrders[EffectiveQty],T_PlannedOrders[Part Name],$A653,T_PlannedOrders[WeekIndex],104)&amp;" ("&amp;TEXT(SUMPRODUCT(MAX((T_PlannedOrders[Part Name]=$A653)*(T_PlannedOrders[WeekIndex]=104)*(T_PlannedOrders[EffectiveQty]&gt;0)*T_PlannedOrders[Order_Month])),"m月")&amp;"発注)")</f>
        <v/>
      </c>
    </row>
    <row r="678">
      <c r="B678" s="4" t="inlineStr">
        <is>
          <t>合計在庫(週末時点,kg)</t>
        </is>
      </c>
      <c r="D678">
        <f>'Grid_Stock'!B18</f>
        <v/>
      </c>
      <c r="E678">
        <f>'Grid_Stock'!C18</f>
        <v/>
      </c>
      <c r="F678">
        <f>'Grid_Stock'!D18</f>
        <v/>
      </c>
      <c r="G678">
        <f>'Grid_Stock'!E18</f>
        <v/>
      </c>
      <c r="H678">
        <f>'Grid_Stock'!F18</f>
        <v/>
      </c>
      <c r="I678">
        <f>'Grid_Stock'!G18</f>
        <v/>
      </c>
      <c r="J678">
        <f>'Grid_Stock'!H18</f>
        <v/>
      </c>
      <c r="K678">
        <f>'Grid_Stock'!I18</f>
        <v/>
      </c>
      <c r="L678">
        <f>'Grid_Stock'!J18</f>
        <v/>
      </c>
      <c r="M678">
        <f>'Grid_Stock'!K18</f>
        <v/>
      </c>
      <c r="N678">
        <f>'Grid_Stock'!L18</f>
        <v/>
      </c>
      <c r="O678">
        <f>'Grid_Stock'!M18</f>
        <v/>
      </c>
      <c r="P678">
        <f>'Grid_Stock'!N18</f>
        <v/>
      </c>
      <c r="Q678">
        <f>'Grid_Stock'!O18</f>
        <v/>
      </c>
      <c r="R678">
        <f>'Grid_Stock'!P18</f>
        <v/>
      </c>
      <c r="S678">
        <f>'Grid_Stock'!Q18</f>
        <v/>
      </c>
      <c r="T678">
        <f>'Grid_Stock'!R18</f>
        <v/>
      </c>
      <c r="U678">
        <f>'Grid_Stock'!S18</f>
        <v/>
      </c>
      <c r="V678">
        <f>'Grid_Stock'!T18</f>
        <v/>
      </c>
      <c r="W678">
        <f>'Grid_Stock'!U18</f>
        <v/>
      </c>
      <c r="X678">
        <f>'Grid_Stock'!V18</f>
        <v/>
      </c>
      <c r="Y678">
        <f>'Grid_Stock'!W18</f>
        <v/>
      </c>
      <c r="Z678">
        <f>'Grid_Stock'!X18</f>
        <v/>
      </c>
      <c r="AA678">
        <f>'Grid_Stock'!Y18</f>
        <v/>
      </c>
      <c r="AB678">
        <f>'Grid_Stock'!Z18</f>
        <v/>
      </c>
      <c r="AC678">
        <f>'Grid_Stock'!AA18</f>
        <v/>
      </c>
      <c r="AD678">
        <f>'Grid_Stock'!AB18</f>
        <v/>
      </c>
      <c r="AE678">
        <f>'Grid_Stock'!AC18</f>
        <v/>
      </c>
      <c r="AF678">
        <f>'Grid_Stock'!AD18</f>
        <v/>
      </c>
      <c r="AG678">
        <f>'Grid_Stock'!AE18</f>
        <v/>
      </c>
      <c r="AH678">
        <f>'Grid_Stock'!AF18</f>
        <v/>
      </c>
      <c r="AI678">
        <f>'Grid_Stock'!AG18</f>
        <v/>
      </c>
      <c r="AJ678">
        <f>'Grid_Stock'!AH18</f>
        <v/>
      </c>
      <c r="AK678">
        <f>'Grid_Stock'!AI18</f>
        <v/>
      </c>
      <c r="AL678">
        <f>'Grid_Stock'!AJ18</f>
        <v/>
      </c>
      <c r="AM678">
        <f>'Grid_Stock'!AK18</f>
        <v/>
      </c>
      <c r="AN678">
        <f>'Grid_Stock'!AL18</f>
        <v/>
      </c>
      <c r="AO678">
        <f>'Grid_Stock'!AM18</f>
        <v/>
      </c>
      <c r="AP678">
        <f>'Grid_Stock'!AN18</f>
        <v/>
      </c>
      <c r="AQ678">
        <f>'Grid_Stock'!AO18</f>
        <v/>
      </c>
      <c r="AR678">
        <f>'Grid_Stock'!AP18</f>
        <v/>
      </c>
      <c r="AS678">
        <f>'Grid_Stock'!AQ18</f>
        <v/>
      </c>
      <c r="AT678">
        <f>'Grid_Stock'!AR18</f>
        <v/>
      </c>
      <c r="AU678">
        <f>'Grid_Stock'!AS18</f>
        <v/>
      </c>
      <c r="AV678">
        <f>'Grid_Stock'!AT18</f>
        <v/>
      </c>
      <c r="AW678">
        <f>'Grid_Stock'!AU18</f>
        <v/>
      </c>
      <c r="AX678">
        <f>'Grid_Stock'!AV18</f>
        <v/>
      </c>
      <c r="AY678">
        <f>'Grid_Stock'!AW18</f>
        <v/>
      </c>
      <c r="AZ678">
        <f>'Grid_Stock'!AX18</f>
        <v/>
      </c>
      <c r="BA678">
        <f>'Grid_Stock'!AY18</f>
        <v/>
      </c>
      <c r="BB678">
        <f>'Grid_Stock'!AZ18</f>
        <v/>
      </c>
      <c r="BC678">
        <f>'Grid_Stock'!BA18</f>
        <v/>
      </c>
      <c r="BD678">
        <f>'Grid_Stock'!BB18</f>
        <v/>
      </c>
      <c r="BE678">
        <f>'Grid_Stock'!BC18</f>
        <v/>
      </c>
      <c r="BF678">
        <f>'Grid_Stock'!BD18</f>
        <v/>
      </c>
      <c r="BG678">
        <f>'Grid_Stock'!BE18</f>
        <v/>
      </c>
      <c r="BH678">
        <f>'Grid_Stock'!BF18</f>
        <v/>
      </c>
      <c r="BI678">
        <f>'Grid_Stock'!BG18</f>
        <v/>
      </c>
      <c r="BJ678">
        <f>'Grid_Stock'!BH18</f>
        <v/>
      </c>
      <c r="BK678">
        <f>'Grid_Stock'!BI18</f>
        <v/>
      </c>
      <c r="BL678">
        <f>'Grid_Stock'!BJ18</f>
        <v/>
      </c>
      <c r="BM678">
        <f>'Grid_Stock'!BK18</f>
        <v/>
      </c>
      <c r="BN678">
        <f>'Grid_Stock'!BL18</f>
        <v/>
      </c>
      <c r="BO678">
        <f>'Grid_Stock'!BM18</f>
        <v/>
      </c>
      <c r="BP678">
        <f>'Grid_Stock'!BN18</f>
        <v/>
      </c>
      <c r="BQ678">
        <f>'Grid_Stock'!BO18</f>
        <v/>
      </c>
      <c r="BR678">
        <f>'Grid_Stock'!BP18</f>
        <v/>
      </c>
      <c r="BS678">
        <f>'Grid_Stock'!BQ18</f>
        <v/>
      </c>
      <c r="BT678">
        <f>'Grid_Stock'!BR18</f>
        <v/>
      </c>
      <c r="BU678">
        <f>'Grid_Stock'!BS18</f>
        <v/>
      </c>
      <c r="BV678">
        <f>'Grid_Stock'!BT18</f>
        <v/>
      </c>
      <c r="BW678">
        <f>'Grid_Stock'!BU18</f>
        <v/>
      </c>
      <c r="BX678">
        <f>'Grid_Stock'!BV18</f>
        <v/>
      </c>
      <c r="BY678">
        <f>'Grid_Stock'!BW18</f>
        <v/>
      </c>
      <c r="BZ678">
        <f>'Grid_Stock'!BX18</f>
        <v/>
      </c>
      <c r="CA678">
        <f>'Grid_Stock'!BY18</f>
        <v/>
      </c>
      <c r="CB678">
        <f>'Grid_Stock'!BZ18</f>
        <v/>
      </c>
      <c r="CC678">
        <f>'Grid_Stock'!CA18</f>
        <v/>
      </c>
      <c r="CD678">
        <f>'Grid_Stock'!CB18</f>
        <v/>
      </c>
      <c r="CE678">
        <f>'Grid_Stock'!CC18</f>
        <v/>
      </c>
      <c r="CF678">
        <f>'Grid_Stock'!CD18</f>
        <v/>
      </c>
      <c r="CG678">
        <f>'Grid_Stock'!CE18</f>
        <v/>
      </c>
      <c r="CH678">
        <f>'Grid_Stock'!CF18</f>
        <v/>
      </c>
      <c r="CI678">
        <f>'Grid_Stock'!CG18</f>
        <v/>
      </c>
      <c r="CJ678">
        <f>'Grid_Stock'!CH18</f>
        <v/>
      </c>
      <c r="CK678">
        <f>'Grid_Stock'!CI18</f>
        <v/>
      </c>
      <c r="CL678">
        <f>'Grid_Stock'!CJ18</f>
        <v/>
      </c>
      <c r="CM678">
        <f>'Grid_Stock'!CK18</f>
        <v/>
      </c>
      <c r="CN678">
        <f>'Grid_Stock'!CL18</f>
        <v/>
      </c>
      <c r="CO678">
        <f>'Grid_Stock'!CM18</f>
        <v/>
      </c>
      <c r="CP678">
        <f>'Grid_Stock'!CN18</f>
        <v/>
      </c>
      <c r="CQ678">
        <f>'Grid_Stock'!CO18</f>
        <v/>
      </c>
      <c r="CR678">
        <f>'Grid_Stock'!CP18</f>
        <v/>
      </c>
      <c r="CS678">
        <f>'Grid_Stock'!CQ18</f>
        <v/>
      </c>
      <c r="CT678">
        <f>'Grid_Stock'!CR18</f>
        <v/>
      </c>
      <c r="CU678">
        <f>'Grid_Stock'!CS18</f>
        <v/>
      </c>
      <c r="CV678">
        <f>'Grid_Stock'!CT18</f>
        <v/>
      </c>
      <c r="CW678">
        <f>'Grid_Stock'!CU18</f>
        <v/>
      </c>
      <c r="CX678">
        <f>'Grid_Stock'!CV18</f>
        <v/>
      </c>
      <c r="CY678">
        <f>'Grid_Stock'!CW18</f>
        <v/>
      </c>
      <c r="CZ678">
        <f>'Grid_Stock'!CX18</f>
        <v/>
      </c>
      <c r="DA678">
        <f>'Grid_Stock'!CY18</f>
        <v/>
      </c>
      <c r="DB678">
        <f>'Grid_Stock'!CZ18</f>
        <v/>
      </c>
      <c r="DC678">
        <f>'Grid_Stock'!DA18</f>
        <v/>
      </c>
    </row>
    <row r="679">
      <c r="B679" s="16" t="inlineStr">
        <is>
          <t>（発注の目安はDashboardの基準在庫[下限/上限]と色分けを参照）</t>
        </is>
      </c>
    </row>
    <row r="681">
      <c r="A681" s="14" t="inlineStr">
        <is>
          <t>CHEM-1240</t>
        </is>
      </c>
      <c r="B681" s="14" t="inlineStr">
        <is>
          <t>Alumina SOL(AS200)</t>
        </is>
      </c>
      <c r="C681" s="15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  <c r="AA681" s="14" t="n"/>
      <c r="AB681" s="14" t="n"/>
      <c r="AC681" s="14" t="n"/>
      <c r="AD681" s="14" t="n"/>
      <c r="AE681" s="14" t="n"/>
      <c r="AF681" s="14" t="n"/>
      <c r="AG681" s="14" t="n"/>
      <c r="AH681" s="14" t="n"/>
      <c r="AI681" s="14" t="n"/>
      <c r="AJ681" s="14" t="n"/>
      <c r="AK681" s="14" t="n"/>
      <c r="AL681" s="14" t="n"/>
      <c r="AM681" s="14" t="n"/>
      <c r="AN681" s="14" t="n"/>
      <c r="AO681" s="14" t="n"/>
      <c r="AP681" s="14" t="n"/>
      <c r="AQ681" s="14" t="n"/>
      <c r="AR681" s="14" t="n"/>
      <c r="AS681" s="14" t="n"/>
      <c r="AT681" s="14" t="n"/>
      <c r="AU681" s="14" t="n"/>
      <c r="AV681" s="14" t="n"/>
      <c r="AW681" s="14" t="n"/>
      <c r="AX681" s="14" t="n"/>
      <c r="AY681" s="14" t="n"/>
      <c r="AZ681" s="14" t="n"/>
      <c r="BA681" s="14" t="n"/>
      <c r="BB681" s="14" t="n"/>
      <c r="BC681" s="14" t="n"/>
      <c r="BD681" s="14" t="n"/>
      <c r="BE681" s="14" t="n"/>
      <c r="BF681" s="14" t="n"/>
      <c r="BG681" s="14" t="n"/>
      <c r="BH681" s="14" t="n"/>
      <c r="BI681" s="14" t="n"/>
      <c r="BJ681" s="14" t="n"/>
      <c r="BK681" s="14" t="n"/>
      <c r="BL681" s="14" t="n"/>
      <c r="BM681" s="14" t="n"/>
      <c r="BN681" s="14" t="n"/>
      <c r="BO681" s="14" t="n"/>
      <c r="BP681" s="14" t="n"/>
      <c r="BQ681" s="14" t="n"/>
      <c r="BR681" s="14" t="n"/>
      <c r="BS681" s="14" t="n"/>
      <c r="BT681" s="14" t="n"/>
      <c r="BU681" s="14" t="n"/>
      <c r="BV681" s="14" t="n"/>
      <c r="BW681" s="14" t="n"/>
      <c r="BX681" s="14" t="n"/>
      <c r="BY681" s="14" t="n"/>
      <c r="BZ681" s="14" t="n"/>
      <c r="CA681" s="14" t="n"/>
      <c r="CB681" s="14" t="n"/>
      <c r="CC681" s="14" t="n"/>
      <c r="CD681" s="14" t="n"/>
      <c r="CE681" s="14" t="n"/>
      <c r="CF681" s="14" t="n"/>
      <c r="CG681" s="14" t="n"/>
      <c r="CH681" s="14" t="n"/>
      <c r="CI681" s="14" t="n"/>
      <c r="CJ681" s="14" t="n"/>
      <c r="CK681" s="14" t="n"/>
      <c r="CL681" s="14" t="n"/>
      <c r="CM681" s="14" t="n"/>
      <c r="CN681" s="14" t="n"/>
      <c r="CO681" s="14" t="n"/>
      <c r="CP681" s="14" t="n"/>
      <c r="CQ681" s="14" t="n"/>
      <c r="CR681" s="14" t="n"/>
      <c r="CS681" s="14" t="n"/>
      <c r="CT681" s="14" t="n"/>
      <c r="CU681" s="14" t="n"/>
      <c r="CV681" s="14" t="n"/>
      <c r="CW681" s="14" t="n"/>
      <c r="CX681" s="14" t="n"/>
      <c r="CY681" s="14" t="n"/>
      <c r="CZ681" s="14" t="n"/>
      <c r="DA681" s="14" t="n"/>
      <c r="DB681" s="14" t="n"/>
      <c r="DC681" s="14" t="n"/>
    </row>
    <row r="682">
      <c r="B682" t="inlineStr">
        <is>
          <t>TSP-224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7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Name],$A681)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TSP-390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7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Name],$A681)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TSP-399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7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Name],$A681)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TSP-668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7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Name],$A681)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TSP-669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7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Name],$A681)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TSP-670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7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Name],$A681)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TSP-699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7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Name],$A681)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TSP-1448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7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Name],$A681)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TSP-1449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Name],$A681)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TSP-1558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Name],$A681)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s="4" t="inlineStr">
        <is>
          <t>合計使用量(kg)/週</t>
        </is>
      </c>
      <c r="D702">
        <f>'Grid_Requirement'!B21</f>
        <v/>
      </c>
      <c r="E702">
        <f>'Grid_Requirement'!C21</f>
        <v/>
      </c>
      <c r="F702">
        <f>'Grid_Requirement'!D21</f>
        <v/>
      </c>
      <c r="G702">
        <f>'Grid_Requirement'!E21</f>
        <v/>
      </c>
      <c r="H702">
        <f>'Grid_Requirement'!F21</f>
        <v/>
      </c>
      <c r="I702">
        <f>'Grid_Requirement'!G21</f>
        <v/>
      </c>
      <c r="J702">
        <f>'Grid_Requirement'!H21</f>
        <v/>
      </c>
      <c r="K702">
        <f>'Grid_Requirement'!I21</f>
        <v/>
      </c>
      <c r="L702">
        <f>'Grid_Requirement'!J21</f>
        <v/>
      </c>
      <c r="M702">
        <f>'Grid_Requirement'!K21</f>
        <v/>
      </c>
      <c r="N702">
        <f>'Grid_Requirement'!L21</f>
        <v/>
      </c>
      <c r="O702">
        <f>'Grid_Requirement'!M21</f>
        <v/>
      </c>
      <c r="P702">
        <f>'Grid_Requirement'!N21</f>
        <v/>
      </c>
      <c r="Q702">
        <f>'Grid_Requirement'!O21</f>
        <v/>
      </c>
      <c r="R702">
        <f>'Grid_Requirement'!P21</f>
        <v/>
      </c>
      <c r="S702">
        <f>'Grid_Requirement'!Q21</f>
        <v/>
      </c>
      <c r="T702">
        <f>'Grid_Requirement'!R21</f>
        <v/>
      </c>
      <c r="U702">
        <f>'Grid_Requirement'!S21</f>
        <v/>
      </c>
      <c r="V702">
        <f>'Grid_Requirement'!T21</f>
        <v/>
      </c>
      <c r="W702">
        <f>'Grid_Requirement'!U21</f>
        <v/>
      </c>
      <c r="X702">
        <f>'Grid_Requirement'!V21</f>
        <v/>
      </c>
      <c r="Y702">
        <f>'Grid_Requirement'!W21</f>
        <v/>
      </c>
      <c r="Z702">
        <f>'Grid_Requirement'!X21</f>
        <v/>
      </c>
      <c r="AA702">
        <f>'Grid_Requirement'!Y21</f>
        <v/>
      </c>
      <c r="AB702">
        <f>'Grid_Requirement'!Z21</f>
        <v/>
      </c>
      <c r="AC702">
        <f>'Grid_Requirement'!AA21</f>
        <v/>
      </c>
      <c r="AD702">
        <f>'Grid_Requirement'!AB21</f>
        <v/>
      </c>
      <c r="AE702">
        <f>'Grid_Requirement'!AC21</f>
        <v/>
      </c>
      <c r="AF702">
        <f>'Grid_Requirement'!AD21</f>
        <v/>
      </c>
      <c r="AG702">
        <f>'Grid_Requirement'!AE21</f>
        <v/>
      </c>
      <c r="AH702">
        <f>'Grid_Requirement'!AF21</f>
        <v/>
      </c>
      <c r="AI702">
        <f>'Grid_Requirement'!AG21</f>
        <v/>
      </c>
      <c r="AJ702">
        <f>'Grid_Requirement'!AH21</f>
        <v/>
      </c>
      <c r="AK702">
        <f>'Grid_Requirement'!AI21</f>
        <v/>
      </c>
      <c r="AL702">
        <f>'Grid_Requirement'!AJ21</f>
        <v/>
      </c>
      <c r="AM702">
        <f>'Grid_Requirement'!AK21</f>
        <v/>
      </c>
      <c r="AN702">
        <f>'Grid_Requirement'!AL21</f>
        <v/>
      </c>
      <c r="AO702">
        <f>'Grid_Requirement'!AM21</f>
        <v/>
      </c>
      <c r="AP702">
        <f>'Grid_Requirement'!AN21</f>
        <v/>
      </c>
      <c r="AQ702">
        <f>'Grid_Requirement'!AO21</f>
        <v/>
      </c>
      <c r="AR702">
        <f>'Grid_Requirement'!AP21</f>
        <v/>
      </c>
      <c r="AS702">
        <f>'Grid_Requirement'!AQ21</f>
        <v/>
      </c>
      <c r="AT702">
        <f>'Grid_Requirement'!AR21</f>
        <v/>
      </c>
      <c r="AU702">
        <f>'Grid_Requirement'!AS21</f>
        <v/>
      </c>
      <c r="AV702">
        <f>'Grid_Requirement'!AT21</f>
        <v/>
      </c>
      <c r="AW702">
        <f>'Grid_Requirement'!AU21</f>
        <v/>
      </c>
      <c r="AX702">
        <f>'Grid_Requirement'!AV21</f>
        <v/>
      </c>
      <c r="AY702">
        <f>'Grid_Requirement'!AW21</f>
        <v/>
      </c>
      <c r="AZ702">
        <f>'Grid_Requirement'!AX21</f>
        <v/>
      </c>
      <c r="BA702">
        <f>'Grid_Requirement'!AY21</f>
        <v/>
      </c>
      <c r="BB702">
        <f>'Grid_Requirement'!AZ21</f>
        <v/>
      </c>
      <c r="BC702">
        <f>'Grid_Requirement'!BA21</f>
        <v/>
      </c>
      <c r="BD702">
        <f>'Grid_Requirement'!BB21</f>
        <v/>
      </c>
      <c r="BE702">
        <f>'Grid_Requirement'!BC21</f>
        <v/>
      </c>
      <c r="BF702">
        <f>'Grid_Requirement'!BD21</f>
        <v/>
      </c>
      <c r="BG702">
        <f>'Grid_Requirement'!BE21</f>
        <v/>
      </c>
      <c r="BH702">
        <f>'Grid_Requirement'!BF21</f>
        <v/>
      </c>
      <c r="BI702">
        <f>'Grid_Requirement'!BG21</f>
        <v/>
      </c>
      <c r="BJ702">
        <f>'Grid_Requirement'!BH21</f>
        <v/>
      </c>
      <c r="BK702">
        <f>'Grid_Requirement'!BI21</f>
        <v/>
      </c>
      <c r="BL702">
        <f>'Grid_Requirement'!BJ21</f>
        <v/>
      </c>
      <c r="BM702">
        <f>'Grid_Requirement'!BK21</f>
        <v/>
      </c>
      <c r="BN702">
        <f>'Grid_Requirement'!BL21</f>
        <v/>
      </c>
      <c r="BO702">
        <f>'Grid_Requirement'!BM21</f>
        <v/>
      </c>
      <c r="BP702">
        <f>'Grid_Requirement'!BN21</f>
        <v/>
      </c>
      <c r="BQ702">
        <f>'Grid_Requirement'!BO21</f>
        <v/>
      </c>
      <c r="BR702">
        <f>'Grid_Requirement'!BP21</f>
        <v/>
      </c>
      <c r="BS702">
        <f>'Grid_Requirement'!BQ21</f>
        <v/>
      </c>
      <c r="BT702">
        <f>'Grid_Requirement'!BR21</f>
        <v/>
      </c>
      <c r="BU702">
        <f>'Grid_Requirement'!BS21</f>
        <v/>
      </c>
      <c r="BV702">
        <f>'Grid_Requirement'!BT21</f>
        <v/>
      </c>
      <c r="BW702">
        <f>'Grid_Requirement'!BU21</f>
        <v/>
      </c>
      <c r="BX702">
        <f>'Grid_Requirement'!BV21</f>
        <v/>
      </c>
      <c r="BY702">
        <f>'Grid_Requirement'!BW21</f>
        <v/>
      </c>
      <c r="BZ702">
        <f>'Grid_Requirement'!BX21</f>
        <v/>
      </c>
      <c r="CA702">
        <f>'Grid_Requirement'!BY21</f>
        <v/>
      </c>
      <c r="CB702">
        <f>'Grid_Requirement'!BZ21</f>
        <v/>
      </c>
      <c r="CC702">
        <f>'Grid_Requirement'!CA21</f>
        <v/>
      </c>
      <c r="CD702">
        <f>'Grid_Requirement'!CB21</f>
        <v/>
      </c>
      <c r="CE702">
        <f>'Grid_Requirement'!CC21</f>
        <v/>
      </c>
      <c r="CF702">
        <f>'Grid_Requirement'!CD21</f>
        <v/>
      </c>
      <c r="CG702">
        <f>'Grid_Requirement'!CE21</f>
        <v/>
      </c>
      <c r="CH702">
        <f>'Grid_Requirement'!CF21</f>
        <v/>
      </c>
      <c r="CI702">
        <f>'Grid_Requirement'!CG21</f>
        <v/>
      </c>
      <c r="CJ702">
        <f>'Grid_Requirement'!CH21</f>
        <v/>
      </c>
      <c r="CK702">
        <f>'Grid_Requirement'!CI21</f>
        <v/>
      </c>
      <c r="CL702">
        <f>'Grid_Requirement'!CJ21</f>
        <v/>
      </c>
      <c r="CM702">
        <f>'Grid_Requirement'!CK21</f>
        <v/>
      </c>
      <c r="CN702">
        <f>'Grid_Requirement'!CL21</f>
        <v/>
      </c>
      <c r="CO702">
        <f>'Grid_Requirement'!CM21</f>
        <v/>
      </c>
      <c r="CP702">
        <f>'Grid_Requirement'!CN21</f>
        <v/>
      </c>
      <c r="CQ702">
        <f>'Grid_Requirement'!CO21</f>
        <v/>
      </c>
      <c r="CR702">
        <f>'Grid_Requirement'!CP21</f>
        <v/>
      </c>
      <c r="CS702">
        <f>'Grid_Requirement'!CQ21</f>
        <v/>
      </c>
      <c r="CT702">
        <f>'Grid_Requirement'!CR21</f>
        <v/>
      </c>
      <c r="CU702">
        <f>'Grid_Requirement'!CS21</f>
        <v/>
      </c>
      <c r="CV702">
        <f>'Grid_Requirement'!CT21</f>
        <v/>
      </c>
      <c r="CW702">
        <f>'Grid_Requirement'!CU21</f>
        <v/>
      </c>
      <c r="CX702">
        <f>'Grid_Requirement'!CV21</f>
        <v/>
      </c>
      <c r="CY702">
        <f>'Grid_Requirement'!CW21</f>
        <v/>
      </c>
      <c r="CZ702">
        <f>'Grid_Requirement'!CX21</f>
        <v/>
      </c>
      <c r="DA702">
        <f>'Grid_Requirement'!CY21</f>
        <v/>
      </c>
      <c r="DB702">
        <f>'Grid_Requirement'!CZ21</f>
        <v/>
      </c>
      <c r="DC702">
        <f>'Grid_Requirement'!DA21</f>
        <v/>
      </c>
    </row>
    <row r="703">
      <c r="B703" t="inlineStr">
        <is>
          <t>TTAF在庫(実績,kg)</t>
        </is>
      </c>
      <c r="D703">
        <f>'T_TTAFStock'!B25</f>
        <v/>
      </c>
      <c r="E703">
        <f>'T_TTAFStock'!C25</f>
        <v/>
      </c>
      <c r="F703">
        <f>'T_TTAFStock'!D25</f>
        <v/>
      </c>
      <c r="G703">
        <f>'T_TTAFStock'!E25</f>
        <v/>
      </c>
      <c r="H703">
        <f>'T_TTAFStock'!F25</f>
        <v/>
      </c>
      <c r="I703">
        <f>'T_TTAFStock'!G25</f>
        <v/>
      </c>
      <c r="J703">
        <f>'T_TTAFStock'!H25</f>
        <v/>
      </c>
      <c r="K703">
        <f>'T_TTAFStock'!I25</f>
        <v/>
      </c>
      <c r="L703">
        <f>'T_TTAFStock'!J25</f>
        <v/>
      </c>
      <c r="M703">
        <f>'T_TTAFStock'!K25</f>
        <v/>
      </c>
      <c r="N703">
        <f>'T_TTAFStock'!L25</f>
        <v/>
      </c>
      <c r="O703">
        <f>'T_TTAFStock'!M25</f>
        <v/>
      </c>
      <c r="P703">
        <f>'T_TTAFStock'!N25</f>
        <v/>
      </c>
      <c r="Q703">
        <f>'T_TTAFStock'!O25</f>
        <v/>
      </c>
      <c r="R703">
        <f>'T_TTAFStock'!P25</f>
        <v/>
      </c>
      <c r="S703">
        <f>'T_TTAFStock'!Q25</f>
        <v/>
      </c>
      <c r="T703">
        <f>'T_TTAFStock'!R25</f>
        <v/>
      </c>
      <c r="U703">
        <f>'T_TTAFStock'!S25</f>
        <v/>
      </c>
      <c r="V703">
        <f>'T_TTAFStock'!T25</f>
        <v/>
      </c>
      <c r="W703">
        <f>'T_TTAFStock'!U25</f>
        <v/>
      </c>
      <c r="X703">
        <f>'T_TTAFStock'!V25</f>
        <v/>
      </c>
      <c r="Y703">
        <f>'T_TTAFStock'!W25</f>
        <v/>
      </c>
      <c r="Z703">
        <f>'T_TTAFStock'!X25</f>
        <v/>
      </c>
      <c r="AA703">
        <f>'T_TTAFStock'!Y25</f>
        <v/>
      </c>
      <c r="AB703">
        <f>'T_TTAFStock'!Z25</f>
        <v/>
      </c>
      <c r="AC703">
        <f>'T_TTAFStock'!AA25</f>
        <v/>
      </c>
      <c r="AD703">
        <f>'T_TTAFStock'!AB25</f>
        <v/>
      </c>
      <c r="AE703">
        <f>'T_TTAFStock'!AC25</f>
        <v/>
      </c>
      <c r="AF703">
        <f>'T_TTAFStock'!AD25</f>
        <v/>
      </c>
      <c r="AG703">
        <f>'T_TTAFStock'!AE25</f>
        <v/>
      </c>
      <c r="AH703">
        <f>'T_TTAFStock'!AF25</f>
        <v/>
      </c>
      <c r="AI703">
        <f>'T_TTAFStock'!AG25</f>
        <v/>
      </c>
      <c r="AJ703">
        <f>'T_TTAFStock'!AH25</f>
        <v/>
      </c>
      <c r="AK703">
        <f>'T_TTAFStock'!AI25</f>
        <v/>
      </c>
      <c r="AL703">
        <f>'T_TTAFStock'!AJ25</f>
        <v/>
      </c>
      <c r="AM703">
        <f>'T_TTAFStock'!AK25</f>
        <v/>
      </c>
      <c r="AN703">
        <f>'T_TTAFStock'!AL25</f>
        <v/>
      </c>
      <c r="AO703">
        <f>'T_TTAFStock'!AM25</f>
        <v/>
      </c>
      <c r="AP703">
        <f>'T_TTAFStock'!AN25</f>
        <v/>
      </c>
      <c r="AQ703">
        <f>'T_TTAFStock'!AO25</f>
        <v/>
      </c>
      <c r="AR703">
        <f>'T_TTAFStock'!AP25</f>
        <v/>
      </c>
      <c r="AS703">
        <f>'T_TTAFStock'!AQ25</f>
        <v/>
      </c>
      <c r="AT703">
        <f>'T_TTAFStock'!AR25</f>
        <v/>
      </c>
      <c r="AU703">
        <f>'T_TTAFStock'!AS25</f>
        <v/>
      </c>
      <c r="AV703">
        <f>'T_TTAFStock'!AT25</f>
        <v/>
      </c>
      <c r="AW703">
        <f>'T_TTAFStock'!AU25</f>
        <v/>
      </c>
      <c r="AX703">
        <f>'T_TTAFStock'!AV25</f>
        <v/>
      </c>
      <c r="AY703">
        <f>'T_TTAFStock'!AW25</f>
        <v/>
      </c>
      <c r="AZ703">
        <f>'T_TTAFStock'!AX25</f>
        <v/>
      </c>
      <c r="BA703">
        <f>'T_TTAFStock'!AY25</f>
        <v/>
      </c>
      <c r="BB703">
        <f>'T_TTAFStock'!AZ25</f>
        <v/>
      </c>
      <c r="BC703">
        <f>'T_TTAFStock'!BA25</f>
        <v/>
      </c>
      <c r="BD703">
        <f>'T_TTAFStock'!BB25</f>
        <v/>
      </c>
      <c r="BE703">
        <f>'T_TTAFStock'!BC25</f>
        <v/>
      </c>
      <c r="BF703">
        <f>'T_TTAFStock'!BD25</f>
        <v/>
      </c>
      <c r="BG703">
        <f>'T_TTAFStock'!BE25</f>
        <v/>
      </c>
      <c r="BH703">
        <f>'T_TTAFStock'!BF25</f>
        <v/>
      </c>
      <c r="BI703">
        <f>'T_TTAFStock'!BG25</f>
        <v/>
      </c>
      <c r="BJ703">
        <f>'T_TTAFStock'!BH25</f>
        <v/>
      </c>
      <c r="BK703">
        <f>'T_TTAFStock'!BI25</f>
        <v/>
      </c>
      <c r="BL703">
        <f>'T_TTAFStock'!BJ25</f>
        <v/>
      </c>
      <c r="BM703">
        <f>'T_TTAFStock'!BK25</f>
        <v/>
      </c>
      <c r="BN703">
        <f>'T_TTAFStock'!BL25</f>
        <v/>
      </c>
      <c r="BO703">
        <f>'T_TTAFStock'!BM25</f>
        <v/>
      </c>
      <c r="BP703">
        <f>'T_TTAFStock'!BN25</f>
        <v/>
      </c>
      <c r="BQ703">
        <f>'T_TTAFStock'!BO25</f>
        <v/>
      </c>
      <c r="BR703">
        <f>'T_TTAFStock'!BP25</f>
        <v/>
      </c>
      <c r="BS703">
        <f>'T_TTAFStock'!BQ25</f>
        <v/>
      </c>
      <c r="BT703">
        <f>'T_TTAFStock'!BR25</f>
        <v/>
      </c>
      <c r="BU703">
        <f>'T_TTAFStock'!BS25</f>
        <v/>
      </c>
      <c r="BV703">
        <f>'T_TTAFStock'!BT25</f>
        <v/>
      </c>
      <c r="BW703">
        <f>'T_TTAFStock'!BU25</f>
        <v/>
      </c>
      <c r="BX703">
        <f>'T_TTAFStock'!BV25</f>
        <v/>
      </c>
      <c r="BY703">
        <f>'T_TTAFStock'!BW25</f>
        <v/>
      </c>
      <c r="BZ703">
        <f>'T_TTAFStock'!BX25</f>
        <v/>
      </c>
      <c r="CA703">
        <f>'T_TTAFStock'!BY25</f>
        <v/>
      </c>
      <c r="CB703">
        <f>'T_TTAFStock'!BZ25</f>
        <v/>
      </c>
      <c r="CC703">
        <f>'T_TTAFStock'!CA25</f>
        <v/>
      </c>
      <c r="CD703">
        <f>'T_TTAFStock'!CB25</f>
        <v/>
      </c>
      <c r="CE703">
        <f>'T_TTAFStock'!CC25</f>
        <v/>
      </c>
      <c r="CF703">
        <f>'T_TTAFStock'!CD25</f>
        <v/>
      </c>
      <c r="CG703">
        <f>'T_TTAFStock'!CE25</f>
        <v/>
      </c>
      <c r="CH703">
        <f>'T_TTAFStock'!CF25</f>
        <v/>
      </c>
      <c r="CI703">
        <f>'T_TTAFStock'!CG25</f>
        <v/>
      </c>
      <c r="CJ703">
        <f>'T_TTAFStock'!CH25</f>
        <v/>
      </c>
      <c r="CK703">
        <f>'T_TTAFStock'!CI25</f>
        <v/>
      </c>
      <c r="CL703">
        <f>'T_TTAFStock'!CJ25</f>
        <v/>
      </c>
      <c r="CM703">
        <f>'T_TTAFStock'!CK25</f>
        <v/>
      </c>
      <c r="CN703">
        <f>'T_TTAFStock'!CL25</f>
        <v/>
      </c>
      <c r="CO703">
        <f>'T_TTAFStock'!CM25</f>
        <v/>
      </c>
      <c r="CP703">
        <f>'T_TTAFStock'!CN25</f>
        <v/>
      </c>
      <c r="CQ703">
        <f>'T_TTAFStock'!CO25</f>
        <v/>
      </c>
      <c r="CR703">
        <f>'T_TTAFStock'!CP25</f>
        <v/>
      </c>
      <c r="CS703">
        <f>'T_TTAFStock'!CQ25</f>
        <v/>
      </c>
      <c r="CT703">
        <f>'T_TTAFStock'!CR25</f>
        <v/>
      </c>
      <c r="CU703">
        <f>'T_TTAFStock'!CS25</f>
        <v/>
      </c>
      <c r="CV703">
        <f>'T_TTAFStock'!CT25</f>
        <v/>
      </c>
      <c r="CW703">
        <f>'T_TTAFStock'!CU25</f>
        <v/>
      </c>
      <c r="CX703">
        <f>'T_TTAFStock'!CV25</f>
        <v/>
      </c>
      <c r="CY703">
        <f>'T_TTAFStock'!CW25</f>
        <v/>
      </c>
      <c r="CZ703">
        <f>'T_TTAFStock'!CX25</f>
        <v/>
      </c>
      <c r="DA703">
        <f>'T_TTAFStock'!CY25</f>
        <v/>
      </c>
      <c r="DB703">
        <f>'T_TTAFStock'!CZ25</f>
        <v/>
      </c>
      <c r="DC703">
        <f>'T_TTAFStock'!DA25</f>
        <v/>
      </c>
    </row>
    <row r="704">
      <c r="B704" t="inlineStr">
        <is>
          <t>自社在庫(実績,kg)</t>
        </is>
      </c>
      <c r="D704">
        <f>'T_SelfStock'!B25</f>
        <v/>
      </c>
      <c r="E704">
        <f>'T_SelfStock'!C25</f>
        <v/>
      </c>
      <c r="F704">
        <f>'T_SelfStock'!D25</f>
        <v/>
      </c>
      <c r="G704">
        <f>'T_SelfStock'!E25</f>
        <v/>
      </c>
      <c r="H704">
        <f>'T_SelfStock'!F25</f>
        <v/>
      </c>
      <c r="I704">
        <f>'T_SelfStock'!G25</f>
        <v/>
      </c>
      <c r="J704">
        <f>'T_SelfStock'!H25</f>
        <v/>
      </c>
      <c r="K704">
        <f>'T_SelfStock'!I25</f>
        <v/>
      </c>
      <c r="L704">
        <f>'T_SelfStock'!J25</f>
        <v/>
      </c>
      <c r="M704">
        <f>'T_SelfStock'!K25</f>
        <v/>
      </c>
      <c r="N704">
        <f>'T_SelfStock'!L25</f>
        <v/>
      </c>
      <c r="O704">
        <f>'T_SelfStock'!M25</f>
        <v/>
      </c>
      <c r="P704">
        <f>'T_SelfStock'!N25</f>
        <v/>
      </c>
      <c r="Q704">
        <f>'T_SelfStock'!O25</f>
        <v/>
      </c>
      <c r="R704">
        <f>'T_SelfStock'!P25</f>
        <v/>
      </c>
      <c r="S704">
        <f>'T_SelfStock'!Q25</f>
        <v/>
      </c>
      <c r="T704">
        <f>'T_SelfStock'!R25</f>
        <v/>
      </c>
      <c r="U704">
        <f>'T_SelfStock'!S25</f>
        <v/>
      </c>
      <c r="V704">
        <f>'T_SelfStock'!T25</f>
        <v/>
      </c>
      <c r="W704">
        <f>'T_SelfStock'!U25</f>
        <v/>
      </c>
      <c r="X704">
        <f>'T_SelfStock'!V25</f>
        <v/>
      </c>
      <c r="Y704">
        <f>'T_SelfStock'!W25</f>
        <v/>
      </c>
      <c r="Z704">
        <f>'T_SelfStock'!X25</f>
        <v/>
      </c>
      <c r="AA704">
        <f>'T_SelfStock'!Y25</f>
        <v/>
      </c>
      <c r="AB704">
        <f>'T_SelfStock'!Z25</f>
        <v/>
      </c>
      <c r="AC704">
        <f>'T_SelfStock'!AA25</f>
        <v/>
      </c>
      <c r="AD704">
        <f>'T_SelfStock'!AB25</f>
        <v/>
      </c>
      <c r="AE704">
        <f>'T_SelfStock'!AC25</f>
        <v/>
      </c>
      <c r="AF704">
        <f>'T_SelfStock'!AD25</f>
        <v/>
      </c>
      <c r="AG704">
        <f>'T_SelfStock'!AE25</f>
        <v/>
      </c>
      <c r="AH704">
        <f>'T_SelfStock'!AF25</f>
        <v/>
      </c>
      <c r="AI704">
        <f>'T_SelfStock'!AG25</f>
        <v/>
      </c>
      <c r="AJ704">
        <f>'T_SelfStock'!AH25</f>
        <v/>
      </c>
      <c r="AK704">
        <f>'T_SelfStock'!AI25</f>
        <v/>
      </c>
      <c r="AL704">
        <f>'T_SelfStock'!AJ25</f>
        <v/>
      </c>
      <c r="AM704">
        <f>'T_SelfStock'!AK25</f>
        <v/>
      </c>
      <c r="AN704">
        <f>'T_SelfStock'!AL25</f>
        <v/>
      </c>
      <c r="AO704">
        <f>'T_SelfStock'!AM25</f>
        <v/>
      </c>
      <c r="AP704">
        <f>'T_SelfStock'!AN25</f>
        <v/>
      </c>
      <c r="AQ704">
        <f>'T_SelfStock'!AO25</f>
        <v/>
      </c>
      <c r="AR704">
        <f>'T_SelfStock'!AP25</f>
        <v/>
      </c>
      <c r="AS704">
        <f>'T_SelfStock'!AQ25</f>
        <v/>
      </c>
      <c r="AT704">
        <f>'T_SelfStock'!AR25</f>
        <v/>
      </c>
      <c r="AU704">
        <f>'T_SelfStock'!AS25</f>
        <v/>
      </c>
      <c r="AV704">
        <f>'T_SelfStock'!AT25</f>
        <v/>
      </c>
      <c r="AW704">
        <f>'T_SelfStock'!AU25</f>
        <v/>
      </c>
      <c r="AX704">
        <f>'T_SelfStock'!AV25</f>
        <v/>
      </c>
      <c r="AY704">
        <f>'T_SelfStock'!AW25</f>
        <v/>
      </c>
      <c r="AZ704">
        <f>'T_SelfStock'!AX25</f>
        <v/>
      </c>
      <c r="BA704">
        <f>'T_SelfStock'!AY25</f>
        <v/>
      </c>
      <c r="BB704">
        <f>'T_SelfStock'!AZ25</f>
        <v/>
      </c>
      <c r="BC704">
        <f>'T_SelfStock'!BA25</f>
        <v/>
      </c>
      <c r="BD704">
        <f>'T_SelfStock'!BB25</f>
        <v/>
      </c>
      <c r="BE704">
        <f>'T_SelfStock'!BC25</f>
        <v/>
      </c>
      <c r="BF704">
        <f>'T_SelfStock'!BD25</f>
        <v/>
      </c>
      <c r="BG704">
        <f>'T_SelfStock'!BE25</f>
        <v/>
      </c>
      <c r="BH704">
        <f>'T_SelfStock'!BF25</f>
        <v/>
      </c>
      <c r="BI704">
        <f>'T_SelfStock'!BG25</f>
        <v/>
      </c>
      <c r="BJ704">
        <f>'T_SelfStock'!BH25</f>
        <v/>
      </c>
      <c r="BK704">
        <f>'T_SelfStock'!BI25</f>
        <v/>
      </c>
      <c r="BL704">
        <f>'T_SelfStock'!BJ25</f>
        <v/>
      </c>
      <c r="BM704">
        <f>'T_SelfStock'!BK25</f>
        <v/>
      </c>
      <c r="BN704">
        <f>'T_SelfStock'!BL25</f>
        <v/>
      </c>
      <c r="BO704">
        <f>'T_SelfStock'!BM25</f>
        <v/>
      </c>
      <c r="BP704">
        <f>'T_SelfStock'!BN25</f>
        <v/>
      </c>
      <c r="BQ704">
        <f>'T_SelfStock'!BO25</f>
        <v/>
      </c>
      <c r="BR704">
        <f>'T_SelfStock'!BP25</f>
        <v/>
      </c>
      <c r="BS704">
        <f>'T_SelfStock'!BQ25</f>
        <v/>
      </c>
      <c r="BT704">
        <f>'T_SelfStock'!BR25</f>
        <v/>
      </c>
      <c r="BU704">
        <f>'T_SelfStock'!BS25</f>
        <v/>
      </c>
      <c r="BV704">
        <f>'T_SelfStock'!BT25</f>
        <v/>
      </c>
      <c r="BW704">
        <f>'T_SelfStock'!BU25</f>
        <v/>
      </c>
      <c r="BX704">
        <f>'T_SelfStock'!BV25</f>
        <v/>
      </c>
      <c r="BY704">
        <f>'T_SelfStock'!BW25</f>
        <v/>
      </c>
      <c r="BZ704">
        <f>'T_SelfStock'!BX25</f>
        <v/>
      </c>
      <c r="CA704">
        <f>'T_SelfStock'!BY25</f>
        <v/>
      </c>
      <c r="CB704">
        <f>'T_SelfStock'!BZ25</f>
        <v/>
      </c>
      <c r="CC704">
        <f>'T_SelfStock'!CA25</f>
        <v/>
      </c>
      <c r="CD704">
        <f>'T_SelfStock'!CB25</f>
        <v/>
      </c>
      <c r="CE704">
        <f>'T_SelfStock'!CC25</f>
        <v/>
      </c>
      <c r="CF704">
        <f>'T_SelfStock'!CD25</f>
        <v/>
      </c>
      <c r="CG704">
        <f>'T_SelfStock'!CE25</f>
        <v/>
      </c>
      <c r="CH704">
        <f>'T_SelfStock'!CF25</f>
        <v/>
      </c>
      <c r="CI704">
        <f>'T_SelfStock'!CG25</f>
        <v/>
      </c>
      <c r="CJ704">
        <f>'T_SelfStock'!CH25</f>
        <v/>
      </c>
      <c r="CK704">
        <f>'T_SelfStock'!CI25</f>
        <v/>
      </c>
      <c r="CL704">
        <f>'T_SelfStock'!CJ25</f>
        <v/>
      </c>
      <c r="CM704">
        <f>'T_SelfStock'!CK25</f>
        <v/>
      </c>
      <c r="CN704">
        <f>'T_SelfStock'!CL25</f>
        <v/>
      </c>
      <c r="CO704">
        <f>'T_SelfStock'!CM25</f>
        <v/>
      </c>
      <c r="CP704">
        <f>'T_SelfStock'!CN25</f>
        <v/>
      </c>
      <c r="CQ704">
        <f>'T_SelfStock'!CO25</f>
        <v/>
      </c>
      <c r="CR704">
        <f>'T_SelfStock'!CP25</f>
        <v/>
      </c>
      <c r="CS704">
        <f>'T_SelfStock'!CQ25</f>
        <v/>
      </c>
      <c r="CT704">
        <f>'T_SelfStock'!CR25</f>
        <v/>
      </c>
      <c r="CU704">
        <f>'T_SelfStock'!CS25</f>
        <v/>
      </c>
      <c r="CV704">
        <f>'T_SelfStock'!CT25</f>
        <v/>
      </c>
      <c r="CW704">
        <f>'T_SelfStock'!CU25</f>
        <v/>
      </c>
      <c r="CX704">
        <f>'T_SelfStock'!CV25</f>
        <v/>
      </c>
      <c r="CY704">
        <f>'T_SelfStock'!CW25</f>
        <v/>
      </c>
      <c r="CZ704">
        <f>'T_SelfStock'!CX25</f>
        <v/>
      </c>
      <c r="DA704">
        <f>'T_SelfStock'!CY25</f>
        <v/>
      </c>
      <c r="DB704">
        <f>'T_SelfStock'!CZ25</f>
        <v/>
      </c>
      <c r="DC704">
        <f>'T_SelfStock'!DA25</f>
        <v/>
      </c>
    </row>
    <row r="705">
      <c r="B705" t="inlineStr">
        <is>
          <t>Order(発注予定,kg)</t>
        </is>
      </c>
      <c r="D705">
        <f>IF(SUMIFS(T_PlannedOrders[EffectiveQty],T_PlannedOrders[Part Name],$A681,T_PlannedOrders[WeekIndex],1)=0,"",SUMIFS(T_PlannedOrders[EffectiveQty],T_PlannedOrders[Part Name],$A681,T_PlannedOrders[WeekIndex],1)&amp;" ("&amp;TEXT(SUMPRODUCT(MAX((T_PlannedOrders[Part Name]=$A681)*(T_PlannedOrders[WeekIndex]=1)*(T_PlannedOrders[EffectiveQty]&gt;0)*T_PlannedOrders[Order_Month])),"m月")&amp;"発注)")</f>
        <v/>
      </c>
      <c r="E705">
        <f>IF(SUMIFS(T_PlannedOrders[EffectiveQty],T_PlannedOrders[Part Name],$A681,T_PlannedOrders[WeekIndex],2)=0,"",SUMIFS(T_PlannedOrders[EffectiveQty],T_PlannedOrders[Part Name],$A681,T_PlannedOrders[WeekIndex],2)&amp;" ("&amp;TEXT(SUMPRODUCT(MAX((T_PlannedOrders[Part Name]=$A681)*(T_PlannedOrders[WeekIndex]=2)*(T_PlannedOrders[EffectiveQty]&gt;0)*T_PlannedOrders[Order_Month])),"m月")&amp;"発注)")</f>
        <v/>
      </c>
      <c r="F705">
        <f>IF(SUMIFS(T_PlannedOrders[EffectiveQty],T_PlannedOrders[Part Name],$A681,T_PlannedOrders[WeekIndex],3)=0,"",SUMIFS(T_PlannedOrders[EffectiveQty],T_PlannedOrders[Part Name],$A681,T_PlannedOrders[WeekIndex],3)&amp;" ("&amp;TEXT(SUMPRODUCT(MAX((T_PlannedOrders[Part Name]=$A681)*(T_PlannedOrders[WeekIndex]=3)*(T_PlannedOrders[EffectiveQty]&gt;0)*T_PlannedOrders[Order_Month])),"m月")&amp;"発注)")</f>
        <v/>
      </c>
      <c r="G705">
        <f>IF(SUMIFS(T_PlannedOrders[EffectiveQty],T_PlannedOrders[Part Name],$A681,T_PlannedOrders[WeekIndex],4)=0,"",SUMIFS(T_PlannedOrders[EffectiveQty],T_PlannedOrders[Part Name],$A681,T_PlannedOrders[WeekIndex],4)&amp;" ("&amp;TEXT(SUMPRODUCT(MAX((T_PlannedOrders[Part Name]=$A681)*(T_PlannedOrders[WeekIndex]=4)*(T_PlannedOrders[EffectiveQty]&gt;0)*T_PlannedOrders[Order_Month])),"m月")&amp;"発注)")</f>
        <v/>
      </c>
      <c r="H705">
        <f>IF(SUMIFS(T_PlannedOrders[EffectiveQty],T_PlannedOrders[Part Name],$A681,T_PlannedOrders[WeekIndex],5)=0,"",SUMIFS(T_PlannedOrders[EffectiveQty],T_PlannedOrders[Part Name],$A681,T_PlannedOrders[WeekIndex],5)&amp;" ("&amp;TEXT(SUMPRODUCT(MAX((T_PlannedOrders[Part Name]=$A681)*(T_PlannedOrders[WeekIndex]=5)*(T_PlannedOrders[EffectiveQty]&gt;0)*T_PlannedOrders[Order_Month])),"m月")&amp;"発注)")</f>
        <v/>
      </c>
      <c r="I705">
        <f>IF(SUMIFS(T_PlannedOrders[EffectiveQty],T_PlannedOrders[Part Name],$A681,T_PlannedOrders[WeekIndex],6)=0,"",SUMIFS(T_PlannedOrders[EffectiveQty],T_PlannedOrders[Part Name],$A681,T_PlannedOrders[WeekIndex],6)&amp;" ("&amp;TEXT(SUMPRODUCT(MAX((T_PlannedOrders[Part Name]=$A681)*(T_PlannedOrders[WeekIndex]=6)*(T_PlannedOrders[EffectiveQty]&gt;0)*T_PlannedOrders[Order_Month])),"m月")&amp;"発注)")</f>
        <v/>
      </c>
      <c r="J705">
        <f>IF(SUMIFS(T_PlannedOrders[EffectiveQty],T_PlannedOrders[Part Name],$A681,T_PlannedOrders[WeekIndex],7)=0,"",SUMIFS(T_PlannedOrders[EffectiveQty],T_PlannedOrders[Part Name],$A681,T_PlannedOrders[WeekIndex],7)&amp;" ("&amp;TEXT(SUMPRODUCT(MAX((T_PlannedOrders[Part Name]=$A681)*(T_PlannedOrders[WeekIndex]=7)*(T_PlannedOrders[EffectiveQty]&gt;0)*T_PlannedOrders[Order_Month])),"m月")&amp;"発注)")</f>
        <v/>
      </c>
      <c r="K705">
        <f>IF(SUMIFS(T_PlannedOrders[EffectiveQty],T_PlannedOrders[Part Name],$A681,T_PlannedOrders[WeekIndex],8)=0,"",SUMIFS(T_PlannedOrders[EffectiveQty],T_PlannedOrders[Part Name],$A681,T_PlannedOrders[WeekIndex],8)&amp;" ("&amp;TEXT(SUMPRODUCT(MAX((T_PlannedOrders[Part Name]=$A681)*(T_PlannedOrders[WeekIndex]=8)*(T_PlannedOrders[EffectiveQty]&gt;0)*T_PlannedOrders[Order_Month])),"m月")&amp;"発注)")</f>
        <v/>
      </c>
      <c r="L705">
        <f>IF(SUMIFS(T_PlannedOrders[EffectiveQty],T_PlannedOrders[Part Name],$A681,T_PlannedOrders[WeekIndex],9)=0,"",SUMIFS(T_PlannedOrders[EffectiveQty],T_PlannedOrders[Part Name],$A681,T_PlannedOrders[WeekIndex],9)&amp;" ("&amp;TEXT(SUMPRODUCT(MAX((T_PlannedOrders[Part Name]=$A681)*(T_PlannedOrders[WeekIndex]=9)*(T_PlannedOrders[EffectiveQty]&gt;0)*T_PlannedOrders[Order_Month])),"m月")&amp;"発注)")</f>
        <v/>
      </c>
      <c r="M705">
        <f>IF(SUMIFS(T_PlannedOrders[EffectiveQty],T_PlannedOrders[Part Name],$A681,T_PlannedOrders[WeekIndex],10)=0,"",SUMIFS(T_PlannedOrders[EffectiveQty],T_PlannedOrders[Part Name],$A681,T_PlannedOrders[WeekIndex],10)&amp;" ("&amp;TEXT(SUMPRODUCT(MAX((T_PlannedOrders[Part Name]=$A681)*(T_PlannedOrders[WeekIndex]=10)*(T_PlannedOrders[EffectiveQty]&gt;0)*T_PlannedOrders[Order_Month])),"m月")&amp;"発注)")</f>
        <v/>
      </c>
      <c r="N705">
        <f>IF(SUMIFS(T_PlannedOrders[EffectiveQty],T_PlannedOrders[Part Name],$A681,T_PlannedOrders[WeekIndex],11)=0,"",SUMIFS(T_PlannedOrders[EffectiveQty],T_PlannedOrders[Part Name],$A681,T_PlannedOrders[WeekIndex],11)&amp;" ("&amp;TEXT(SUMPRODUCT(MAX((T_PlannedOrders[Part Name]=$A681)*(T_PlannedOrders[WeekIndex]=11)*(T_PlannedOrders[EffectiveQty]&gt;0)*T_PlannedOrders[Order_Month])),"m月")&amp;"発注)")</f>
        <v/>
      </c>
      <c r="O705">
        <f>IF(SUMIFS(T_PlannedOrders[EffectiveQty],T_PlannedOrders[Part Name],$A681,T_PlannedOrders[WeekIndex],12)=0,"",SUMIFS(T_PlannedOrders[EffectiveQty],T_PlannedOrders[Part Name],$A681,T_PlannedOrders[WeekIndex],12)&amp;" ("&amp;TEXT(SUMPRODUCT(MAX((T_PlannedOrders[Part Name]=$A681)*(T_PlannedOrders[WeekIndex]=12)*(T_PlannedOrders[EffectiveQty]&gt;0)*T_PlannedOrders[Order_Month])),"m月")&amp;"発注)")</f>
        <v/>
      </c>
      <c r="P705">
        <f>IF(SUMIFS(T_PlannedOrders[EffectiveQty],T_PlannedOrders[Part Name],$A681,T_PlannedOrders[WeekIndex],13)=0,"",SUMIFS(T_PlannedOrders[EffectiveQty],T_PlannedOrders[Part Name],$A681,T_PlannedOrders[WeekIndex],13)&amp;" ("&amp;TEXT(SUMPRODUCT(MAX((T_PlannedOrders[Part Name]=$A681)*(T_PlannedOrders[WeekIndex]=13)*(T_PlannedOrders[EffectiveQty]&gt;0)*T_PlannedOrders[Order_Month])),"m月")&amp;"発注)")</f>
        <v/>
      </c>
      <c r="Q705">
        <f>IF(SUMIFS(T_PlannedOrders[EffectiveQty],T_PlannedOrders[Part Name],$A681,T_PlannedOrders[WeekIndex],14)=0,"",SUMIFS(T_PlannedOrders[EffectiveQty],T_PlannedOrders[Part Name],$A681,T_PlannedOrders[WeekIndex],14)&amp;" ("&amp;TEXT(SUMPRODUCT(MAX((T_PlannedOrders[Part Name]=$A681)*(T_PlannedOrders[WeekIndex]=14)*(T_PlannedOrders[EffectiveQty]&gt;0)*T_PlannedOrders[Order_Month])),"m月")&amp;"発注)")</f>
        <v/>
      </c>
      <c r="R705">
        <f>IF(SUMIFS(T_PlannedOrders[EffectiveQty],T_PlannedOrders[Part Name],$A681,T_PlannedOrders[WeekIndex],15)=0,"",SUMIFS(T_PlannedOrders[EffectiveQty],T_PlannedOrders[Part Name],$A681,T_PlannedOrders[WeekIndex],15)&amp;" ("&amp;TEXT(SUMPRODUCT(MAX((T_PlannedOrders[Part Name]=$A681)*(T_PlannedOrders[WeekIndex]=15)*(T_PlannedOrders[EffectiveQty]&gt;0)*T_PlannedOrders[Order_Month])),"m月")&amp;"発注)")</f>
        <v/>
      </c>
      <c r="S705">
        <f>IF(SUMIFS(T_PlannedOrders[EffectiveQty],T_PlannedOrders[Part Name],$A681,T_PlannedOrders[WeekIndex],16)=0,"",SUMIFS(T_PlannedOrders[EffectiveQty],T_PlannedOrders[Part Name],$A681,T_PlannedOrders[WeekIndex],16)&amp;" ("&amp;TEXT(SUMPRODUCT(MAX((T_PlannedOrders[Part Name]=$A681)*(T_PlannedOrders[WeekIndex]=16)*(T_PlannedOrders[EffectiveQty]&gt;0)*T_PlannedOrders[Order_Month])),"m月")&amp;"発注)")</f>
        <v/>
      </c>
      <c r="T705">
        <f>IF(SUMIFS(T_PlannedOrders[EffectiveQty],T_PlannedOrders[Part Name],$A681,T_PlannedOrders[WeekIndex],17)=0,"",SUMIFS(T_PlannedOrders[EffectiveQty],T_PlannedOrders[Part Name],$A681,T_PlannedOrders[WeekIndex],17)&amp;" ("&amp;TEXT(SUMPRODUCT(MAX((T_PlannedOrders[Part Name]=$A681)*(T_PlannedOrders[WeekIndex]=17)*(T_PlannedOrders[EffectiveQty]&gt;0)*T_PlannedOrders[Order_Month])),"m月")&amp;"発注)")</f>
        <v/>
      </c>
      <c r="U705">
        <f>IF(SUMIFS(T_PlannedOrders[EffectiveQty],T_PlannedOrders[Part Name],$A681,T_PlannedOrders[WeekIndex],18)=0,"",SUMIFS(T_PlannedOrders[EffectiveQty],T_PlannedOrders[Part Name],$A681,T_PlannedOrders[WeekIndex],18)&amp;" ("&amp;TEXT(SUMPRODUCT(MAX((T_PlannedOrders[Part Name]=$A681)*(T_PlannedOrders[WeekIndex]=18)*(T_PlannedOrders[EffectiveQty]&gt;0)*T_PlannedOrders[Order_Month])),"m月")&amp;"発注)")</f>
        <v/>
      </c>
      <c r="V705">
        <f>IF(SUMIFS(T_PlannedOrders[EffectiveQty],T_PlannedOrders[Part Name],$A681,T_PlannedOrders[WeekIndex],19)=0,"",SUMIFS(T_PlannedOrders[EffectiveQty],T_PlannedOrders[Part Name],$A681,T_PlannedOrders[WeekIndex],19)&amp;" ("&amp;TEXT(SUMPRODUCT(MAX((T_PlannedOrders[Part Name]=$A681)*(T_PlannedOrders[WeekIndex]=19)*(T_PlannedOrders[EffectiveQty]&gt;0)*T_PlannedOrders[Order_Month])),"m月")&amp;"発注)")</f>
        <v/>
      </c>
      <c r="W705">
        <f>IF(SUMIFS(T_PlannedOrders[EffectiveQty],T_PlannedOrders[Part Name],$A681,T_PlannedOrders[WeekIndex],20)=0,"",SUMIFS(T_PlannedOrders[EffectiveQty],T_PlannedOrders[Part Name],$A681,T_PlannedOrders[WeekIndex],20)&amp;" ("&amp;TEXT(SUMPRODUCT(MAX((T_PlannedOrders[Part Name]=$A681)*(T_PlannedOrders[WeekIndex]=20)*(T_PlannedOrders[EffectiveQty]&gt;0)*T_PlannedOrders[Order_Month])),"m月")&amp;"発注)")</f>
        <v/>
      </c>
      <c r="X705">
        <f>IF(SUMIFS(T_PlannedOrders[EffectiveQty],T_PlannedOrders[Part Name],$A681,T_PlannedOrders[WeekIndex],21)=0,"",SUMIFS(T_PlannedOrders[EffectiveQty],T_PlannedOrders[Part Name],$A681,T_PlannedOrders[WeekIndex],21)&amp;" ("&amp;TEXT(SUMPRODUCT(MAX((T_PlannedOrders[Part Name]=$A681)*(T_PlannedOrders[WeekIndex]=21)*(T_PlannedOrders[EffectiveQty]&gt;0)*T_PlannedOrders[Order_Month])),"m月")&amp;"発注)")</f>
        <v/>
      </c>
      <c r="Y705">
        <f>IF(SUMIFS(T_PlannedOrders[EffectiveQty],T_PlannedOrders[Part Name],$A681,T_PlannedOrders[WeekIndex],22)=0,"",SUMIFS(T_PlannedOrders[EffectiveQty],T_PlannedOrders[Part Name],$A681,T_PlannedOrders[WeekIndex],22)&amp;" ("&amp;TEXT(SUMPRODUCT(MAX((T_PlannedOrders[Part Name]=$A681)*(T_PlannedOrders[WeekIndex]=22)*(T_PlannedOrders[EffectiveQty]&gt;0)*T_PlannedOrders[Order_Month])),"m月")&amp;"発注)")</f>
        <v/>
      </c>
      <c r="Z705">
        <f>IF(SUMIFS(T_PlannedOrders[EffectiveQty],T_PlannedOrders[Part Name],$A681,T_PlannedOrders[WeekIndex],23)=0,"",SUMIFS(T_PlannedOrders[EffectiveQty],T_PlannedOrders[Part Name],$A681,T_PlannedOrders[WeekIndex],23)&amp;" ("&amp;TEXT(SUMPRODUCT(MAX((T_PlannedOrders[Part Name]=$A681)*(T_PlannedOrders[WeekIndex]=23)*(T_PlannedOrders[EffectiveQty]&gt;0)*T_PlannedOrders[Order_Month])),"m月")&amp;"発注)")</f>
        <v/>
      </c>
      <c r="AA705">
        <f>IF(SUMIFS(T_PlannedOrders[EffectiveQty],T_PlannedOrders[Part Name],$A681,T_PlannedOrders[WeekIndex],24)=0,"",SUMIFS(T_PlannedOrders[EffectiveQty],T_PlannedOrders[Part Name],$A681,T_PlannedOrders[WeekIndex],24)&amp;" ("&amp;TEXT(SUMPRODUCT(MAX((T_PlannedOrders[Part Name]=$A681)*(T_PlannedOrders[WeekIndex]=24)*(T_PlannedOrders[EffectiveQty]&gt;0)*T_PlannedOrders[Order_Month])),"m月")&amp;"発注)")</f>
        <v/>
      </c>
      <c r="AB705">
        <f>IF(SUMIFS(T_PlannedOrders[EffectiveQty],T_PlannedOrders[Part Name],$A681,T_PlannedOrders[WeekIndex],25)=0,"",SUMIFS(T_PlannedOrders[EffectiveQty],T_PlannedOrders[Part Name],$A681,T_PlannedOrders[WeekIndex],25)&amp;" ("&amp;TEXT(SUMPRODUCT(MAX((T_PlannedOrders[Part Name]=$A681)*(T_PlannedOrders[WeekIndex]=25)*(T_PlannedOrders[EffectiveQty]&gt;0)*T_PlannedOrders[Order_Month])),"m月")&amp;"発注)")</f>
        <v/>
      </c>
      <c r="AC705">
        <f>IF(SUMIFS(T_PlannedOrders[EffectiveQty],T_PlannedOrders[Part Name],$A681,T_PlannedOrders[WeekIndex],26)=0,"",SUMIFS(T_PlannedOrders[EffectiveQty],T_PlannedOrders[Part Name],$A681,T_PlannedOrders[WeekIndex],26)&amp;" ("&amp;TEXT(SUMPRODUCT(MAX((T_PlannedOrders[Part Name]=$A681)*(T_PlannedOrders[WeekIndex]=26)*(T_PlannedOrders[EffectiveQty]&gt;0)*T_PlannedOrders[Order_Month])),"m月")&amp;"発注)")</f>
        <v/>
      </c>
      <c r="AD705">
        <f>IF(SUMIFS(T_PlannedOrders[EffectiveQty],T_PlannedOrders[Part Name],$A681,T_PlannedOrders[WeekIndex],27)=0,"",SUMIFS(T_PlannedOrders[EffectiveQty],T_PlannedOrders[Part Name],$A681,T_PlannedOrders[WeekIndex],27)&amp;" ("&amp;TEXT(SUMPRODUCT(MAX((T_PlannedOrders[Part Name]=$A681)*(T_PlannedOrders[WeekIndex]=27)*(T_PlannedOrders[EffectiveQty]&gt;0)*T_PlannedOrders[Order_Month])),"m月")&amp;"発注)")</f>
        <v/>
      </c>
      <c r="AE705">
        <f>IF(SUMIFS(T_PlannedOrders[EffectiveQty],T_PlannedOrders[Part Name],$A681,T_PlannedOrders[WeekIndex],28)=0,"",SUMIFS(T_PlannedOrders[EffectiveQty],T_PlannedOrders[Part Name],$A681,T_PlannedOrders[WeekIndex],28)&amp;" ("&amp;TEXT(SUMPRODUCT(MAX((T_PlannedOrders[Part Name]=$A681)*(T_PlannedOrders[WeekIndex]=28)*(T_PlannedOrders[EffectiveQty]&gt;0)*T_PlannedOrders[Order_Month])),"m月")&amp;"発注)")</f>
        <v/>
      </c>
      <c r="AF705">
        <f>IF(SUMIFS(T_PlannedOrders[EffectiveQty],T_PlannedOrders[Part Name],$A681,T_PlannedOrders[WeekIndex],29)=0,"",SUMIFS(T_PlannedOrders[EffectiveQty],T_PlannedOrders[Part Name],$A681,T_PlannedOrders[WeekIndex],29)&amp;" ("&amp;TEXT(SUMPRODUCT(MAX((T_PlannedOrders[Part Name]=$A681)*(T_PlannedOrders[WeekIndex]=29)*(T_PlannedOrders[EffectiveQty]&gt;0)*T_PlannedOrders[Order_Month])),"m月")&amp;"発注)")</f>
        <v/>
      </c>
      <c r="AG705">
        <f>IF(SUMIFS(T_PlannedOrders[EffectiveQty],T_PlannedOrders[Part Name],$A681,T_PlannedOrders[WeekIndex],30)=0,"",SUMIFS(T_PlannedOrders[EffectiveQty],T_PlannedOrders[Part Name],$A681,T_PlannedOrders[WeekIndex],30)&amp;" ("&amp;TEXT(SUMPRODUCT(MAX((T_PlannedOrders[Part Name]=$A681)*(T_PlannedOrders[WeekIndex]=30)*(T_PlannedOrders[EffectiveQty]&gt;0)*T_PlannedOrders[Order_Month])),"m月")&amp;"発注)")</f>
        <v/>
      </c>
      <c r="AH705">
        <f>IF(SUMIFS(T_PlannedOrders[EffectiveQty],T_PlannedOrders[Part Name],$A681,T_PlannedOrders[WeekIndex],31)=0,"",SUMIFS(T_PlannedOrders[EffectiveQty],T_PlannedOrders[Part Name],$A681,T_PlannedOrders[WeekIndex],31)&amp;" ("&amp;TEXT(SUMPRODUCT(MAX((T_PlannedOrders[Part Name]=$A681)*(T_PlannedOrders[WeekIndex]=31)*(T_PlannedOrders[EffectiveQty]&gt;0)*T_PlannedOrders[Order_Month])),"m月")&amp;"発注)")</f>
        <v/>
      </c>
      <c r="AI705">
        <f>IF(SUMIFS(T_PlannedOrders[EffectiveQty],T_PlannedOrders[Part Name],$A681,T_PlannedOrders[WeekIndex],32)=0,"",SUMIFS(T_PlannedOrders[EffectiveQty],T_PlannedOrders[Part Name],$A681,T_PlannedOrders[WeekIndex],32)&amp;" ("&amp;TEXT(SUMPRODUCT(MAX((T_PlannedOrders[Part Name]=$A681)*(T_PlannedOrders[WeekIndex]=32)*(T_PlannedOrders[EffectiveQty]&gt;0)*T_PlannedOrders[Order_Month])),"m月")&amp;"発注)")</f>
        <v/>
      </c>
      <c r="AJ705">
        <f>IF(SUMIFS(T_PlannedOrders[EffectiveQty],T_PlannedOrders[Part Name],$A681,T_PlannedOrders[WeekIndex],33)=0,"",SUMIFS(T_PlannedOrders[EffectiveQty],T_PlannedOrders[Part Name],$A681,T_PlannedOrders[WeekIndex],33)&amp;" ("&amp;TEXT(SUMPRODUCT(MAX((T_PlannedOrders[Part Name]=$A681)*(T_PlannedOrders[WeekIndex]=33)*(T_PlannedOrders[EffectiveQty]&gt;0)*T_PlannedOrders[Order_Month])),"m月")&amp;"発注)")</f>
        <v/>
      </c>
      <c r="AK705">
        <f>IF(SUMIFS(T_PlannedOrders[EffectiveQty],T_PlannedOrders[Part Name],$A681,T_PlannedOrders[WeekIndex],34)=0,"",SUMIFS(T_PlannedOrders[EffectiveQty],T_PlannedOrders[Part Name],$A681,T_PlannedOrders[WeekIndex],34)&amp;" ("&amp;TEXT(SUMPRODUCT(MAX((T_PlannedOrders[Part Name]=$A681)*(T_PlannedOrders[WeekIndex]=34)*(T_PlannedOrders[EffectiveQty]&gt;0)*T_PlannedOrders[Order_Month])),"m月")&amp;"発注)")</f>
        <v/>
      </c>
      <c r="AL705">
        <f>IF(SUMIFS(T_PlannedOrders[EffectiveQty],T_PlannedOrders[Part Name],$A681,T_PlannedOrders[WeekIndex],35)=0,"",SUMIFS(T_PlannedOrders[EffectiveQty],T_PlannedOrders[Part Name],$A681,T_PlannedOrders[WeekIndex],35)&amp;" ("&amp;TEXT(SUMPRODUCT(MAX((T_PlannedOrders[Part Name]=$A681)*(T_PlannedOrders[WeekIndex]=35)*(T_PlannedOrders[EffectiveQty]&gt;0)*T_PlannedOrders[Order_Month])),"m月")&amp;"発注)")</f>
        <v/>
      </c>
      <c r="AM705">
        <f>IF(SUMIFS(T_PlannedOrders[EffectiveQty],T_PlannedOrders[Part Name],$A681,T_PlannedOrders[WeekIndex],36)=0,"",SUMIFS(T_PlannedOrders[EffectiveQty],T_PlannedOrders[Part Name],$A681,T_PlannedOrders[WeekIndex],36)&amp;" ("&amp;TEXT(SUMPRODUCT(MAX((T_PlannedOrders[Part Name]=$A681)*(T_PlannedOrders[WeekIndex]=36)*(T_PlannedOrders[EffectiveQty]&gt;0)*T_PlannedOrders[Order_Month])),"m月")&amp;"発注)")</f>
        <v/>
      </c>
      <c r="AN705">
        <f>IF(SUMIFS(T_PlannedOrders[EffectiveQty],T_PlannedOrders[Part Name],$A681,T_PlannedOrders[WeekIndex],37)=0,"",SUMIFS(T_PlannedOrders[EffectiveQty],T_PlannedOrders[Part Name],$A681,T_PlannedOrders[WeekIndex],37)&amp;" ("&amp;TEXT(SUMPRODUCT(MAX((T_PlannedOrders[Part Name]=$A681)*(T_PlannedOrders[WeekIndex]=37)*(T_PlannedOrders[EffectiveQty]&gt;0)*T_PlannedOrders[Order_Month])),"m月")&amp;"発注)")</f>
        <v/>
      </c>
      <c r="AO705">
        <f>IF(SUMIFS(T_PlannedOrders[EffectiveQty],T_PlannedOrders[Part Name],$A681,T_PlannedOrders[WeekIndex],38)=0,"",SUMIFS(T_PlannedOrders[EffectiveQty],T_PlannedOrders[Part Name],$A681,T_PlannedOrders[WeekIndex],38)&amp;" ("&amp;TEXT(SUMPRODUCT(MAX((T_PlannedOrders[Part Name]=$A681)*(T_PlannedOrders[WeekIndex]=38)*(T_PlannedOrders[EffectiveQty]&gt;0)*T_PlannedOrders[Order_Month])),"m月")&amp;"発注)")</f>
        <v/>
      </c>
      <c r="AP705">
        <f>IF(SUMIFS(T_PlannedOrders[EffectiveQty],T_PlannedOrders[Part Name],$A681,T_PlannedOrders[WeekIndex],39)=0,"",SUMIFS(T_PlannedOrders[EffectiveQty],T_PlannedOrders[Part Name],$A681,T_PlannedOrders[WeekIndex],39)&amp;" ("&amp;TEXT(SUMPRODUCT(MAX((T_PlannedOrders[Part Name]=$A681)*(T_PlannedOrders[WeekIndex]=39)*(T_PlannedOrders[EffectiveQty]&gt;0)*T_PlannedOrders[Order_Month])),"m月")&amp;"発注)")</f>
        <v/>
      </c>
      <c r="AQ705">
        <f>IF(SUMIFS(T_PlannedOrders[EffectiveQty],T_PlannedOrders[Part Name],$A681,T_PlannedOrders[WeekIndex],40)=0,"",SUMIFS(T_PlannedOrders[EffectiveQty],T_PlannedOrders[Part Name],$A681,T_PlannedOrders[WeekIndex],40)&amp;" ("&amp;TEXT(SUMPRODUCT(MAX((T_PlannedOrders[Part Name]=$A681)*(T_PlannedOrders[WeekIndex]=40)*(T_PlannedOrders[EffectiveQty]&gt;0)*T_PlannedOrders[Order_Month])),"m月")&amp;"発注)")</f>
        <v/>
      </c>
      <c r="AR705">
        <f>IF(SUMIFS(T_PlannedOrders[EffectiveQty],T_PlannedOrders[Part Name],$A681,T_PlannedOrders[WeekIndex],41)=0,"",SUMIFS(T_PlannedOrders[EffectiveQty],T_PlannedOrders[Part Name],$A681,T_PlannedOrders[WeekIndex],41)&amp;" ("&amp;TEXT(SUMPRODUCT(MAX((T_PlannedOrders[Part Name]=$A681)*(T_PlannedOrders[WeekIndex]=41)*(T_PlannedOrders[EffectiveQty]&gt;0)*T_PlannedOrders[Order_Month])),"m月")&amp;"発注)")</f>
        <v/>
      </c>
      <c r="AS705">
        <f>IF(SUMIFS(T_PlannedOrders[EffectiveQty],T_PlannedOrders[Part Name],$A681,T_PlannedOrders[WeekIndex],42)=0,"",SUMIFS(T_PlannedOrders[EffectiveQty],T_PlannedOrders[Part Name],$A681,T_PlannedOrders[WeekIndex],42)&amp;" ("&amp;TEXT(SUMPRODUCT(MAX((T_PlannedOrders[Part Name]=$A681)*(T_PlannedOrders[WeekIndex]=42)*(T_PlannedOrders[EffectiveQty]&gt;0)*T_PlannedOrders[Order_Month])),"m月")&amp;"発注)")</f>
        <v/>
      </c>
      <c r="AT705">
        <f>IF(SUMIFS(T_PlannedOrders[EffectiveQty],T_PlannedOrders[Part Name],$A681,T_PlannedOrders[WeekIndex],43)=0,"",SUMIFS(T_PlannedOrders[EffectiveQty],T_PlannedOrders[Part Name],$A681,T_PlannedOrders[WeekIndex],43)&amp;" ("&amp;TEXT(SUMPRODUCT(MAX((T_PlannedOrders[Part Name]=$A681)*(T_PlannedOrders[WeekIndex]=43)*(T_PlannedOrders[EffectiveQty]&gt;0)*T_PlannedOrders[Order_Month])),"m月")&amp;"発注)")</f>
        <v/>
      </c>
      <c r="AU705">
        <f>IF(SUMIFS(T_PlannedOrders[EffectiveQty],T_PlannedOrders[Part Name],$A681,T_PlannedOrders[WeekIndex],44)=0,"",SUMIFS(T_PlannedOrders[EffectiveQty],T_PlannedOrders[Part Name],$A681,T_PlannedOrders[WeekIndex],44)&amp;" ("&amp;TEXT(SUMPRODUCT(MAX((T_PlannedOrders[Part Name]=$A681)*(T_PlannedOrders[WeekIndex]=44)*(T_PlannedOrders[EffectiveQty]&gt;0)*T_PlannedOrders[Order_Month])),"m月")&amp;"発注)")</f>
        <v/>
      </c>
      <c r="AV705">
        <f>IF(SUMIFS(T_PlannedOrders[EffectiveQty],T_PlannedOrders[Part Name],$A681,T_PlannedOrders[WeekIndex],45)=0,"",SUMIFS(T_PlannedOrders[EffectiveQty],T_PlannedOrders[Part Name],$A681,T_PlannedOrders[WeekIndex],45)&amp;" ("&amp;TEXT(SUMPRODUCT(MAX((T_PlannedOrders[Part Name]=$A681)*(T_PlannedOrders[WeekIndex]=45)*(T_PlannedOrders[EffectiveQty]&gt;0)*T_PlannedOrders[Order_Month])),"m月")&amp;"発注)")</f>
        <v/>
      </c>
      <c r="AW705">
        <f>IF(SUMIFS(T_PlannedOrders[EffectiveQty],T_PlannedOrders[Part Name],$A681,T_PlannedOrders[WeekIndex],46)=0,"",SUMIFS(T_PlannedOrders[EffectiveQty],T_PlannedOrders[Part Name],$A681,T_PlannedOrders[WeekIndex],46)&amp;" ("&amp;TEXT(SUMPRODUCT(MAX((T_PlannedOrders[Part Name]=$A681)*(T_PlannedOrders[WeekIndex]=46)*(T_PlannedOrders[EffectiveQty]&gt;0)*T_PlannedOrders[Order_Month])),"m月")&amp;"発注)")</f>
        <v/>
      </c>
      <c r="AX705">
        <f>IF(SUMIFS(T_PlannedOrders[EffectiveQty],T_PlannedOrders[Part Name],$A681,T_PlannedOrders[WeekIndex],47)=0,"",SUMIFS(T_PlannedOrders[EffectiveQty],T_PlannedOrders[Part Name],$A681,T_PlannedOrders[WeekIndex],47)&amp;" ("&amp;TEXT(SUMPRODUCT(MAX((T_PlannedOrders[Part Name]=$A681)*(T_PlannedOrders[WeekIndex]=47)*(T_PlannedOrders[EffectiveQty]&gt;0)*T_PlannedOrders[Order_Month])),"m月")&amp;"発注)")</f>
        <v/>
      </c>
      <c r="AY705">
        <f>IF(SUMIFS(T_PlannedOrders[EffectiveQty],T_PlannedOrders[Part Name],$A681,T_PlannedOrders[WeekIndex],48)=0,"",SUMIFS(T_PlannedOrders[EffectiveQty],T_PlannedOrders[Part Name],$A681,T_PlannedOrders[WeekIndex],48)&amp;" ("&amp;TEXT(SUMPRODUCT(MAX((T_PlannedOrders[Part Name]=$A681)*(T_PlannedOrders[WeekIndex]=48)*(T_PlannedOrders[EffectiveQty]&gt;0)*T_PlannedOrders[Order_Month])),"m月")&amp;"発注)")</f>
        <v/>
      </c>
      <c r="AZ705">
        <f>IF(SUMIFS(T_PlannedOrders[EffectiveQty],T_PlannedOrders[Part Name],$A681,T_PlannedOrders[WeekIndex],49)=0,"",SUMIFS(T_PlannedOrders[EffectiveQty],T_PlannedOrders[Part Name],$A681,T_PlannedOrders[WeekIndex],49)&amp;" ("&amp;TEXT(SUMPRODUCT(MAX((T_PlannedOrders[Part Name]=$A681)*(T_PlannedOrders[WeekIndex]=49)*(T_PlannedOrders[EffectiveQty]&gt;0)*T_PlannedOrders[Order_Month])),"m月")&amp;"発注)")</f>
        <v/>
      </c>
      <c r="BA705">
        <f>IF(SUMIFS(T_PlannedOrders[EffectiveQty],T_PlannedOrders[Part Name],$A681,T_PlannedOrders[WeekIndex],50)=0,"",SUMIFS(T_PlannedOrders[EffectiveQty],T_PlannedOrders[Part Name],$A681,T_PlannedOrders[WeekIndex],50)&amp;" ("&amp;TEXT(SUMPRODUCT(MAX((T_PlannedOrders[Part Name]=$A681)*(T_PlannedOrders[WeekIndex]=50)*(T_PlannedOrders[EffectiveQty]&gt;0)*T_PlannedOrders[Order_Month])),"m月")&amp;"発注)")</f>
        <v/>
      </c>
      <c r="BB705">
        <f>IF(SUMIFS(T_PlannedOrders[EffectiveQty],T_PlannedOrders[Part Name],$A681,T_PlannedOrders[WeekIndex],51)=0,"",SUMIFS(T_PlannedOrders[EffectiveQty],T_PlannedOrders[Part Name],$A681,T_PlannedOrders[WeekIndex],51)&amp;" ("&amp;TEXT(SUMPRODUCT(MAX((T_PlannedOrders[Part Name]=$A681)*(T_PlannedOrders[WeekIndex]=51)*(T_PlannedOrders[EffectiveQty]&gt;0)*T_PlannedOrders[Order_Month])),"m月")&amp;"発注)")</f>
        <v/>
      </c>
      <c r="BC705">
        <f>IF(SUMIFS(T_PlannedOrders[EffectiveQty],T_PlannedOrders[Part Name],$A681,T_PlannedOrders[WeekIndex],52)=0,"",SUMIFS(T_PlannedOrders[EffectiveQty],T_PlannedOrders[Part Name],$A681,T_PlannedOrders[WeekIndex],52)&amp;" ("&amp;TEXT(SUMPRODUCT(MAX((T_PlannedOrders[Part Name]=$A681)*(T_PlannedOrders[WeekIndex]=52)*(T_PlannedOrders[EffectiveQty]&gt;0)*T_PlannedOrders[Order_Month])),"m月")&amp;"発注)")</f>
        <v/>
      </c>
      <c r="BD705">
        <f>IF(SUMIFS(T_PlannedOrders[EffectiveQty],T_PlannedOrders[Part Name],$A681,T_PlannedOrders[WeekIndex],53)=0,"",SUMIFS(T_PlannedOrders[EffectiveQty],T_PlannedOrders[Part Name],$A681,T_PlannedOrders[WeekIndex],53)&amp;" ("&amp;TEXT(SUMPRODUCT(MAX((T_PlannedOrders[Part Name]=$A681)*(T_PlannedOrders[WeekIndex]=53)*(T_PlannedOrders[EffectiveQty]&gt;0)*T_PlannedOrders[Order_Month])),"m月")&amp;"発注)")</f>
        <v/>
      </c>
      <c r="BE705">
        <f>IF(SUMIFS(T_PlannedOrders[EffectiveQty],T_PlannedOrders[Part Name],$A681,T_PlannedOrders[WeekIndex],54)=0,"",SUMIFS(T_PlannedOrders[EffectiveQty],T_PlannedOrders[Part Name],$A681,T_PlannedOrders[WeekIndex],54)&amp;" ("&amp;TEXT(SUMPRODUCT(MAX((T_PlannedOrders[Part Name]=$A681)*(T_PlannedOrders[WeekIndex]=54)*(T_PlannedOrders[EffectiveQty]&gt;0)*T_PlannedOrders[Order_Month])),"m月")&amp;"発注)")</f>
        <v/>
      </c>
      <c r="BF705">
        <f>IF(SUMIFS(T_PlannedOrders[EffectiveQty],T_PlannedOrders[Part Name],$A681,T_PlannedOrders[WeekIndex],55)=0,"",SUMIFS(T_PlannedOrders[EffectiveQty],T_PlannedOrders[Part Name],$A681,T_PlannedOrders[WeekIndex],55)&amp;" ("&amp;TEXT(SUMPRODUCT(MAX((T_PlannedOrders[Part Name]=$A681)*(T_PlannedOrders[WeekIndex]=55)*(T_PlannedOrders[EffectiveQty]&gt;0)*T_PlannedOrders[Order_Month])),"m月")&amp;"発注)")</f>
        <v/>
      </c>
      <c r="BG705">
        <f>IF(SUMIFS(T_PlannedOrders[EffectiveQty],T_PlannedOrders[Part Name],$A681,T_PlannedOrders[WeekIndex],56)=0,"",SUMIFS(T_PlannedOrders[EffectiveQty],T_PlannedOrders[Part Name],$A681,T_PlannedOrders[WeekIndex],56)&amp;" ("&amp;TEXT(SUMPRODUCT(MAX((T_PlannedOrders[Part Name]=$A681)*(T_PlannedOrders[WeekIndex]=56)*(T_PlannedOrders[EffectiveQty]&gt;0)*T_PlannedOrders[Order_Month])),"m月")&amp;"発注)")</f>
        <v/>
      </c>
      <c r="BH705">
        <f>IF(SUMIFS(T_PlannedOrders[EffectiveQty],T_PlannedOrders[Part Name],$A681,T_PlannedOrders[WeekIndex],57)=0,"",SUMIFS(T_PlannedOrders[EffectiveQty],T_PlannedOrders[Part Name],$A681,T_PlannedOrders[WeekIndex],57)&amp;" ("&amp;TEXT(SUMPRODUCT(MAX((T_PlannedOrders[Part Name]=$A681)*(T_PlannedOrders[WeekIndex]=57)*(T_PlannedOrders[EffectiveQty]&gt;0)*T_PlannedOrders[Order_Month])),"m月")&amp;"発注)")</f>
        <v/>
      </c>
      <c r="BI705">
        <f>IF(SUMIFS(T_PlannedOrders[EffectiveQty],T_PlannedOrders[Part Name],$A681,T_PlannedOrders[WeekIndex],58)=0,"",SUMIFS(T_PlannedOrders[EffectiveQty],T_PlannedOrders[Part Name],$A681,T_PlannedOrders[WeekIndex],58)&amp;" ("&amp;TEXT(SUMPRODUCT(MAX((T_PlannedOrders[Part Name]=$A681)*(T_PlannedOrders[WeekIndex]=58)*(T_PlannedOrders[EffectiveQty]&gt;0)*T_PlannedOrders[Order_Month])),"m月")&amp;"発注)")</f>
        <v/>
      </c>
      <c r="BJ705">
        <f>IF(SUMIFS(T_PlannedOrders[EffectiveQty],T_PlannedOrders[Part Name],$A681,T_PlannedOrders[WeekIndex],59)=0,"",SUMIFS(T_PlannedOrders[EffectiveQty],T_PlannedOrders[Part Name],$A681,T_PlannedOrders[WeekIndex],59)&amp;" ("&amp;TEXT(SUMPRODUCT(MAX((T_PlannedOrders[Part Name]=$A681)*(T_PlannedOrders[WeekIndex]=59)*(T_PlannedOrders[EffectiveQty]&gt;0)*T_PlannedOrders[Order_Month])),"m月")&amp;"発注)")</f>
        <v/>
      </c>
      <c r="BK705">
        <f>IF(SUMIFS(T_PlannedOrders[EffectiveQty],T_PlannedOrders[Part Name],$A681,T_PlannedOrders[WeekIndex],60)=0,"",SUMIFS(T_PlannedOrders[EffectiveQty],T_PlannedOrders[Part Name],$A681,T_PlannedOrders[WeekIndex],60)&amp;" ("&amp;TEXT(SUMPRODUCT(MAX((T_PlannedOrders[Part Name]=$A681)*(T_PlannedOrders[WeekIndex]=60)*(T_PlannedOrders[EffectiveQty]&gt;0)*T_PlannedOrders[Order_Month])),"m月")&amp;"発注)")</f>
        <v/>
      </c>
      <c r="BL705">
        <f>IF(SUMIFS(T_PlannedOrders[EffectiveQty],T_PlannedOrders[Part Name],$A681,T_PlannedOrders[WeekIndex],61)=0,"",SUMIFS(T_PlannedOrders[EffectiveQty],T_PlannedOrders[Part Name],$A681,T_PlannedOrders[WeekIndex],61)&amp;" ("&amp;TEXT(SUMPRODUCT(MAX((T_PlannedOrders[Part Name]=$A681)*(T_PlannedOrders[WeekIndex]=61)*(T_PlannedOrders[EffectiveQty]&gt;0)*T_PlannedOrders[Order_Month])),"m月")&amp;"発注)")</f>
        <v/>
      </c>
      <c r="BM705">
        <f>IF(SUMIFS(T_PlannedOrders[EffectiveQty],T_PlannedOrders[Part Name],$A681,T_PlannedOrders[WeekIndex],62)=0,"",SUMIFS(T_PlannedOrders[EffectiveQty],T_PlannedOrders[Part Name],$A681,T_PlannedOrders[WeekIndex],62)&amp;" ("&amp;TEXT(SUMPRODUCT(MAX((T_PlannedOrders[Part Name]=$A681)*(T_PlannedOrders[WeekIndex]=62)*(T_PlannedOrders[EffectiveQty]&gt;0)*T_PlannedOrders[Order_Month])),"m月")&amp;"発注)")</f>
        <v/>
      </c>
      <c r="BN705">
        <f>IF(SUMIFS(T_PlannedOrders[EffectiveQty],T_PlannedOrders[Part Name],$A681,T_PlannedOrders[WeekIndex],63)=0,"",SUMIFS(T_PlannedOrders[EffectiveQty],T_PlannedOrders[Part Name],$A681,T_PlannedOrders[WeekIndex],63)&amp;" ("&amp;TEXT(SUMPRODUCT(MAX((T_PlannedOrders[Part Name]=$A681)*(T_PlannedOrders[WeekIndex]=63)*(T_PlannedOrders[EffectiveQty]&gt;0)*T_PlannedOrders[Order_Month])),"m月")&amp;"発注)")</f>
        <v/>
      </c>
      <c r="BO705">
        <f>IF(SUMIFS(T_PlannedOrders[EffectiveQty],T_PlannedOrders[Part Name],$A681,T_PlannedOrders[WeekIndex],64)=0,"",SUMIFS(T_PlannedOrders[EffectiveQty],T_PlannedOrders[Part Name],$A681,T_PlannedOrders[WeekIndex],64)&amp;" ("&amp;TEXT(SUMPRODUCT(MAX((T_PlannedOrders[Part Name]=$A681)*(T_PlannedOrders[WeekIndex]=64)*(T_PlannedOrders[EffectiveQty]&gt;0)*T_PlannedOrders[Order_Month])),"m月")&amp;"発注)")</f>
        <v/>
      </c>
      <c r="BP705">
        <f>IF(SUMIFS(T_PlannedOrders[EffectiveQty],T_PlannedOrders[Part Name],$A681,T_PlannedOrders[WeekIndex],65)=0,"",SUMIFS(T_PlannedOrders[EffectiveQty],T_PlannedOrders[Part Name],$A681,T_PlannedOrders[WeekIndex],65)&amp;" ("&amp;TEXT(SUMPRODUCT(MAX((T_PlannedOrders[Part Name]=$A681)*(T_PlannedOrders[WeekIndex]=65)*(T_PlannedOrders[EffectiveQty]&gt;0)*T_PlannedOrders[Order_Month])),"m月")&amp;"発注)")</f>
        <v/>
      </c>
      <c r="BQ705">
        <f>IF(SUMIFS(T_PlannedOrders[EffectiveQty],T_PlannedOrders[Part Name],$A681,T_PlannedOrders[WeekIndex],66)=0,"",SUMIFS(T_PlannedOrders[EffectiveQty],T_PlannedOrders[Part Name],$A681,T_PlannedOrders[WeekIndex],66)&amp;" ("&amp;TEXT(SUMPRODUCT(MAX((T_PlannedOrders[Part Name]=$A681)*(T_PlannedOrders[WeekIndex]=66)*(T_PlannedOrders[EffectiveQty]&gt;0)*T_PlannedOrders[Order_Month])),"m月")&amp;"発注)")</f>
        <v/>
      </c>
      <c r="BR705">
        <f>IF(SUMIFS(T_PlannedOrders[EffectiveQty],T_PlannedOrders[Part Name],$A681,T_PlannedOrders[WeekIndex],67)=0,"",SUMIFS(T_PlannedOrders[EffectiveQty],T_PlannedOrders[Part Name],$A681,T_PlannedOrders[WeekIndex],67)&amp;" ("&amp;TEXT(SUMPRODUCT(MAX((T_PlannedOrders[Part Name]=$A681)*(T_PlannedOrders[WeekIndex]=67)*(T_PlannedOrders[EffectiveQty]&gt;0)*T_PlannedOrders[Order_Month])),"m月")&amp;"発注)")</f>
        <v/>
      </c>
      <c r="BS705">
        <f>IF(SUMIFS(T_PlannedOrders[EffectiveQty],T_PlannedOrders[Part Name],$A681,T_PlannedOrders[WeekIndex],68)=0,"",SUMIFS(T_PlannedOrders[EffectiveQty],T_PlannedOrders[Part Name],$A681,T_PlannedOrders[WeekIndex],68)&amp;" ("&amp;TEXT(SUMPRODUCT(MAX((T_PlannedOrders[Part Name]=$A681)*(T_PlannedOrders[WeekIndex]=68)*(T_PlannedOrders[EffectiveQty]&gt;0)*T_PlannedOrders[Order_Month])),"m月")&amp;"発注)")</f>
        <v/>
      </c>
      <c r="BT705">
        <f>IF(SUMIFS(T_PlannedOrders[EffectiveQty],T_PlannedOrders[Part Name],$A681,T_PlannedOrders[WeekIndex],69)=0,"",SUMIFS(T_PlannedOrders[EffectiveQty],T_PlannedOrders[Part Name],$A681,T_PlannedOrders[WeekIndex],69)&amp;" ("&amp;TEXT(SUMPRODUCT(MAX((T_PlannedOrders[Part Name]=$A681)*(T_PlannedOrders[WeekIndex]=69)*(T_PlannedOrders[EffectiveQty]&gt;0)*T_PlannedOrders[Order_Month])),"m月")&amp;"発注)")</f>
        <v/>
      </c>
      <c r="BU705">
        <f>IF(SUMIFS(T_PlannedOrders[EffectiveQty],T_PlannedOrders[Part Name],$A681,T_PlannedOrders[WeekIndex],70)=0,"",SUMIFS(T_PlannedOrders[EffectiveQty],T_PlannedOrders[Part Name],$A681,T_PlannedOrders[WeekIndex],70)&amp;" ("&amp;TEXT(SUMPRODUCT(MAX((T_PlannedOrders[Part Name]=$A681)*(T_PlannedOrders[WeekIndex]=70)*(T_PlannedOrders[EffectiveQty]&gt;0)*T_PlannedOrders[Order_Month])),"m月")&amp;"発注)")</f>
        <v/>
      </c>
      <c r="BV705">
        <f>IF(SUMIFS(T_PlannedOrders[EffectiveQty],T_PlannedOrders[Part Name],$A681,T_PlannedOrders[WeekIndex],71)=0,"",SUMIFS(T_PlannedOrders[EffectiveQty],T_PlannedOrders[Part Name],$A681,T_PlannedOrders[WeekIndex],71)&amp;" ("&amp;TEXT(SUMPRODUCT(MAX((T_PlannedOrders[Part Name]=$A681)*(T_PlannedOrders[WeekIndex]=71)*(T_PlannedOrders[EffectiveQty]&gt;0)*T_PlannedOrders[Order_Month])),"m月")&amp;"発注)")</f>
        <v/>
      </c>
      <c r="BW705">
        <f>IF(SUMIFS(T_PlannedOrders[EffectiveQty],T_PlannedOrders[Part Name],$A681,T_PlannedOrders[WeekIndex],72)=0,"",SUMIFS(T_PlannedOrders[EffectiveQty],T_PlannedOrders[Part Name],$A681,T_PlannedOrders[WeekIndex],72)&amp;" ("&amp;TEXT(SUMPRODUCT(MAX((T_PlannedOrders[Part Name]=$A681)*(T_PlannedOrders[WeekIndex]=72)*(T_PlannedOrders[EffectiveQty]&gt;0)*T_PlannedOrders[Order_Month])),"m月")&amp;"発注)")</f>
        <v/>
      </c>
      <c r="BX705">
        <f>IF(SUMIFS(T_PlannedOrders[EffectiveQty],T_PlannedOrders[Part Name],$A681,T_PlannedOrders[WeekIndex],73)=0,"",SUMIFS(T_PlannedOrders[EffectiveQty],T_PlannedOrders[Part Name],$A681,T_PlannedOrders[WeekIndex],73)&amp;" ("&amp;TEXT(SUMPRODUCT(MAX((T_PlannedOrders[Part Name]=$A681)*(T_PlannedOrders[WeekIndex]=73)*(T_PlannedOrders[EffectiveQty]&gt;0)*T_PlannedOrders[Order_Month])),"m月")&amp;"発注)")</f>
        <v/>
      </c>
      <c r="BY705">
        <f>IF(SUMIFS(T_PlannedOrders[EffectiveQty],T_PlannedOrders[Part Name],$A681,T_PlannedOrders[WeekIndex],74)=0,"",SUMIFS(T_PlannedOrders[EffectiveQty],T_PlannedOrders[Part Name],$A681,T_PlannedOrders[WeekIndex],74)&amp;" ("&amp;TEXT(SUMPRODUCT(MAX((T_PlannedOrders[Part Name]=$A681)*(T_PlannedOrders[WeekIndex]=74)*(T_PlannedOrders[EffectiveQty]&gt;0)*T_PlannedOrders[Order_Month])),"m月")&amp;"発注)")</f>
        <v/>
      </c>
      <c r="BZ705">
        <f>IF(SUMIFS(T_PlannedOrders[EffectiveQty],T_PlannedOrders[Part Name],$A681,T_PlannedOrders[WeekIndex],75)=0,"",SUMIFS(T_PlannedOrders[EffectiveQty],T_PlannedOrders[Part Name],$A681,T_PlannedOrders[WeekIndex],75)&amp;" ("&amp;TEXT(SUMPRODUCT(MAX((T_PlannedOrders[Part Name]=$A681)*(T_PlannedOrders[WeekIndex]=75)*(T_PlannedOrders[EffectiveQty]&gt;0)*T_PlannedOrders[Order_Month])),"m月")&amp;"発注)")</f>
        <v/>
      </c>
      <c r="CA705">
        <f>IF(SUMIFS(T_PlannedOrders[EffectiveQty],T_PlannedOrders[Part Name],$A681,T_PlannedOrders[WeekIndex],76)=0,"",SUMIFS(T_PlannedOrders[EffectiveQty],T_PlannedOrders[Part Name],$A681,T_PlannedOrders[WeekIndex],76)&amp;" ("&amp;TEXT(SUMPRODUCT(MAX((T_PlannedOrders[Part Name]=$A681)*(T_PlannedOrders[WeekIndex]=76)*(T_PlannedOrders[EffectiveQty]&gt;0)*T_PlannedOrders[Order_Month])),"m月")&amp;"発注)")</f>
        <v/>
      </c>
      <c r="CB705">
        <f>IF(SUMIFS(T_PlannedOrders[EffectiveQty],T_PlannedOrders[Part Name],$A681,T_PlannedOrders[WeekIndex],77)=0,"",SUMIFS(T_PlannedOrders[EffectiveQty],T_PlannedOrders[Part Name],$A681,T_PlannedOrders[WeekIndex],77)&amp;" ("&amp;TEXT(SUMPRODUCT(MAX((T_PlannedOrders[Part Name]=$A681)*(T_PlannedOrders[WeekIndex]=77)*(T_PlannedOrders[EffectiveQty]&gt;0)*T_PlannedOrders[Order_Month])),"m月")&amp;"発注)")</f>
        <v/>
      </c>
      <c r="CC705">
        <f>IF(SUMIFS(T_PlannedOrders[EffectiveQty],T_PlannedOrders[Part Name],$A681,T_PlannedOrders[WeekIndex],78)=0,"",SUMIFS(T_PlannedOrders[EffectiveQty],T_PlannedOrders[Part Name],$A681,T_PlannedOrders[WeekIndex],78)&amp;" ("&amp;TEXT(SUMPRODUCT(MAX((T_PlannedOrders[Part Name]=$A681)*(T_PlannedOrders[WeekIndex]=78)*(T_PlannedOrders[EffectiveQty]&gt;0)*T_PlannedOrders[Order_Month])),"m月")&amp;"発注)")</f>
        <v/>
      </c>
      <c r="CD705">
        <f>IF(SUMIFS(T_PlannedOrders[EffectiveQty],T_PlannedOrders[Part Name],$A681,T_PlannedOrders[WeekIndex],79)=0,"",SUMIFS(T_PlannedOrders[EffectiveQty],T_PlannedOrders[Part Name],$A681,T_PlannedOrders[WeekIndex],79)&amp;" ("&amp;TEXT(SUMPRODUCT(MAX((T_PlannedOrders[Part Name]=$A681)*(T_PlannedOrders[WeekIndex]=79)*(T_PlannedOrders[EffectiveQty]&gt;0)*T_PlannedOrders[Order_Month])),"m月")&amp;"発注)")</f>
        <v/>
      </c>
      <c r="CE705">
        <f>IF(SUMIFS(T_PlannedOrders[EffectiveQty],T_PlannedOrders[Part Name],$A681,T_PlannedOrders[WeekIndex],80)=0,"",SUMIFS(T_PlannedOrders[EffectiveQty],T_PlannedOrders[Part Name],$A681,T_PlannedOrders[WeekIndex],80)&amp;" ("&amp;TEXT(SUMPRODUCT(MAX((T_PlannedOrders[Part Name]=$A681)*(T_PlannedOrders[WeekIndex]=80)*(T_PlannedOrders[EffectiveQty]&gt;0)*T_PlannedOrders[Order_Month])),"m月")&amp;"発注)")</f>
        <v/>
      </c>
      <c r="CF705">
        <f>IF(SUMIFS(T_PlannedOrders[EffectiveQty],T_PlannedOrders[Part Name],$A681,T_PlannedOrders[WeekIndex],81)=0,"",SUMIFS(T_PlannedOrders[EffectiveQty],T_PlannedOrders[Part Name],$A681,T_PlannedOrders[WeekIndex],81)&amp;" ("&amp;TEXT(SUMPRODUCT(MAX((T_PlannedOrders[Part Name]=$A681)*(T_PlannedOrders[WeekIndex]=81)*(T_PlannedOrders[EffectiveQty]&gt;0)*T_PlannedOrders[Order_Month])),"m月")&amp;"発注)")</f>
        <v/>
      </c>
      <c r="CG705">
        <f>IF(SUMIFS(T_PlannedOrders[EffectiveQty],T_PlannedOrders[Part Name],$A681,T_PlannedOrders[WeekIndex],82)=0,"",SUMIFS(T_PlannedOrders[EffectiveQty],T_PlannedOrders[Part Name],$A681,T_PlannedOrders[WeekIndex],82)&amp;" ("&amp;TEXT(SUMPRODUCT(MAX((T_PlannedOrders[Part Name]=$A681)*(T_PlannedOrders[WeekIndex]=82)*(T_PlannedOrders[EffectiveQty]&gt;0)*T_PlannedOrders[Order_Month])),"m月")&amp;"発注)")</f>
        <v/>
      </c>
      <c r="CH705">
        <f>IF(SUMIFS(T_PlannedOrders[EffectiveQty],T_PlannedOrders[Part Name],$A681,T_PlannedOrders[WeekIndex],83)=0,"",SUMIFS(T_PlannedOrders[EffectiveQty],T_PlannedOrders[Part Name],$A681,T_PlannedOrders[WeekIndex],83)&amp;" ("&amp;TEXT(SUMPRODUCT(MAX((T_PlannedOrders[Part Name]=$A681)*(T_PlannedOrders[WeekIndex]=83)*(T_PlannedOrders[EffectiveQty]&gt;0)*T_PlannedOrders[Order_Month])),"m月")&amp;"発注)")</f>
        <v/>
      </c>
      <c r="CI705">
        <f>IF(SUMIFS(T_PlannedOrders[EffectiveQty],T_PlannedOrders[Part Name],$A681,T_PlannedOrders[WeekIndex],84)=0,"",SUMIFS(T_PlannedOrders[EffectiveQty],T_PlannedOrders[Part Name],$A681,T_PlannedOrders[WeekIndex],84)&amp;" ("&amp;TEXT(SUMPRODUCT(MAX((T_PlannedOrders[Part Name]=$A681)*(T_PlannedOrders[WeekIndex]=84)*(T_PlannedOrders[EffectiveQty]&gt;0)*T_PlannedOrders[Order_Month])),"m月")&amp;"発注)")</f>
        <v/>
      </c>
      <c r="CJ705">
        <f>IF(SUMIFS(T_PlannedOrders[EffectiveQty],T_PlannedOrders[Part Name],$A681,T_PlannedOrders[WeekIndex],85)=0,"",SUMIFS(T_PlannedOrders[EffectiveQty],T_PlannedOrders[Part Name],$A681,T_PlannedOrders[WeekIndex],85)&amp;" ("&amp;TEXT(SUMPRODUCT(MAX((T_PlannedOrders[Part Name]=$A681)*(T_PlannedOrders[WeekIndex]=85)*(T_PlannedOrders[EffectiveQty]&gt;0)*T_PlannedOrders[Order_Month])),"m月")&amp;"発注)")</f>
        <v/>
      </c>
      <c r="CK705">
        <f>IF(SUMIFS(T_PlannedOrders[EffectiveQty],T_PlannedOrders[Part Name],$A681,T_PlannedOrders[WeekIndex],86)=0,"",SUMIFS(T_PlannedOrders[EffectiveQty],T_PlannedOrders[Part Name],$A681,T_PlannedOrders[WeekIndex],86)&amp;" ("&amp;TEXT(SUMPRODUCT(MAX((T_PlannedOrders[Part Name]=$A681)*(T_PlannedOrders[WeekIndex]=86)*(T_PlannedOrders[EffectiveQty]&gt;0)*T_PlannedOrders[Order_Month])),"m月")&amp;"発注)")</f>
        <v/>
      </c>
      <c r="CL705">
        <f>IF(SUMIFS(T_PlannedOrders[EffectiveQty],T_PlannedOrders[Part Name],$A681,T_PlannedOrders[WeekIndex],87)=0,"",SUMIFS(T_PlannedOrders[EffectiveQty],T_PlannedOrders[Part Name],$A681,T_PlannedOrders[WeekIndex],87)&amp;" ("&amp;TEXT(SUMPRODUCT(MAX((T_PlannedOrders[Part Name]=$A681)*(T_PlannedOrders[WeekIndex]=87)*(T_PlannedOrders[EffectiveQty]&gt;0)*T_PlannedOrders[Order_Month])),"m月")&amp;"発注)")</f>
        <v/>
      </c>
      <c r="CM705">
        <f>IF(SUMIFS(T_PlannedOrders[EffectiveQty],T_PlannedOrders[Part Name],$A681,T_PlannedOrders[WeekIndex],88)=0,"",SUMIFS(T_PlannedOrders[EffectiveQty],T_PlannedOrders[Part Name],$A681,T_PlannedOrders[WeekIndex],88)&amp;" ("&amp;TEXT(SUMPRODUCT(MAX((T_PlannedOrders[Part Name]=$A681)*(T_PlannedOrders[WeekIndex]=88)*(T_PlannedOrders[EffectiveQty]&gt;0)*T_PlannedOrders[Order_Month])),"m月")&amp;"発注)")</f>
        <v/>
      </c>
      <c r="CN705">
        <f>IF(SUMIFS(T_PlannedOrders[EffectiveQty],T_PlannedOrders[Part Name],$A681,T_PlannedOrders[WeekIndex],89)=0,"",SUMIFS(T_PlannedOrders[EffectiveQty],T_PlannedOrders[Part Name],$A681,T_PlannedOrders[WeekIndex],89)&amp;" ("&amp;TEXT(SUMPRODUCT(MAX((T_PlannedOrders[Part Name]=$A681)*(T_PlannedOrders[WeekIndex]=89)*(T_PlannedOrders[EffectiveQty]&gt;0)*T_PlannedOrders[Order_Month])),"m月")&amp;"発注)")</f>
        <v/>
      </c>
      <c r="CO705">
        <f>IF(SUMIFS(T_PlannedOrders[EffectiveQty],T_PlannedOrders[Part Name],$A681,T_PlannedOrders[WeekIndex],90)=0,"",SUMIFS(T_PlannedOrders[EffectiveQty],T_PlannedOrders[Part Name],$A681,T_PlannedOrders[WeekIndex],90)&amp;" ("&amp;TEXT(SUMPRODUCT(MAX((T_PlannedOrders[Part Name]=$A681)*(T_PlannedOrders[WeekIndex]=90)*(T_PlannedOrders[EffectiveQty]&gt;0)*T_PlannedOrders[Order_Month])),"m月")&amp;"発注)")</f>
        <v/>
      </c>
      <c r="CP705">
        <f>IF(SUMIFS(T_PlannedOrders[EffectiveQty],T_PlannedOrders[Part Name],$A681,T_PlannedOrders[WeekIndex],91)=0,"",SUMIFS(T_PlannedOrders[EffectiveQty],T_PlannedOrders[Part Name],$A681,T_PlannedOrders[WeekIndex],91)&amp;" ("&amp;TEXT(SUMPRODUCT(MAX((T_PlannedOrders[Part Name]=$A681)*(T_PlannedOrders[WeekIndex]=91)*(T_PlannedOrders[EffectiveQty]&gt;0)*T_PlannedOrders[Order_Month])),"m月")&amp;"発注)")</f>
        <v/>
      </c>
      <c r="CQ705">
        <f>IF(SUMIFS(T_PlannedOrders[EffectiveQty],T_PlannedOrders[Part Name],$A681,T_PlannedOrders[WeekIndex],92)=0,"",SUMIFS(T_PlannedOrders[EffectiveQty],T_PlannedOrders[Part Name],$A681,T_PlannedOrders[WeekIndex],92)&amp;" ("&amp;TEXT(SUMPRODUCT(MAX((T_PlannedOrders[Part Name]=$A681)*(T_PlannedOrders[WeekIndex]=92)*(T_PlannedOrders[EffectiveQty]&gt;0)*T_PlannedOrders[Order_Month])),"m月")&amp;"発注)")</f>
        <v/>
      </c>
      <c r="CR705">
        <f>IF(SUMIFS(T_PlannedOrders[EffectiveQty],T_PlannedOrders[Part Name],$A681,T_PlannedOrders[WeekIndex],93)=0,"",SUMIFS(T_PlannedOrders[EffectiveQty],T_PlannedOrders[Part Name],$A681,T_PlannedOrders[WeekIndex],93)&amp;" ("&amp;TEXT(SUMPRODUCT(MAX((T_PlannedOrders[Part Name]=$A681)*(T_PlannedOrders[WeekIndex]=93)*(T_PlannedOrders[EffectiveQty]&gt;0)*T_PlannedOrders[Order_Month])),"m月")&amp;"発注)")</f>
        <v/>
      </c>
      <c r="CS705">
        <f>IF(SUMIFS(T_PlannedOrders[EffectiveQty],T_PlannedOrders[Part Name],$A681,T_PlannedOrders[WeekIndex],94)=0,"",SUMIFS(T_PlannedOrders[EffectiveQty],T_PlannedOrders[Part Name],$A681,T_PlannedOrders[WeekIndex],94)&amp;" ("&amp;TEXT(SUMPRODUCT(MAX((T_PlannedOrders[Part Name]=$A681)*(T_PlannedOrders[WeekIndex]=94)*(T_PlannedOrders[EffectiveQty]&gt;0)*T_PlannedOrders[Order_Month])),"m月")&amp;"発注)")</f>
        <v/>
      </c>
      <c r="CT705">
        <f>IF(SUMIFS(T_PlannedOrders[EffectiveQty],T_PlannedOrders[Part Name],$A681,T_PlannedOrders[WeekIndex],95)=0,"",SUMIFS(T_PlannedOrders[EffectiveQty],T_PlannedOrders[Part Name],$A681,T_PlannedOrders[WeekIndex],95)&amp;" ("&amp;TEXT(SUMPRODUCT(MAX((T_PlannedOrders[Part Name]=$A681)*(T_PlannedOrders[WeekIndex]=95)*(T_PlannedOrders[EffectiveQty]&gt;0)*T_PlannedOrders[Order_Month])),"m月")&amp;"発注)")</f>
        <v/>
      </c>
      <c r="CU705">
        <f>IF(SUMIFS(T_PlannedOrders[EffectiveQty],T_PlannedOrders[Part Name],$A681,T_PlannedOrders[WeekIndex],96)=0,"",SUMIFS(T_PlannedOrders[EffectiveQty],T_PlannedOrders[Part Name],$A681,T_PlannedOrders[WeekIndex],96)&amp;" ("&amp;TEXT(SUMPRODUCT(MAX((T_PlannedOrders[Part Name]=$A681)*(T_PlannedOrders[WeekIndex]=96)*(T_PlannedOrders[EffectiveQty]&gt;0)*T_PlannedOrders[Order_Month])),"m月")&amp;"発注)")</f>
        <v/>
      </c>
      <c r="CV705">
        <f>IF(SUMIFS(T_PlannedOrders[EffectiveQty],T_PlannedOrders[Part Name],$A681,T_PlannedOrders[WeekIndex],97)=0,"",SUMIFS(T_PlannedOrders[EffectiveQty],T_PlannedOrders[Part Name],$A681,T_PlannedOrders[WeekIndex],97)&amp;" ("&amp;TEXT(SUMPRODUCT(MAX((T_PlannedOrders[Part Name]=$A681)*(T_PlannedOrders[WeekIndex]=97)*(T_PlannedOrders[EffectiveQty]&gt;0)*T_PlannedOrders[Order_Month])),"m月")&amp;"発注)")</f>
        <v/>
      </c>
      <c r="CW705">
        <f>IF(SUMIFS(T_PlannedOrders[EffectiveQty],T_PlannedOrders[Part Name],$A681,T_PlannedOrders[WeekIndex],98)=0,"",SUMIFS(T_PlannedOrders[EffectiveQty],T_PlannedOrders[Part Name],$A681,T_PlannedOrders[WeekIndex],98)&amp;" ("&amp;TEXT(SUMPRODUCT(MAX((T_PlannedOrders[Part Name]=$A681)*(T_PlannedOrders[WeekIndex]=98)*(T_PlannedOrders[EffectiveQty]&gt;0)*T_PlannedOrders[Order_Month])),"m月")&amp;"発注)")</f>
        <v/>
      </c>
      <c r="CX705">
        <f>IF(SUMIFS(T_PlannedOrders[EffectiveQty],T_PlannedOrders[Part Name],$A681,T_PlannedOrders[WeekIndex],99)=0,"",SUMIFS(T_PlannedOrders[EffectiveQty],T_PlannedOrders[Part Name],$A681,T_PlannedOrders[WeekIndex],99)&amp;" ("&amp;TEXT(SUMPRODUCT(MAX((T_PlannedOrders[Part Name]=$A681)*(T_PlannedOrders[WeekIndex]=99)*(T_PlannedOrders[EffectiveQty]&gt;0)*T_PlannedOrders[Order_Month])),"m月")&amp;"発注)")</f>
        <v/>
      </c>
      <c r="CY705">
        <f>IF(SUMIFS(T_PlannedOrders[EffectiveQty],T_PlannedOrders[Part Name],$A681,T_PlannedOrders[WeekIndex],100)=0,"",SUMIFS(T_PlannedOrders[EffectiveQty],T_PlannedOrders[Part Name],$A681,T_PlannedOrders[WeekIndex],100)&amp;" ("&amp;TEXT(SUMPRODUCT(MAX((T_PlannedOrders[Part Name]=$A681)*(T_PlannedOrders[WeekIndex]=100)*(T_PlannedOrders[EffectiveQty]&gt;0)*T_PlannedOrders[Order_Month])),"m月")&amp;"発注)")</f>
        <v/>
      </c>
      <c r="CZ705">
        <f>IF(SUMIFS(T_PlannedOrders[EffectiveQty],T_PlannedOrders[Part Name],$A681,T_PlannedOrders[WeekIndex],101)=0,"",SUMIFS(T_PlannedOrders[EffectiveQty],T_PlannedOrders[Part Name],$A681,T_PlannedOrders[WeekIndex],101)&amp;" ("&amp;TEXT(SUMPRODUCT(MAX((T_PlannedOrders[Part Name]=$A681)*(T_PlannedOrders[WeekIndex]=101)*(T_PlannedOrders[EffectiveQty]&gt;0)*T_PlannedOrders[Order_Month])),"m月")&amp;"発注)")</f>
        <v/>
      </c>
      <c r="DA705">
        <f>IF(SUMIFS(T_PlannedOrders[EffectiveQty],T_PlannedOrders[Part Name],$A681,T_PlannedOrders[WeekIndex],102)=0,"",SUMIFS(T_PlannedOrders[EffectiveQty],T_PlannedOrders[Part Name],$A681,T_PlannedOrders[WeekIndex],102)&amp;" ("&amp;TEXT(SUMPRODUCT(MAX((T_PlannedOrders[Part Name]=$A681)*(T_PlannedOrders[WeekIndex]=102)*(T_PlannedOrders[EffectiveQty]&gt;0)*T_PlannedOrders[Order_Month])),"m月")&amp;"発注)")</f>
        <v/>
      </c>
      <c r="DB705">
        <f>IF(SUMIFS(T_PlannedOrders[EffectiveQty],T_PlannedOrders[Part Name],$A681,T_PlannedOrders[WeekIndex],103)=0,"",SUMIFS(T_PlannedOrders[EffectiveQty],T_PlannedOrders[Part Name],$A681,T_PlannedOrders[WeekIndex],103)&amp;" ("&amp;TEXT(SUMPRODUCT(MAX((T_PlannedOrders[Part Name]=$A681)*(T_PlannedOrders[WeekIndex]=103)*(T_PlannedOrders[EffectiveQty]&gt;0)*T_PlannedOrders[Order_Month])),"m月")&amp;"発注)")</f>
        <v/>
      </c>
      <c r="DC705">
        <f>IF(SUMIFS(T_PlannedOrders[EffectiveQty],T_PlannedOrders[Part Name],$A681,T_PlannedOrders[WeekIndex],104)=0,"",SUMIFS(T_PlannedOrders[EffectiveQty],T_PlannedOrders[Part Name],$A681,T_PlannedOrders[WeekIndex],104)&amp;" ("&amp;TEXT(SUMPRODUCT(MAX((T_PlannedOrders[Part Name]=$A681)*(T_PlannedOrders[WeekIndex]=104)*(T_PlannedOrders[EffectiveQty]&gt;0)*T_PlannedOrders[Order_Month])),"m月")&amp;"発注)")</f>
        <v/>
      </c>
    </row>
    <row r="706">
      <c r="B706" s="4" t="inlineStr">
        <is>
          <t>合計在庫(週末時点,kg)</t>
        </is>
      </c>
      <c r="D706">
        <f>'Grid_Stock'!B21</f>
        <v/>
      </c>
      <c r="E706">
        <f>'Grid_Stock'!C21</f>
        <v/>
      </c>
      <c r="F706">
        <f>'Grid_Stock'!D21</f>
        <v/>
      </c>
      <c r="G706">
        <f>'Grid_Stock'!E21</f>
        <v/>
      </c>
      <c r="H706">
        <f>'Grid_Stock'!F21</f>
        <v/>
      </c>
      <c r="I706">
        <f>'Grid_Stock'!G21</f>
        <v/>
      </c>
      <c r="J706">
        <f>'Grid_Stock'!H21</f>
        <v/>
      </c>
      <c r="K706">
        <f>'Grid_Stock'!I21</f>
        <v/>
      </c>
      <c r="L706">
        <f>'Grid_Stock'!J21</f>
        <v/>
      </c>
      <c r="M706">
        <f>'Grid_Stock'!K21</f>
        <v/>
      </c>
      <c r="N706">
        <f>'Grid_Stock'!L21</f>
        <v/>
      </c>
      <c r="O706">
        <f>'Grid_Stock'!M21</f>
        <v/>
      </c>
      <c r="P706">
        <f>'Grid_Stock'!N21</f>
        <v/>
      </c>
      <c r="Q706">
        <f>'Grid_Stock'!O21</f>
        <v/>
      </c>
      <c r="R706">
        <f>'Grid_Stock'!P21</f>
        <v/>
      </c>
      <c r="S706">
        <f>'Grid_Stock'!Q21</f>
        <v/>
      </c>
      <c r="T706">
        <f>'Grid_Stock'!R21</f>
        <v/>
      </c>
      <c r="U706">
        <f>'Grid_Stock'!S21</f>
        <v/>
      </c>
      <c r="V706">
        <f>'Grid_Stock'!T21</f>
        <v/>
      </c>
      <c r="W706">
        <f>'Grid_Stock'!U21</f>
        <v/>
      </c>
      <c r="X706">
        <f>'Grid_Stock'!V21</f>
        <v/>
      </c>
      <c r="Y706">
        <f>'Grid_Stock'!W21</f>
        <v/>
      </c>
      <c r="Z706">
        <f>'Grid_Stock'!X21</f>
        <v/>
      </c>
      <c r="AA706">
        <f>'Grid_Stock'!Y21</f>
        <v/>
      </c>
      <c r="AB706">
        <f>'Grid_Stock'!Z21</f>
        <v/>
      </c>
      <c r="AC706">
        <f>'Grid_Stock'!AA21</f>
        <v/>
      </c>
      <c r="AD706">
        <f>'Grid_Stock'!AB21</f>
        <v/>
      </c>
      <c r="AE706">
        <f>'Grid_Stock'!AC21</f>
        <v/>
      </c>
      <c r="AF706">
        <f>'Grid_Stock'!AD21</f>
        <v/>
      </c>
      <c r="AG706">
        <f>'Grid_Stock'!AE21</f>
        <v/>
      </c>
      <c r="AH706">
        <f>'Grid_Stock'!AF21</f>
        <v/>
      </c>
      <c r="AI706">
        <f>'Grid_Stock'!AG21</f>
        <v/>
      </c>
      <c r="AJ706">
        <f>'Grid_Stock'!AH21</f>
        <v/>
      </c>
      <c r="AK706">
        <f>'Grid_Stock'!AI21</f>
        <v/>
      </c>
      <c r="AL706">
        <f>'Grid_Stock'!AJ21</f>
        <v/>
      </c>
      <c r="AM706">
        <f>'Grid_Stock'!AK21</f>
        <v/>
      </c>
      <c r="AN706">
        <f>'Grid_Stock'!AL21</f>
        <v/>
      </c>
      <c r="AO706">
        <f>'Grid_Stock'!AM21</f>
        <v/>
      </c>
      <c r="AP706">
        <f>'Grid_Stock'!AN21</f>
        <v/>
      </c>
      <c r="AQ706">
        <f>'Grid_Stock'!AO21</f>
        <v/>
      </c>
      <c r="AR706">
        <f>'Grid_Stock'!AP21</f>
        <v/>
      </c>
      <c r="AS706">
        <f>'Grid_Stock'!AQ21</f>
        <v/>
      </c>
      <c r="AT706">
        <f>'Grid_Stock'!AR21</f>
        <v/>
      </c>
      <c r="AU706">
        <f>'Grid_Stock'!AS21</f>
        <v/>
      </c>
      <c r="AV706">
        <f>'Grid_Stock'!AT21</f>
        <v/>
      </c>
      <c r="AW706">
        <f>'Grid_Stock'!AU21</f>
        <v/>
      </c>
      <c r="AX706">
        <f>'Grid_Stock'!AV21</f>
        <v/>
      </c>
      <c r="AY706">
        <f>'Grid_Stock'!AW21</f>
        <v/>
      </c>
      <c r="AZ706">
        <f>'Grid_Stock'!AX21</f>
        <v/>
      </c>
      <c r="BA706">
        <f>'Grid_Stock'!AY21</f>
        <v/>
      </c>
      <c r="BB706">
        <f>'Grid_Stock'!AZ21</f>
        <v/>
      </c>
      <c r="BC706">
        <f>'Grid_Stock'!BA21</f>
        <v/>
      </c>
      <c r="BD706">
        <f>'Grid_Stock'!BB21</f>
        <v/>
      </c>
      <c r="BE706">
        <f>'Grid_Stock'!BC21</f>
        <v/>
      </c>
      <c r="BF706">
        <f>'Grid_Stock'!BD21</f>
        <v/>
      </c>
      <c r="BG706">
        <f>'Grid_Stock'!BE21</f>
        <v/>
      </c>
      <c r="BH706">
        <f>'Grid_Stock'!BF21</f>
        <v/>
      </c>
      <c r="BI706">
        <f>'Grid_Stock'!BG21</f>
        <v/>
      </c>
      <c r="BJ706">
        <f>'Grid_Stock'!BH21</f>
        <v/>
      </c>
      <c r="BK706">
        <f>'Grid_Stock'!BI21</f>
        <v/>
      </c>
      <c r="BL706">
        <f>'Grid_Stock'!BJ21</f>
        <v/>
      </c>
      <c r="BM706">
        <f>'Grid_Stock'!BK21</f>
        <v/>
      </c>
      <c r="BN706">
        <f>'Grid_Stock'!BL21</f>
        <v/>
      </c>
      <c r="BO706">
        <f>'Grid_Stock'!BM21</f>
        <v/>
      </c>
      <c r="BP706">
        <f>'Grid_Stock'!BN21</f>
        <v/>
      </c>
      <c r="BQ706">
        <f>'Grid_Stock'!BO21</f>
        <v/>
      </c>
      <c r="BR706">
        <f>'Grid_Stock'!BP21</f>
        <v/>
      </c>
      <c r="BS706">
        <f>'Grid_Stock'!BQ21</f>
        <v/>
      </c>
      <c r="BT706">
        <f>'Grid_Stock'!BR21</f>
        <v/>
      </c>
      <c r="BU706">
        <f>'Grid_Stock'!BS21</f>
        <v/>
      </c>
      <c r="BV706">
        <f>'Grid_Stock'!BT21</f>
        <v/>
      </c>
      <c r="BW706">
        <f>'Grid_Stock'!BU21</f>
        <v/>
      </c>
      <c r="BX706">
        <f>'Grid_Stock'!BV21</f>
        <v/>
      </c>
      <c r="BY706">
        <f>'Grid_Stock'!BW21</f>
        <v/>
      </c>
      <c r="BZ706">
        <f>'Grid_Stock'!BX21</f>
        <v/>
      </c>
      <c r="CA706">
        <f>'Grid_Stock'!BY21</f>
        <v/>
      </c>
      <c r="CB706">
        <f>'Grid_Stock'!BZ21</f>
        <v/>
      </c>
      <c r="CC706">
        <f>'Grid_Stock'!CA21</f>
        <v/>
      </c>
      <c r="CD706">
        <f>'Grid_Stock'!CB21</f>
        <v/>
      </c>
      <c r="CE706">
        <f>'Grid_Stock'!CC21</f>
        <v/>
      </c>
      <c r="CF706">
        <f>'Grid_Stock'!CD21</f>
        <v/>
      </c>
      <c r="CG706">
        <f>'Grid_Stock'!CE21</f>
        <v/>
      </c>
      <c r="CH706">
        <f>'Grid_Stock'!CF21</f>
        <v/>
      </c>
      <c r="CI706">
        <f>'Grid_Stock'!CG21</f>
        <v/>
      </c>
      <c r="CJ706">
        <f>'Grid_Stock'!CH21</f>
        <v/>
      </c>
      <c r="CK706">
        <f>'Grid_Stock'!CI21</f>
        <v/>
      </c>
      <c r="CL706">
        <f>'Grid_Stock'!CJ21</f>
        <v/>
      </c>
      <c r="CM706">
        <f>'Grid_Stock'!CK21</f>
        <v/>
      </c>
      <c r="CN706">
        <f>'Grid_Stock'!CL21</f>
        <v/>
      </c>
      <c r="CO706">
        <f>'Grid_Stock'!CM21</f>
        <v/>
      </c>
      <c r="CP706">
        <f>'Grid_Stock'!CN21</f>
        <v/>
      </c>
      <c r="CQ706">
        <f>'Grid_Stock'!CO21</f>
        <v/>
      </c>
      <c r="CR706">
        <f>'Grid_Stock'!CP21</f>
        <v/>
      </c>
      <c r="CS706">
        <f>'Grid_Stock'!CQ21</f>
        <v/>
      </c>
      <c r="CT706">
        <f>'Grid_Stock'!CR21</f>
        <v/>
      </c>
      <c r="CU706">
        <f>'Grid_Stock'!CS21</f>
        <v/>
      </c>
      <c r="CV706">
        <f>'Grid_Stock'!CT21</f>
        <v/>
      </c>
      <c r="CW706">
        <f>'Grid_Stock'!CU21</f>
        <v/>
      </c>
      <c r="CX706">
        <f>'Grid_Stock'!CV21</f>
        <v/>
      </c>
      <c r="CY706">
        <f>'Grid_Stock'!CW21</f>
        <v/>
      </c>
      <c r="CZ706">
        <f>'Grid_Stock'!CX21</f>
        <v/>
      </c>
      <c r="DA706">
        <f>'Grid_Stock'!CY21</f>
        <v/>
      </c>
      <c r="DB706">
        <f>'Grid_Stock'!CZ21</f>
        <v/>
      </c>
      <c r="DC706">
        <f>'Grid_Stock'!DA21</f>
        <v/>
      </c>
    </row>
    <row r="707">
      <c r="B707" s="16" t="inlineStr">
        <is>
          <t>（発注の目安はDashboardの基準在庫[下限/上限]と色分けを参照）</t>
        </is>
      </c>
    </row>
    <row r="709">
      <c r="A709" s="14" t="inlineStr">
        <is>
          <t>CHEM-1560</t>
        </is>
      </c>
      <c r="B709" s="14" t="inlineStr">
        <is>
          <t>TPZ-511</t>
        </is>
      </c>
      <c r="C709" s="15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  <c r="AA709" s="14" t="n"/>
      <c r="AB709" s="14" t="n"/>
      <c r="AC709" s="14" t="n"/>
      <c r="AD709" s="14" t="n"/>
      <c r="AE709" s="14" t="n"/>
      <c r="AF709" s="14" t="n"/>
      <c r="AG709" s="14" t="n"/>
      <c r="AH709" s="14" t="n"/>
      <c r="AI709" s="14" t="n"/>
      <c r="AJ709" s="14" t="n"/>
      <c r="AK709" s="14" t="n"/>
      <c r="AL709" s="14" t="n"/>
      <c r="AM709" s="14" t="n"/>
      <c r="AN709" s="14" t="n"/>
      <c r="AO709" s="14" t="n"/>
      <c r="AP709" s="14" t="n"/>
      <c r="AQ709" s="14" t="n"/>
      <c r="AR709" s="14" t="n"/>
      <c r="AS709" s="14" t="n"/>
      <c r="AT709" s="14" t="n"/>
      <c r="AU709" s="14" t="n"/>
      <c r="AV709" s="14" t="n"/>
      <c r="AW709" s="14" t="n"/>
      <c r="AX709" s="14" t="n"/>
      <c r="AY709" s="14" t="n"/>
      <c r="AZ709" s="14" t="n"/>
      <c r="BA709" s="14" t="n"/>
      <c r="BB709" s="14" t="n"/>
      <c r="BC709" s="14" t="n"/>
      <c r="BD709" s="14" t="n"/>
      <c r="BE709" s="14" t="n"/>
      <c r="BF709" s="14" t="n"/>
      <c r="BG709" s="14" t="n"/>
      <c r="BH709" s="14" t="n"/>
      <c r="BI709" s="14" t="n"/>
      <c r="BJ709" s="14" t="n"/>
      <c r="BK709" s="14" t="n"/>
      <c r="BL709" s="14" t="n"/>
      <c r="BM709" s="14" t="n"/>
      <c r="BN709" s="14" t="n"/>
      <c r="BO709" s="14" t="n"/>
      <c r="BP709" s="14" t="n"/>
      <c r="BQ709" s="14" t="n"/>
      <c r="BR709" s="14" t="n"/>
      <c r="BS709" s="14" t="n"/>
      <c r="BT709" s="14" t="n"/>
      <c r="BU709" s="14" t="n"/>
      <c r="BV709" s="14" t="n"/>
      <c r="BW709" s="14" t="n"/>
      <c r="BX709" s="14" t="n"/>
      <c r="BY709" s="14" t="n"/>
      <c r="BZ709" s="14" t="n"/>
      <c r="CA709" s="14" t="n"/>
      <c r="CB709" s="14" t="n"/>
      <c r="CC709" s="14" t="n"/>
      <c r="CD709" s="14" t="n"/>
      <c r="CE709" s="14" t="n"/>
      <c r="CF709" s="14" t="n"/>
      <c r="CG709" s="14" t="n"/>
      <c r="CH709" s="14" t="n"/>
      <c r="CI709" s="14" t="n"/>
      <c r="CJ709" s="14" t="n"/>
      <c r="CK709" s="14" t="n"/>
      <c r="CL709" s="14" t="n"/>
      <c r="CM709" s="14" t="n"/>
      <c r="CN709" s="14" t="n"/>
      <c r="CO709" s="14" t="n"/>
      <c r="CP709" s="14" t="n"/>
      <c r="CQ709" s="14" t="n"/>
      <c r="CR709" s="14" t="n"/>
      <c r="CS709" s="14" t="n"/>
      <c r="CT709" s="14" t="n"/>
      <c r="CU709" s="14" t="n"/>
      <c r="CV709" s="14" t="n"/>
      <c r="CW709" s="14" t="n"/>
      <c r="CX709" s="14" t="n"/>
      <c r="CY709" s="14" t="n"/>
      <c r="CZ709" s="14" t="n"/>
      <c r="DA709" s="14" t="n"/>
      <c r="DB709" s="14" t="n"/>
      <c r="DC709" s="14" t="n"/>
    </row>
    <row r="710">
      <c r="B710" t="inlineStr">
        <is>
          <t>TSP-360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7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Name],$A709)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TSP-544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7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Name],$A709)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TSP-710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7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Name],$A709)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s="4" t="inlineStr">
        <is>
          <t>合計使用量(kg)/週</t>
        </is>
      </c>
      <c r="D716">
        <f>'Grid_Requirement'!B34</f>
        <v/>
      </c>
      <c r="E716">
        <f>'Grid_Requirement'!C34</f>
        <v/>
      </c>
      <c r="F716">
        <f>'Grid_Requirement'!D34</f>
        <v/>
      </c>
      <c r="G716">
        <f>'Grid_Requirement'!E34</f>
        <v/>
      </c>
      <c r="H716">
        <f>'Grid_Requirement'!F34</f>
        <v/>
      </c>
      <c r="I716">
        <f>'Grid_Requirement'!G34</f>
        <v/>
      </c>
      <c r="J716">
        <f>'Grid_Requirement'!H34</f>
        <v/>
      </c>
      <c r="K716">
        <f>'Grid_Requirement'!I34</f>
        <v/>
      </c>
      <c r="L716">
        <f>'Grid_Requirement'!J34</f>
        <v/>
      </c>
      <c r="M716">
        <f>'Grid_Requirement'!K34</f>
        <v/>
      </c>
      <c r="N716">
        <f>'Grid_Requirement'!L34</f>
        <v/>
      </c>
      <c r="O716">
        <f>'Grid_Requirement'!M34</f>
        <v/>
      </c>
      <c r="P716">
        <f>'Grid_Requirement'!N34</f>
        <v/>
      </c>
      <c r="Q716">
        <f>'Grid_Requirement'!O34</f>
        <v/>
      </c>
      <c r="R716">
        <f>'Grid_Requirement'!P34</f>
        <v/>
      </c>
      <c r="S716">
        <f>'Grid_Requirement'!Q34</f>
        <v/>
      </c>
      <c r="T716">
        <f>'Grid_Requirement'!R34</f>
        <v/>
      </c>
      <c r="U716">
        <f>'Grid_Requirement'!S34</f>
        <v/>
      </c>
      <c r="V716">
        <f>'Grid_Requirement'!T34</f>
        <v/>
      </c>
      <c r="W716">
        <f>'Grid_Requirement'!U34</f>
        <v/>
      </c>
      <c r="X716">
        <f>'Grid_Requirement'!V34</f>
        <v/>
      </c>
      <c r="Y716">
        <f>'Grid_Requirement'!W34</f>
        <v/>
      </c>
      <c r="Z716">
        <f>'Grid_Requirement'!X34</f>
        <v/>
      </c>
      <c r="AA716">
        <f>'Grid_Requirement'!Y34</f>
        <v/>
      </c>
      <c r="AB716">
        <f>'Grid_Requirement'!Z34</f>
        <v/>
      </c>
      <c r="AC716">
        <f>'Grid_Requirement'!AA34</f>
        <v/>
      </c>
      <c r="AD716">
        <f>'Grid_Requirement'!AB34</f>
        <v/>
      </c>
      <c r="AE716">
        <f>'Grid_Requirement'!AC34</f>
        <v/>
      </c>
      <c r="AF716">
        <f>'Grid_Requirement'!AD34</f>
        <v/>
      </c>
      <c r="AG716">
        <f>'Grid_Requirement'!AE34</f>
        <v/>
      </c>
      <c r="AH716">
        <f>'Grid_Requirement'!AF34</f>
        <v/>
      </c>
      <c r="AI716">
        <f>'Grid_Requirement'!AG34</f>
        <v/>
      </c>
      <c r="AJ716">
        <f>'Grid_Requirement'!AH34</f>
        <v/>
      </c>
      <c r="AK716">
        <f>'Grid_Requirement'!AI34</f>
        <v/>
      </c>
      <c r="AL716">
        <f>'Grid_Requirement'!AJ34</f>
        <v/>
      </c>
      <c r="AM716">
        <f>'Grid_Requirement'!AK34</f>
        <v/>
      </c>
      <c r="AN716">
        <f>'Grid_Requirement'!AL34</f>
        <v/>
      </c>
      <c r="AO716">
        <f>'Grid_Requirement'!AM34</f>
        <v/>
      </c>
      <c r="AP716">
        <f>'Grid_Requirement'!AN34</f>
        <v/>
      </c>
      <c r="AQ716">
        <f>'Grid_Requirement'!AO34</f>
        <v/>
      </c>
      <c r="AR716">
        <f>'Grid_Requirement'!AP34</f>
        <v/>
      </c>
      <c r="AS716">
        <f>'Grid_Requirement'!AQ34</f>
        <v/>
      </c>
      <c r="AT716">
        <f>'Grid_Requirement'!AR34</f>
        <v/>
      </c>
      <c r="AU716">
        <f>'Grid_Requirement'!AS34</f>
        <v/>
      </c>
      <c r="AV716">
        <f>'Grid_Requirement'!AT34</f>
        <v/>
      </c>
      <c r="AW716">
        <f>'Grid_Requirement'!AU34</f>
        <v/>
      </c>
      <c r="AX716">
        <f>'Grid_Requirement'!AV34</f>
        <v/>
      </c>
      <c r="AY716">
        <f>'Grid_Requirement'!AW34</f>
        <v/>
      </c>
      <c r="AZ716">
        <f>'Grid_Requirement'!AX34</f>
        <v/>
      </c>
      <c r="BA716">
        <f>'Grid_Requirement'!AY34</f>
        <v/>
      </c>
      <c r="BB716">
        <f>'Grid_Requirement'!AZ34</f>
        <v/>
      </c>
      <c r="BC716">
        <f>'Grid_Requirement'!BA34</f>
        <v/>
      </c>
      <c r="BD716">
        <f>'Grid_Requirement'!BB34</f>
        <v/>
      </c>
      <c r="BE716">
        <f>'Grid_Requirement'!BC34</f>
        <v/>
      </c>
      <c r="BF716">
        <f>'Grid_Requirement'!BD34</f>
        <v/>
      </c>
      <c r="BG716">
        <f>'Grid_Requirement'!BE34</f>
        <v/>
      </c>
      <c r="BH716">
        <f>'Grid_Requirement'!BF34</f>
        <v/>
      </c>
      <c r="BI716">
        <f>'Grid_Requirement'!BG34</f>
        <v/>
      </c>
      <c r="BJ716">
        <f>'Grid_Requirement'!BH34</f>
        <v/>
      </c>
      <c r="BK716">
        <f>'Grid_Requirement'!BI34</f>
        <v/>
      </c>
      <c r="BL716">
        <f>'Grid_Requirement'!BJ34</f>
        <v/>
      </c>
      <c r="BM716">
        <f>'Grid_Requirement'!BK34</f>
        <v/>
      </c>
      <c r="BN716">
        <f>'Grid_Requirement'!BL34</f>
        <v/>
      </c>
      <c r="BO716">
        <f>'Grid_Requirement'!BM34</f>
        <v/>
      </c>
      <c r="BP716">
        <f>'Grid_Requirement'!BN34</f>
        <v/>
      </c>
      <c r="BQ716">
        <f>'Grid_Requirement'!BO34</f>
        <v/>
      </c>
      <c r="BR716">
        <f>'Grid_Requirement'!BP34</f>
        <v/>
      </c>
      <c r="BS716">
        <f>'Grid_Requirement'!BQ34</f>
        <v/>
      </c>
      <c r="BT716">
        <f>'Grid_Requirement'!BR34</f>
        <v/>
      </c>
      <c r="BU716">
        <f>'Grid_Requirement'!BS34</f>
        <v/>
      </c>
      <c r="BV716">
        <f>'Grid_Requirement'!BT34</f>
        <v/>
      </c>
      <c r="BW716">
        <f>'Grid_Requirement'!BU34</f>
        <v/>
      </c>
      <c r="BX716">
        <f>'Grid_Requirement'!BV34</f>
        <v/>
      </c>
      <c r="BY716">
        <f>'Grid_Requirement'!BW34</f>
        <v/>
      </c>
      <c r="BZ716">
        <f>'Grid_Requirement'!BX34</f>
        <v/>
      </c>
      <c r="CA716">
        <f>'Grid_Requirement'!BY34</f>
        <v/>
      </c>
      <c r="CB716">
        <f>'Grid_Requirement'!BZ34</f>
        <v/>
      </c>
      <c r="CC716">
        <f>'Grid_Requirement'!CA34</f>
        <v/>
      </c>
      <c r="CD716">
        <f>'Grid_Requirement'!CB34</f>
        <v/>
      </c>
      <c r="CE716">
        <f>'Grid_Requirement'!CC34</f>
        <v/>
      </c>
      <c r="CF716">
        <f>'Grid_Requirement'!CD34</f>
        <v/>
      </c>
      <c r="CG716">
        <f>'Grid_Requirement'!CE34</f>
        <v/>
      </c>
      <c r="CH716">
        <f>'Grid_Requirement'!CF34</f>
        <v/>
      </c>
      <c r="CI716">
        <f>'Grid_Requirement'!CG34</f>
        <v/>
      </c>
      <c r="CJ716">
        <f>'Grid_Requirement'!CH34</f>
        <v/>
      </c>
      <c r="CK716">
        <f>'Grid_Requirement'!CI34</f>
        <v/>
      </c>
      <c r="CL716">
        <f>'Grid_Requirement'!CJ34</f>
        <v/>
      </c>
      <c r="CM716">
        <f>'Grid_Requirement'!CK34</f>
        <v/>
      </c>
      <c r="CN716">
        <f>'Grid_Requirement'!CL34</f>
        <v/>
      </c>
      <c r="CO716">
        <f>'Grid_Requirement'!CM34</f>
        <v/>
      </c>
      <c r="CP716">
        <f>'Grid_Requirement'!CN34</f>
        <v/>
      </c>
      <c r="CQ716">
        <f>'Grid_Requirement'!CO34</f>
        <v/>
      </c>
      <c r="CR716">
        <f>'Grid_Requirement'!CP34</f>
        <v/>
      </c>
      <c r="CS716">
        <f>'Grid_Requirement'!CQ34</f>
        <v/>
      </c>
      <c r="CT716">
        <f>'Grid_Requirement'!CR34</f>
        <v/>
      </c>
      <c r="CU716">
        <f>'Grid_Requirement'!CS34</f>
        <v/>
      </c>
      <c r="CV716">
        <f>'Grid_Requirement'!CT34</f>
        <v/>
      </c>
      <c r="CW716">
        <f>'Grid_Requirement'!CU34</f>
        <v/>
      </c>
      <c r="CX716">
        <f>'Grid_Requirement'!CV34</f>
        <v/>
      </c>
      <c r="CY716">
        <f>'Grid_Requirement'!CW34</f>
        <v/>
      </c>
      <c r="CZ716">
        <f>'Grid_Requirement'!CX34</f>
        <v/>
      </c>
      <c r="DA716">
        <f>'Grid_Requirement'!CY34</f>
        <v/>
      </c>
      <c r="DB716">
        <f>'Grid_Requirement'!CZ34</f>
        <v/>
      </c>
      <c r="DC716">
        <f>'Grid_Requirement'!DA34</f>
        <v/>
      </c>
    </row>
    <row r="717">
      <c r="B717" t="inlineStr">
        <is>
          <t>TTAF在庫(実績,kg)</t>
        </is>
      </c>
      <c r="D717">
        <f>'T_TTAFStock'!B38</f>
        <v/>
      </c>
      <c r="E717">
        <f>'T_TTAFStock'!C38</f>
        <v/>
      </c>
      <c r="F717">
        <f>'T_TTAFStock'!D38</f>
        <v/>
      </c>
      <c r="G717">
        <f>'T_TTAFStock'!E38</f>
        <v/>
      </c>
      <c r="H717">
        <f>'T_TTAFStock'!F38</f>
        <v/>
      </c>
      <c r="I717">
        <f>'T_TTAFStock'!G38</f>
        <v/>
      </c>
      <c r="J717">
        <f>'T_TTAFStock'!H38</f>
        <v/>
      </c>
      <c r="K717">
        <f>'T_TTAFStock'!I38</f>
        <v/>
      </c>
      <c r="L717">
        <f>'T_TTAFStock'!J38</f>
        <v/>
      </c>
      <c r="M717">
        <f>'T_TTAFStock'!K38</f>
        <v/>
      </c>
      <c r="N717">
        <f>'T_TTAFStock'!L38</f>
        <v/>
      </c>
      <c r="O717">
        <f>'T_TTAFStock'!M38</f>
        <v/>
      </c>
      <c r="P717">
        <f>'T_TTAFStock'!N38</f>
        <v/>
      </c>
      <c r="Q717">
        <f>'T_TTAFStock'!O38</f>
        <v/>
      </c>
      <c r="R717">
        <f>'T_TTAFStock'!P38</f>
        <v/>
      </c>
      <c r="S717">
        <f>'T_TTAFStock'!Q38</f>
        <v/>
      </c>
      <c r="T717">
        <f>'T_TTAFStock'!R38</f>
        <v/>
      </c>
      <c r="U717">
        <f>'T_TTAFStock'!S38</f>
        <v/>
      </c>
      <c r="V717">
        <f>'T_TTAFStock'!T38</f>
        <v/>
      </c>
      <c r="W717">
        <f>'T_TTAFStock'!U38</f>
        <v/>
      </c>
      <c r="X717">
        <f>'T_TTAFStock'!V38</f>
        <v/>
      </c>
      <c r="Y717">
        <f>'T_TTAFStock'!W38</f>
        <v/>
      </c>
      <c r="Z717">
        <f>'T_TTAFStock'!X38</f>
        <v/>
      </c>
      <c r="AA717">
        <f>'T_TTAFStock'!Y38</f>
        <v/>
      </c>
      <c r="AB717">
        <f>'T_TTAFStock'!Z38</f>
        <v/>
      </c>
      <c r="AC717">
        <f>'T_TTAFStock'!AA38</f>
        <v/>
      </c>
      <c r="AD717">
        <f>'T_TTAFStock'!AB38</f>
        <v/>
      </c>
      <c r="AE717">
        <f>'T_TTAFStock'!AC38</f>
        <v/>
      </c>
      <c r="AF717">
        <f>'T_TTAFStock'!AD38</f>
        <v/>
      </c>
      <c r="AG717">
        <f>'T_TTAFStock'!AE38</f>
        <v/>
      </c>
      <c r="AH717">
        <f>'T_TTAFStock'!AF38</f>
        <v/>
      </c>
      <c r="AI717">
        <f>'T_TTAFStock'!AG38</f>
        <v/>
      </c>
      <c r="AJ717">
        <f>'T_TTAFStock'!AH38</f>
        <v/>
      </c>
      <c r="AK717">
        <f>'T_TTAFStock'!AI38</f>
        <v/>
      </c>
      <c r="AL717">
        <f>'T_TTAFStock'!AJ38</f>
        <v/>
      </c>
      <c r="AM717">
        <f>'T_TTAFStock'!AK38</f>
        <v/>
      </c>
      <c r="AN717">
        <f>'T_TTAFStock'!AL38</f>
        <v/>
      </c>
      <c r="AO717">
        <f>'T_TTAFStock'!AM38</f>
        <v/>
      </c>
      <c r="AP717">
        <f>'T_TTAFStock'!AN38</f>
        <v/>
      </c>
      <c r="AQ717">
        <f>'T_TTAFStock'!AO38</f>
        <v/>
      </c>
      <c r="AR717">
        <f>'T_TTAFStock'!AP38</f>
        <v/>
      </c>
      <c r="AS717">
        <f>'T_TTAFStock'!AQ38</f>
        <v/>
      </c>
      <c r="AT717">
        <f>'T_TTAFStock'!AR38</f>
        <v/>
      </c>
      <c r="AU717">
        <f>'T_TTAFStock'!AS38</f>
        <v/>
      </c>
      <c r="AV717">
        <f>'T_TTAFStock'!AT38</f>
        <v/>
      </c>
      <c r="AW717">
        <f>'T_TTAFStock'!AU38</f>
        <v/>
      </c>
      <c r="AX717">
        <f>'T_TTAFStock'!AV38</f>
        <v/>
      </c>
      <c r="AY717">
        <f>'T_TTAFStock'!AW38</f>
        <v/>
      </c>
      <c r="AZ717">
        <f>'T_TTAFStock'!AX38</f>
        <v/>
      </c>
      <c r="BA717">
        <f>'T_TTAFStock'!AY38</f>
        <v/>
      </c>
      <c r="BB717">
        <f>'T_TTAFStock'!AZ38</f>
        <v/>
      </c>
      <c r="BC717">
        <f>'T_TTAFStock'!BA38</f>
        <v/>
      </c>
      <c r="BD717">
        <f>'T_TTAFStock'!BB38</f>
        <v/>
      </c>
      <c r="BE717">
        <f>'T_TTAFStock'!BC38</f>
        <v/>
      </c>
      <c r="BF717">
        <f>'T_TTAFStock'!BD38</f>
        <v/>
      </c>
      <c r="BG717">
        <f>'T_TTAFStock'!BE38</f>
        <v/>
      </c>
      <c r="BH717">
        <f>'T_TTAFStock'!BF38</f>
        <v/>
      </c>
      <c r="BI717">
        <f>'T_TTAFStock'!BG38</f>
        <v/>
      </c>
      <c r="BJ717">
        <f>'T_TTAFStock'!BH38</f>
        <v/>
      </c>
      <c r="BK717">
        <f>'T_TTAFStock'!BI38</f>
        <v/>
      </c>
      <c r="BL717">
        <f>'T_TTAFStock'!BJ38</f>
        <v/>
      </c>
      <c r="BM717">
        <f>'T_TTAFStock'!BK38</f>
        <v/>
      </c>
      <c r="BN717">
        <f>'T_TTAFStock'!BL38</f>
        <v/>
      </c>
      <c r="BO717">
        <f>'T_TTAFStock'!BM38</f>
        <v/>
      </c>
      <c r="BP717">
        <f>'T_TTAFStock'!BN38</f>
        <v/>
      </c>
      <c r="BQ717">
        <f>'T_TTAFStock'!BO38</f>
        <v/>
      </c>
      <c r="BR717">
        <f>'T_TTAFStock'!BP38</f>
        <v/>
      </c>
      <c r="BS717">
        <f>'T_TTAFStock'!BQ38</f>
        <v/>
      </c>
      <c r="BT717">
        <f>'T_TTAFStock'!BR38</f>
        <v/>
      </c>
      <c r="BU717">
        <f>'T_TTAFStock'!BS38</f>
        <v/>
      </c>
      <c r="BV717">
        <f>'T_TTAFStock'!BT38</f>
        <v/>
      </c>
      <c r="BW717">
        <f>'T_TTAFStock'!BU38</f>
        <v/>
      </c>
      <c r="BX717">
        <f>'T_TTAFStock'!BV38</f>
        <v/>
      </c>
      <c r="BY717">
        <f>'T_TTAFStock'!BW38</f>
        <v/>
      </c>
      <c r="BZ717">
        <f>'T_TTAFStock'!BX38</f>
        <v/>
      </c>
      <c r="CA717">
        <f>'T_TTAFStock'!BY38</f>
        <v/>
      </c>
      <c r="CB717">
        <f>'T_TTAFStock'!BZ38</f>
        <v/>
      </c>
      <c r="CC717">
        <f>'T_TTAFStock'!CA38</f>
        <v/>
      </c>
      <c r="CD717">
        <f>'T_TTAFStock'!CB38</f>
        <v/>
      </c>
      <c r="CE717">
        <f>'T_TTAFStock'!CC38</f>
        <v/>
      </c>
      <c r="CF717">
        <f>'T_TTAFStock'!CD38</f>
        <v/>
      </c>
      <c r="CG717">
        <f>'T_TTAFStock'!CE38</f>
        <v/>
      </c>
      <c r="CH717">
        <f>'T_TTAFStock'!CF38</f>
        <v/>
      </c>
      <c r="CI717">
        <f>'T_TTAFStock'!CG38</f>
        <v/>
      </c>
      <c r="CJ717">
        <f>'T_TTAFStock'!CH38</f>
        <v/>
      </c>
      <c r="CK717">
        <f>'T_TTAFStock'!CI38</f>
        <v/>
      </c>
      <c r="CL717">
        <f>'T_TTAFStock'!CJ38</f>
        <v/>
      </c>
      <c r="CM717">
        <f>'T_TTAFStock'!CK38</f>
        <v/>
      </c>
      <c r="CN717">
        <f>'T_TTAFStock'!CL38</f>
        <v/>
      </c>
      <c r="CO717">
        <f>'T_TTAFStock'!CM38</f>
        <v/>
      </c>
      <c r="CP717">
        <f>'T_TTAFStock'!CN38</f>
        <v/>
      </c>
      <c r="CQ717">
        <f>'T_TTAFStock'!CO38</f>
        <v/>
      </c>
      <c r="CR717">
        <f>'T_TTAFStock'!CP38</f>
        <v/>
      </c>
      <c r="CS717">
        <f>'T_TTAFStock'!CQ38</f>
        <v/>
      </c>
      <c r="CT717">
        <f>'T_TTAFStock'!CR38</f>
        <v/>
      </c>
      <c r="CU717">
        <f>'T_TTAFStock'!CS38</f>
        <v/>
      </c>
      <c r="CV717">
        <f>'T_TTAFStock'!CT38</f>
        <v/>
      </c>
      <c r="CW717">
        <f>'T_TTAFStock'!CU38</f>
        <v/>
      </c>
      <c r="CX717">
        <f>'T_TTAFStock'!CV38</f>
        <v/>
      </c>
      <c r="CY717">
        <f>'T_TTAFStock'!CW38</f>
        <v/>
      </c>
      <c r="CZ717">
        <f>'T_TTAFStock'!CX38</f>
        <v/>
      </c>
      <c r="DA717">
        <f>'T_TTAFStock'!CY38</f>
        <v/>
      </c>
      <c r="DB717">
        <f>'T_TTAFStock'!CZ38</f>
        <v/>
      </c>
      <c r="DC717">
        <f>'T_TTAFStock'!DA38</f>
        <v/>
      </c>
    </row>
    <row r="718">
      <c r="B718" t="inlineStr">
        <is>
          <t>自社在庫(実績,kg)</t>
        </is>
      </c>
      <c r="D718">
        <f>'T_SelfStock'!B38</f>
        <v/>
      </c>
      <c r="E718">
        <f>'T_SelfStock'!C38</f>
        <v/>
      </c>
      <c r="F718">
        <f>'T_SelfStock'!D38</f>
        <v/>
      </c>
      <c r="G718">
        <f>'T_SelfStock'!E38</f>
        <v/>
      </c>
      <c r="H718">
        <f>'T_SelfStock'!F38</f>
        <v/>
      </c>
      <c r="I718">
        <f>'T_SelfStock'!G38</f>
        <v/>
      </c>
      <c r="J718">
        <f>'T_SelfStock'!H38</f>
        <v/>
      </c>
      <c r="K718">
        <f>'T_SelfStock'!I38</f>
        <v/>
      </c>
      <c r="L718">
        <f>'T_SelfStock'!J38</f>
        <v/>
      </c>
      <c r="M718">
        <f>'T_SelfStock'!K38</f>
        <v/>
      </c>
      <c r="N718">
        <f>'T_SelfStock'!L38</f>
        <v/>
      </c>
      <c r="O718">
        <f>'T_SelfStock'!M38</f>
        <v/>
      </c>
      <c r="P718">
        <f>'T_SelfStock'!N38</f>
        <v/>
      </c>
      <c r="Q718">
        <f>'T_SelfStock'!O38</f>
        <v/>
      </c>
      <c r="R718">
        <f>'T_SelfStock'!P38</f>
        <v/>
      </c>
      <c r="S718">
        <f>'T_SelfStock'!Q38</f>
        <v/>
      </c>
      <c r="T718">
        <f>'T_SelfStock'!R38</f>
        <v/>
      </c>
      <c r="U718">
        <f>'T_SelfStock'!S38</f>
        <v/>
      </c>
      <c r="V718">
        <f>'T_SelfStock'!T38</f>
        <v/>
      </c>
      <c r="W718">
        <f>'T_SelfStock'!U38</f>
        <v/>
      </c>
      <c r="X718">
        <f>'T_SelfStock'!V38</f>
        <v/>
      </c>
      <c r="Y718">
        <f>'T_SelfStock'!W38</f>
        <v/>
      </c>
      <c r="Z718">
        <f>'T_SelfStock'!X38</f>
        <v/>
      </c>
      <c r="AA718">
        <f>'T_SelfStock'!Y38</f>
        <v/>
      </c>
      <c r="AB718">
        <f>'T_SelfStock'!Z38</f>
        <v/>
      </c>
      <c r="AC718">
        <f>'T_SelfStock'!AA38</f>
        <v/>
      </c>
      <c r="AD718">
        <f>'T_SelfStock'!AB38</f>
        <v/>
      </c>
      <c r="AE718">
        <f>'T_SelfStock'!AC38</f>
        <v/>
      </c>
      <c r="AF718">
        <f>'T_SelfStock'!AD38</f>
        <v/>
      </c>
      <c r="AG718">
        <f>'T_SelfStock'!AE38</f>
        <v/>
      </c>
      <c r="AH718">
        <f>'T_SelfStock'!AF38</f>
        <v/>
      </c>
      <c r="AI718">
        <f>'T_SelfStock'!AG38</f>
        <v/>
      </c>
      <c r="AJ718">
        <f>'T_SelfStock'!AH38</f>
        <v/>
      </c>
      <c r="AK718">
        <f>'T_SelfStock'!AI38</f>
        <v/>
      </c>
      <c r="AL718">
        <f>'T_SelfStock'!AJ38</f>
        <v/>
      </c>
      <c r="AM718">
        <f>'T_SelfStock'!AK38</f>
        <v/>
      </c>
      <c r="AN718">
        <f>'T_SelfStock'!AL38</f>
        <v/>
      </c>
      <c r="AO718">
        <f>'T_SelfStock'!AM38</f>
        <v/>
      </c>
      <c r="AP718">
        <f>'T_SelfStock'!AN38</f>
        <v/>
      </c>
      <c r="AQ718">
        <f>'T_SelfStock'!AO38</f>
        <v/>
      </c>
      <c r="AR718">
        <f>'T_SelfStock'!AP38</f>
        <v/>
      </c>
      <c r="AS718">
        <f>'T_SelfStock'!AQ38</f>
        <v/>
      </c>
      <c r="AT718">
        <f>'T_SelfStock'!AR38</f>
        <v/>
      </c>
      <c r="AU718">
        <f>'T_SelfStock'!AS38</f>
        <v/>
      </c>
      <c r="AV718">
        <f>'T_SelfStock'!AT38</f>
        <v/>
      </c>
      <c r="AW718">
        <f>'T_SelfStock'!AU38</f>
        <v/>
      </c>
      <c r="AX718">
        <f>'T_SelfStock'!AV38</f>
        <v/>
      </c>
      <c r="AY718">
        <f>'T_SelfStock'!AW38</f>
        <v/>
      </c>
      <c r="AZ718">
        <f>'T_SelfStock'!AX38</f>
        <v/>
      </c>
      <c r="BA718">
        <f>'T_SelfStock'!AY38</f>
        <v/>
      </c>
      <c r="BB718">
        <f>'T_SelfStock'!AZ38</f>
        <v/>
      </c>
      <c r="BC718">
        <f>'T_SelfStock'!BA38</f>
        <v/>
      </c>
      <c r="BD718">
        <f>'T_SelfStock'!BB38</f>
        <v/>
      </c>
      <c r="BE718">
        <f>'T_SelfStock'!BC38</f>
        <v/>
      </c>
      <c r="BF718">
        <f>'T_SelfStock'!BD38</f>
        <v/>
      </c>
      <c r="BG718">
        <f>'T_SelfStock'!BE38</f>
        <v/>
      </c>
      <c r="BH718">
        <f>'T_SelfStock'!BF38</f>
        <v/>
      </c>
      <c r="BI718">
        <f>'T_SelfStock'!BG38</f>
        <v/>
      </c>
      <c r="BJ718">
        <f>'T_SelfStock'!BH38</f>
        <v/>
      </c>
      <c r="BK718">
        <f>'T_SelfStock'!BI38</f>
        <v/>
      </c>
      <c r="BL718">
        <f>'T_SelfStock'!BJ38</f>
        <v/>
      </c>
      <c r="BM718">
        <f>'T_SelfStock'!BK38</f>
        <v/>
      </c>
      <c r="BN718">
        <f>'T_SelfStock'!BL38</f>
        <v/>
      </c>
      <c r="BO718">
        <f>'T_SelfStock'!BM38</f>
        <v/>
      </c>
      <c r="BP718">
        <f>'T_SelfStock'!BN38</f>
        <v/>
      </c>
      <c r="BQ718">
        <f>'T_SelfStock'!BO38</f>
        <v/>
      </c>
      <c r="BR718">
        <f>'T_SelfStock'!BP38</f>
        <v/>
      </c>
      <c r="BS718">
        <f>'T_SelfStock'!BQ38</f>
        <v/>
      </c>
      <c r="BT718">
        <f>'T_SelfStock'!BR38</f>
        <v/>
      </c>
      <c r="BU718">
        <f>'T_SelfStock'!BS38</f>
        <v/>
      </c>
      <c r="BV718">
        <f>'T_SelfStock'!BT38</f>
        <v/>
      </c>
      <c r="BW718">
        <f>'T_SelfStock'!BU38</f>
        <v/>
      </c>
      <c r="BX718">
        <f>'T_SelfStock'!BV38</f>
        <v/>
      </c>
      <c r="BY718">
        <f>'T_SelfStock'!BW38</f>
        <v/>
      </c>
      <c r="BZ718">
        <f>'T_SelfStock'!BX38</f>
        <v/>
      </c>
      <c r="CA718">
        <f>'T_SelfStock'!BY38</f>
        <v/>
      </c>
      <c r="CB718">
        <f>'T_SelfStock'!BZ38</f>
        <v/>
      </c>
      <c r="CC718">
        <f>'T_SelfStock'!CA38</f>
        <v/>
      </c>
      <c r="CD718">
        <f>'T_SelfStock'!CB38</f>
        <v/>
      </c>
      <c r="CE718">
        <f>'T_SelfStock'!CC38</f>
        <v/>
      </c>
      <c r="CF718">
        <f>'T_SelfStock'!CD38</f>
        <v/>
      </c>
      <c r="CG718">
        <f>'T_SelfStock'!CE38</f>
        <v/>
      </c>
      <c r="CH718">
        <f>'T_SelfStock'!CF38</f>
        <v/>
      </c>
      <c r="CI718">
        <f>'T_SelfStock'!CG38</f>
        <v/>
      </c>
      <c r="CJ718">
        <f>'T_SelfStock'!CH38</f>
        <v/>
      </c>
      <c r="CK718">
        <f>'T_SelfStock'!CI38</f>
        <v/>
      </c>
      <c r="CL718">
        <f>'T_SelfStock'!CJ38</f>
        <v/>
      </c>
      <c r="CM718">
        <f>'T_SelfStock'!CK38</f>
        <v/>
      </c>
      <c r="CN718">
        <f>'T_SelfStock'!CL38</f>
        <v/>
      </c>
      <c r="CO718">
        <f>'T_SelfStock'!CM38</f>
        <v/>
      </c>
      <c r="CP718">
        <f>'T_SelfStock'!CN38</f>
        <v/>
      </c>
      <c r="CQ718">
        <f>'T_SelfStock'!CO38</f>
        <v/>
      </c>
      <c r="CR718">
        <f>'T_SelfStock'!CP38</f>
        <v/>
      </c>
      <c r="CS718">
        <f>'T_SelfStock'!CQ38</f>
        <v/>
      </c>
      <c r="CT718">
        <f>'T_SelfStock'!CR38</f>
        <v/>
      </c>
      <c r="CU718">
        <f>'T_SelfStock'!CS38</f>
        <v/>
      </c>
      <c r="CV718">
        <f>'T_SelfStock'!CT38</f>
        <v/>
      </c>
      <c r="CW718">
        <f>'T_SelfStock'!CU38</f>
        <v/>
      </c>
      <c r="CX718">
        <f>'T_SelfStock'!CV38</f>
        <v/>
      </c>
      <c r="CY718">
        <f>'T_SelfStock'!CW38</f>
        <v/>
      </c>
      <c r="CZ718">
        <f>'T_SelfStock'!CX38</f>
        <v/>
      </c>
      <c r="DA718">
        <f>'T_SelfStock'!CY38</f>
        <v/>
      </c>
      <c r="DB718">
        <f>'T_SelfStock'!CZ38</f>
        <v/>
      </c>
      <c r="DC718">
        <f>'T_SelfStock'!DA38</f>
        <v/>
      </c>
    </row>
    <row r="719">
      <c r="B719" t="inlineStr">
        <is>
          <t>Order(発注予定,kg)</t>
        </is>
      </c>
      <c r="D719">
        <f>IF(SUMIFS(T_PlannedOrders[EffectiveQty],T_PlannedOrders[Part Name],$A709,T_PlannedOrders[WeekIndex],1)=0,"",SUMIFS(T_PlannedOrders[EffectiveQty],T_PlannedOrders[Part Name],$A709,T_PlannedOrders[WeekIndex],1)&amp;" ("&amp;TEXT(SUMPRODUCT(MAX((T_PlannedOrders[Part Name]=$A709)*(T_PlannedOrders[WeekIndex]=1)*(T_PlannedOrders[EffectiveQty]&gt;0)*T_PlannedOrders[Order_Month])),"m月")&amp;"発注)")</f>
        <v/>
      </c>
      <c r="E719">
        <f>IF(SUMIFS(T_PlannedOrders[EffectiveQty],T_PlannedOrders[Part Name],$A709,T_PlannedOrders[WeekIndex],2)=0,"",SUMIFS(T_PlannedOrders[EffectiveQty],T_PlannedOrders[Part Name],$A709,T_PlannedOrders[WeekIndex],2)&amp;" ("&amp;TEXT(SUMPRODUCT(MAX((T_PlannedOrders[Part Name]=$A709)*(T_PlannedOrders[WeekIndex]=2)*(T_PlannedOrders[EffectiveQty]&gt;0)*T_PlannedOrders[Order_Month])),"m月")&amp;"発注)")</f>
        <v/>
      </c>
      <c r="F719">
        <f>IF(SUMIFS(T_PlannedOrders[EffectiveQty],T_PlannedOrders[Part Name],$A709,T_PlannedOrders[WeekIndex],3)=0,"",SUMIFS(T_PlannedOrders[EffectiveQty],T_PlannedOrders[Part Name],$A709,T_PlannedOrders[WeekIndex],3)&amp;" ("&amp;TEXT(SUMPRODUCT(MAX((T_PlannedOrders[Part Name]=$A709)*(T_PlannedOrders[WeekIndex]=3)*(T_PlannedOrders[EffectiveQty]&gt;0)*T_PlannedOrders[Order_Month])),"m月")&amp;"発注)")</f>
        <v/>
      </c>
      <c r="G719">
        <f>IF(SUMIFS(T_PlannedOrders[EffectiveQty],T_PlannedOrders[Part Name],$A709,T_PlannedOrders[WeekIndex],4)=0,"",SUMIFS(T_PlannedOrders[EffectiveQty],T_PlannedOrders[Part Name],$A709,T_PlannedOrders[WeekIndex],4)&amp;" ("&amp;TEXT(SUMPRODUCT(MAX((T_PlannedOrders[Part Name]=$A709)*(T_PlannedOrders[WeekIndex]=4)*(T_PlannedOrders[EffectiveQty]&gt;0)*T_PlannedOrders[Order_Month])),"m月")&amp;"発注)")</f>
        <v/>
      </c>
      <c r="H719">
        <f>IF(SUMIFS(T_PlannedOrders[EffectiveQty],T_PlannedOrders[Part Name],$A709,T_PlannedOrders[WeekIndex],5)=0,"",SUMIFS(T_PlannedOrders[EffectiveQty],T_PlannedOrders[Part Name],$A709,T_PlannedOrders[WeekIndex],5)&amp;" ("&amp;TEXT(SUMPRODUCT(MAX((T_PlannedOrders[Part Name]=$A709)*(T_PlannedOrders[WeekIndex]=5)*(T_PlannedOrders[EffectiveQty]&gt;0)*T_PlannedOrders[Order_Month])),"m月")&amp;"発注)")</f>
        <v/>
      </c>
      <c r="I719">
        <f>IF(SUMIFS(T_PlannedOrders[EffectiveQty],T_PlannedOrders[Part Name],$A709,T_PlannedOrders[WeekIndex],6)=0,"",SUMIFS(T_PlannedOrders[EffectiveQty],T_PlannedOrders[Part Name],$A709,T_PlannedOrders[WeekIndex],6)&amp;" ("&amp;TEXT(SUMPRODUCT(MAX((T_PlannedOrders[Part Name]=$A709)*(T_PlannedOrders[WeekIndex]=6)*(T_PlannedOrders[EffectiveQty]&gt;0)*T_PlannedOrders[Order_Month])),"m月")&amp;"発注)")</f>
        <v/>
      </c>
      <c r="J719">
        <f>IF(SUMIFS(T_PlannedOrders[EffectiveQty],T_PlannedOrders[Part Name],$A709,T_PlannedOrders[WeekIndex],7)=0,"",SUMIFS(T_PlannedOrders[EffectiveQty],T_PlannedOrders[Part Name],$A709,T_PlannedOrders[WeekIndex],7)&amp;" ("&amp;TEXT(SUMPRODUCT(MAX((T_PlannedOrders[Part Name]=$A709)*(T_PlannedOrders[WeekIndex]=7)*(T_PlannedOrders[EffectiveQty]&gt;0)*T_PlannedOrders[Order_Month])),"m月")&amp;"発注)")</f>
        <v/>
      </c>
      <c r="K719">
        <f>IF(SUMIFS(T_PlannedOrders[EffectiveQty],T_PlannedOrders[Part Name],$A709,T_PlannedOrders[WeekIndex],8)=0,"",SUMIFS(T_PlannedOrders[EffectiveQty],T_PlannedOrders[Part Name],$A709,T_PlannedOrders[WeekIndex],8)&amp;" ("&amp;TEXT(SUMPRODUCT(MAX((T_PlannedOrders[Part Name]=$A709)*(T_PlannedOrders[WeekIndex]=8)*(T_PlannedOrders[EffectiveQty]&gt;0)*T_PlannedOrders[Order_Month])),"m月")&amp;"発注)")</f>
        <v/>
      </c>
      <c r="L719">
        <f>IF(SUMIFS(T_PlannedOrders[EffectiveQty],T_PlannedOrders[Part Name],$A709,T_PlannedOrders[WeekIndex],9)=0,"",SUMIFS(T_PlannedOrders[EffectiveQty],T_PlannedOrders[Part Name],$A709,T_PlannedOrders[WeekIndex],9)&amp;" ("&amp;TEXT(SUMPRODUCT(MAX((T_PlannedOrders[Part Name]=$A709)*(T_PlannedOrders[WeekIndex]=9)*(T_PlannedOrders[EffectiveQty]&gt;0)*T_PlannedOrders[Order_Month])),"m月")&amp;"発注)")</f>
        <v/>
      </c>
      <c r="M719">
        <f>IF(SUMIFS(T_PlannedOrders[EffectiveQty],T_PlannedOrders[Part Name],$A709,T_PlannedOrders[WeekIndex],10)=0,"",SUMIFS(T_PlannedOrders[EffectiveQty],T_PlannedOrders[Part Name],$A709,T_PlannedOrders[WeekIndex],10)&amp;" ("&amp;TEXT(SUMPRODUCT(MAX((T_PlannedOrders[Part Name]=$A709)*(T_PlannedOrders[WeekIndex]=10)*(T_PlannedOrders[EffectiveQty]&gt;0)*T_PlannedOrders[Order_Month])),"m月")&amp;"発注)")</f>
        <v/>
      </c>
      <c r="N719">
        <f>IF(SUMIFS(T_PlannedOrders[EffectiveQty],T_PlannedOrders[Part Name],$A709,T_PlannedOrders[WeekIndex],11)=0,"",SUMIFS(T_PlannedOrders[EffectiveQty],T_PlannedOrders[Part Name],$A709,T_PlannedOrders[WeekIndex],11)&amp;" ("&amp;TEXT(SUMPRODUCT(MAX((T_PlannedOrders[Part Name]=$A709)*(T_PlannedOrders[WeekIndex]=11)*(T_PlannedOrders[EffectiveQty]&gt;0)*T_PlannedOrders[Order_Month])),"m月")&amp;"発注)")</f>
        <v/>
      </c>
      <c r="O719">
        <f>IF(SUMIFS(T_PlannedOrders[EffectiveQty],T_PlannedOrders[Part Name],$A709,T_PlannedOrders[WeekIndex],12)=0,"",SUMIFS(T_PlannedOrders[EffectiveQty],T_PlannedOrders[Part Name],$A709,T_PlannedOrders[WeekIndex],12)&amp;" ("&amp;TEXT(SUMPRODUCT(MAX((T_PlannedOrders[Part Name]=$A709)*(T_PlannedOrders[WeekIndex]=12)*(T_PlannedOrders[EffectiveQty]&gt;0)*T_PlannedOrders[Order_Month])),"m月")&amp;"発注)")</f>
        <v/>
      </c>
      <c r="P719">
        <f>IF(SUMIFS(T_PlannedOrders[EffectiveQty],T_PlannedOrders[Part Name],$A709,T_PlannedOrders[WeekIndex],13)=0,"",SUMIFS(T_PlannedOrders[EffectiveQty],T_PlannedOrders[Part Name],$A709,T_PlannedOrders[WeekIndex],13)&amp;" ("&amp;TEXT(SUMPRODUCT(MAX((T_PlannedOrders[Part Name]=$A709)*(T_PlannedOrders[WeekIndex]=13)*(T_PlannedOrders[EffectiveQty]&gt;0)*T_PlannedOrders[Order_Month])),"m月")&amp;"発注)")</f>
        <v/>
      </c>
      <c r="Q719">
        <f>IF(SUMIFS(T_PlannedOrders[EffectiveQty],T_PlannedOrders[Part Name],$A709,T_PlannedOrders[WeekIndex],14)=0,"",SUMIFS(T_PlannedOrders[EffectiveQty],T_PlannedOrders[Part Name],$A709,T_PlannedOrders[WeekIndex],14)&amp;" ("&amp;TEXT(SUMPRODUCT(MAX((T_PlannedOrders[Part Name]=$A709)*(T_PlannedOrders[WeekIndex]=14)*(T_PlannedOrders[EffectiveQty]&gt;0)*T_PlannedOrders[Order_Month])),"m月")&amp;"発注)")</f>
        <v/>
      </c>
      <c r="R719">
        <f>IF(SUMIFS(T_PlannedOrders[EffectiveQty],T_PlannedOrders[Part Name],$A709,T_PlannedOrders[WeekIndex],15)=0,"",SUMIFS(T_PlannedOrders[EffectiveQty],T_PlannedOrders[Part Name],$A709,T_PlannedOrders[WeekIndex],15)&amp;" ("&amp;TEXT(SUMPRODUCT(MAX((T_PlannedOrders[Part Name]=$A709)*(T_PlannedOrders[WeekIndex]=15)*(T_PlannedOrders[EffectiveQty]&gt;0)*T_PlannedOrders[Order_Month])),"m月")&amp;"発注)")</f>
        <v/>
      </c>
      <c r="S719">
        <f>IF(SUMIFS(T_PlannedOrders[EffectiveQty],T_PlannedOrders[Part Name],$A709,T_PlannedOrders[WeekIndex],16)=0,"",SUMIFS(T_PlannedOrders[EffectiveQty],T_PlannedOrders[Part Name],$A709,T_PlannedOrders[WeekIndex],16)&amp;" ("&amp;TEXT(SUMPRODUCT(MAX((T_PlannedOrders[Part Name]=$A709)*(T_PlannedOrders[WeekIndex]=16)*(T_PlannedOrders[EffectiveQty]&gt;0)*T_PlannedOrders[Order_Month])),"m月")&amp;"発注)")</f>
        <v/>
      </c>
      <c r="T719">
        <f>IF(SUMIFS(T_PlannedOrders[EffectiveQty],T_PlannedOrders[Part Name],$A709,T_PlannedOrders[WeekIndex],17)=0,"",SUMIFS(T_PlannedOrders[EffectiveQty],T_PlannedOrders[Part Name],$A709,T_PlannedOrders[WeekIndex],17)&amp;" ("&amp;TEXT(SUMPRODUCT(MAX((T_PlannedOrders[Part Name]=$A709)*(T_PlannedOrders[WeekIndex]=17)*(T_PlannedOrders[EffectiveQty]&gt;0)*T_PlannedOrders[Order_Month])),"m月")&amp;"発注)")</f>
        <v/>
      </c>
      <c r="U719">
        <f>IF(SUMIFS(T_PlannedOrders[EffectiveQty],T_PlannedOrders[Part Name],$A709,T_PlannedOrders[WeekIndex],18)=0,"",SUMIFS(T_PlannedOrders[EffectiveQty],T_PlannedOrders[Part Name],$A709,T_PlannedOrders[WeekIndex],18)&amp;" ("&amp;TEXT(SUMPRODUCT(MAX((T_PlannedOrders[Part Name]=$A709)*(T_PlannedOrders[WeekIndex]=18)*(T_PlannedOrders[EffectiveQty]&gt;0)*T_PlannedOrders[Order_Month])),"m月")&amp;"発注)")</f>
        <v/>
      </c>
      <c r="V719">
        <f>IF(SUMIFS(T_PlannedOrders[EffectiveQty],T_PlannedOrders[Part Name],$A709,T_PlannedOrders[WeekIndex],19)=0,"",SUMIFS(T_PlannedOrders[EffectiveQty],T_PlannedOrders[Part Name],$A709,T_PlannedOrders[WeekIndex],19)&amp;" ("&amp;TEXT(SUMPRODUCT(MAX((T_PlannedOrders[Part Name]=$A709)*(T_PlannedOrders[WeekIndex]=19)*(T_PlannedOrders[EffectiveQty]&gt;0)*T_PlannedOrders[Order_Month])),"m月")&amp;"発注)")</f>
        <v/>
      </c>
      <c r="W719">
        <f>IF(SUMIFS(T_PlannedOrders[EffectiveQty],T_PlannedOrders[Part Name],$A709,T_PlannedOrders[WeekIndex],20)=0,"",SUMIFS(T_PlannedOrders[EffectiveQty],T_PlannedOrders[Part Name],$A709,T_PlannedOrders[WeekIndex],20)&amp;" ("&amp;TEXT(SUMPRODUCT(MAX((T_PlannedOrders[Part Name]=$A709)*(T_PlannedOrders[WeekIndex]=20)*(T_PlannedOrders[EffectiveQty]&gt;0)*T_PlannedOrders[Order_Month])),"m月")&amp;"発注)")</f>
        <v/>
      </c>
      <c r="X719">
        <f>IF(SUMIFS(T_PlannedOrders[EffectiveQty],T_PlannedOrders[Part Name],$A709,T_PlannedOrders[WeekIndex],21)=0,"",SUMIFS(T_PlannedOrders[EffectiveQty],T_PlannedOrders[Part Name],$A709,T_PlannedOrders[WeekIndex],21)&amp;" ("&amp;TEXT(SUMPRODUCT(MAX((T_PlannedOrders[Part Name]=$A709)*(T_PlannedOrders[WeekIndex]=21)*(T_PlannedOrders[EffectiveQty]&gt;0)*T_PlannedOrders[Order_Month])),"m月")&amp;"発注)")</f>
        <v/>
      </c>
      <c r="Y719">
        <f>IF(SUMIFS(T_PlannedOrders[EffectiveQty],T_PlannedOrders[Part Name],$A709,T_PlannedOrders[WeekIndex],22)=0,"",SUMIFS(T_PlannedOrders[EffectiveQty],T_PlannedOrders[Part Name],$A709,T_PlannedOrders[WeekIndex],22)&amp;" ("&amp;TEXT(SUMPRODUCT(MAX((T_PlannedOrders[Part Name]=$A709)*(T_PlannedOrders[WeekIndex]=22)*(T_PlannedOrders[EffectiveQty]&gt;0)*T_PlannedOrders[Order_Month])),"m月")&amp;"発注)")</f>
        <v/>
      </c>
      <c r="Z719">
        <f>IF(SUMIFS(T_PlannedOrders[EffectiveQty],T_PlannedOrders[Part Name],$A709,T_PlannedOrders[WeekIndex],23)=0,"",SUMIFS(T_PlannedOrders[EffectiveQty],T_PlannedOrders[Part Name],$A709,T_PlannedOrders[WeekIndex],23)&amp;" ("&amp;TEXT(SUMPRODUCT(MAX((T_PlannedOrders[Part Name]=$A709)*(T_PlannedOrders[WeekIndex]=23)*(T_PlannedOrders[EffectiveQty]&gt;0)*T_PlannedOrders[Order_Month])),"m月")&amp;"発注)")</f>
        <v/>
      </c>
      <c r="AA719">
        <f>IF(SUMIFS(T_PlannedOrders[EffectiveQty],T_PlannedOrders[Part Name],$A709,T_PlannedOrders[WeekIndex],24)=0,"",SUMIFS(T_PlannedOrders[EffectiveQty],T_PlannedOrders[Part Name],$A709,T_PlannedOrders[WeekIndex],24)&amp;" ("&amp;TEXT(SUMPRODUCT(MAX((T_PlannedOrders[Part Name]=$A709)*(T_PlannedOrders[WeekIndex]=24)*(T_PlannedOrders[EffectiveQty]&gt;0)*T_PlannedOrders[Order_Month])),"m月")&amp;"発注)")</f>
        <v/>
      </c>
      <c r="AB719">
        <f>IF(SUMIFS(T_PlannedOrders[EffectiveQty],T_PlannedOrders[Part Name],$A709,T_PlannedOrders[WeekIndex],25)=0,"",SUMIFS(T_PlannedOrders[EffectiveQty],T_PlannedOrders[Part Name],$A709,T_PlannedOrders[WeekIndex],25)&amp;" ("&amp;TEXT(SUMPRODUCT(MAX((T_PlannedOrders[Part Name]=$A709)*(T_PlannedOrders[WeekIndex]=25)*(T_PlannedOrders[EffectiveQty]&gt;0)*T_PlannedOrders[Order_Month])),"m月")&amp;"発注)")</f>
        <v/>
      </c>
      <c r="AC719">
        <f>IF(SUMIFS(T_PlannedOrders[EffectiveQty],T_PlannedOrders[Part Name],$A709,T_PlannedOrders[WeekIndex],26)=0,"",SUMIFS(T_PlannedOrders[EffectiveQty],T_PlannedOrders[Part Name],$A709,T_PlannedOrders[WeekIndex],26)&amp;" ("&amp;TEXT(SUMPRODUCT(MAX((T_PlannedOrders[Part Name]=$A709)*(T_PlannedOrders[WeekIndex]=26)*(T_PlannedOrders[EffectiveQty]&gt;0)*T_PlannedOrders[Order_Month])),"m月")&amp;"発注)")</f>
        <v/>
      </c>
      <c r="AD719">
        <f>IF(SUMIFS(T_PlannedOrders[EffectiveQty],T_PlannedOrders[Part Name],$A709,T_PlannedOrders[WeekIndex],27)=0,"",SUMIFS(T_PlannedOrders[EffectiveQty],T_PlannedOrders[Part Name],$A709,T_PlannedOrders[WeekIndex],27)&amp;" ("&amp;TEXT(SUMPRODUCT(MAX((T_PlannedOrders[Part Name]=$A709)*(T_PlannedOrders[WeekIndex]=27)*(T_PlannedOrders[EffectiveQty]&gt;0)*T_PlannedOrders[Order_Month])),"m月")&amp;"発注)")</f>
        <v/>
      </c>
      <c r="AE719">
        <f>IF(SUMIFS(T_PlannedOrders[EffectiveQty],T_PlannedOrders[Part Name],$A709,T_PlannedOrders[WeekIndex],28)=0,"",SUMIFS(T_PlannedOrders[EffectiveQty],T_PlannedOrders[Part Name],$A709,T_PlannedOrders[WeekIndex],28)&amp;" ("&amp;TEXT(SUMPRODUCT(MAX((T_PlannedOrders[Part Name]=$A709)*(T_PlannedOrders[WeekIndex]=28)*(T_PlannedOrders[EffectiveQty]&gt;0)*T_PlannedOrders[Order_Month])),"m月")&amp;"発注)")</f>
        <v/>
      </c>
      <c r="AF719">
        <f>IF(SUMIFS(T_PlannedOrders[EffectiveQty],T_PlannedOrders[Part Name],$A709,T_PlannedOrders[WeekIndex],29)=0,"",SUMIFS(T_PlannedOrders[EffectiveQty],T_PlannedOrders[Part Name],$A709,T_PlannedOrders[WeekIndex],29)&amp;" ("&amp;TEXT(SUMPRODUCT(MAX((T_PlannedOrders[Part Name]=$A709)*(T_PlannedOrders[WeekIndex]=29)*(T_PlannedOrders[EffectiveQty]&gt;0)*T_PlannedOrders[Order_Month])),"m月")&amp;"発注)")</f>
        <v/>
      </c>
      <c r="AG719">
        <f>IF(SUMIFS(T_PlannedOrders[EffectiveQty],T_PlannedOrders[Part Name],$A709,T_PlannedOrders[WeekIndex],30)=0,"",SUMIFS(T_PlannedOrders[EffectiveQty],T_PlannedOrders[Part Name],$A709,T_PlannedOrders[WeekIndex],30)&amp;" ("&amp;TEXT(SUMPRODUCT(MAX((T_PlannedOrders[Part Name]=$A709)*(T_PlannedOrders[WeekIndex]=30)*(T_PlannedOrders[EffectiveQty]&gt;0)*T_PlannedOrders[Order_Month])),"m月")&amp;"発注)")</f>
        <v/>
      </c>
      <c r="AH719">
        <f>IF(SUMIFS(T_PlannedOrders[EffectiveQty],T_PlannedOrders[Part Name],$A709,T_PlannedOrders[WeekIndex],31)=0,"",SUMIFS(T_PlannedOrders[EffectiveQty],T_PlannedOrders[Part Name],$A709,T_PlannedOrders[WeekIndex],31)&amp;" ("&amp;TEXT(SUMPRODUCT(MAX((T_PlannedOrders[Part Name]=$A709)*(T_PlannedOrders[WeekIndex]=31)*(T_PlannedOrders[EffectiveQty]&gt;0)*T_PlannedOrders[Order_Month])),"m月")&amp;"発注)")</f>
        <v/>
      </c>
      <c r="AI719">
        <f>IF(SUMIFS(T_PlannedOrders[EffectiveQty],T_PlannedOrders[Part Name],$A709,T_PlannedOrders[WeekIndex],32)=0,"",SUMIFS(T_PlannedOrders[EffectiveQty],T_PlannedOrders[Part Name],$A709,T_PlannedOrders[WeekIndex],32)&amp;" ("&amp;TEXT(SUMPRODUCT(MAX((T_PlannedOrders[Part Name]=$A709)*(T_PlannedOrders[WeekIndex]=32)*(T_PlannedOrders[EffectiveQty]&gt;0)*T_PlannedOrders[Order_Month])),"m月")&amp;"発注)")</f>
        <v/>
      </c>
      <c r="AJ719">
        <f>IF(SUMIFS(T_PlannedOrders[EffectiveQty],T_PlannedOrders[Part Name],$A709,T_PlannedOrders[WeekIndex],33)=0,"",SUMIFS(T_PlannedOrders[EffectiveQty],T_PlannedOrders[Part Name],$A709,T_PlannedOrders[WeekIndex],33)&amp;" ("&amp;TEXT(SUMPRODUCT(MAX((T_PlannedOrders[Part Name]=$A709)*(T_PlannedOrders[WeekIndex]=33)*(T_PlannedOrders[EffectiveQty]&gt;0)*T_PlannedOrders[Order_Month])),"m月")&amp;"発注)")</f>
        <v/>
      </c>
      <c r="AK719">
        <f>IF(SUMIFS(T_PlannedOrders[EffectiveQty],T_PlannedOrders[Part Name],$A709,T_PlannedOrders[WeekIndex],34)=0,"",SUMIFS(T_PlannedOrders[EffectiveQty],T_PlannedOrders[Part Name],$A709,T_PlannedOrders[WeekIndex],34)&amp;" ("&amp;TEXT(SUMPRODUCT(MAX((T_PlannedOrders[Part Name]=$A709)*(T_PlannedOrders[WeekIndex]=34)*(T_PlannedOrders[EffectiveQty]&gt;0)*T_PlannedOrders[Order_Month])),"m月")&amp;"発注)")</f>
        <v/>
      </c>
      <c r="AL719">
        <f>IF(SUMIFS(T_PlannedOrders[EffectiveQty],T_PlannedOrders[Part Name],$A709,T_PlannedOrders[WeekIndex],35)=0,"",SUMIFS(T_PlannedOrders[EffectiveQty],T_PlannedOrders[Part Name],$A709,T_PlannedOrders[WeekIndex],35)&amp;" ("&amp;TEXT(SUMPRODUCT(MAX((T_PlannedOrders[Part Name]=$A709)*(T_PlannedOrders[WeekIndex]=35)*(T_PlannedOrders[EffectiveQty]&gt;0)*T_PlannedOrders[Order_Month])),"m月")&amp;"発注)")</f>
        <v/>
      </c>
      <c r="AM719">
        <f>IF(SUMIFS(T_PlannedOrders[EffectiveQty],T_PlannedOrders[Part Name],$A709,T_PlannedOrders[WeekIndex],36)=0,"",SUMIFS(T_PlannedOrders[EffectiveQty],T_PlannedOrders[Part Name],$A709,T_PlannedOrders[WeekIndex],36)&amp;" ("&amp;TEXT(SUMPRODUCT(MAX((T_PlannedOrders[Part Name]=$A709)*(T_PlannedOrders[WeekIndex]=36)*(T_PlannedOrders[EffectiveQty]&gt;0)*T_PlannedOrders[Order_Month])),"m月")&amp;"発注)")</f>
        <v/>
      </c>
      <c r="AN719">
        <f>IF(SUMIFS(T_PlannedOrders[EffectiveQty],T_PlannedOrders[Part Name],$A709,T_PlannedOrders[WeekIndex],37)=0,"",SUMIFS(T_PlannedOrders[EffectiveQty],T_PlannedOrders[Part Name],$A709,T_PlannedOrders[WeekIndex],37)&amp;" ("&amp;TEXT(SUMPRODUCT(MAX((T_PlannedOrders[Part Name]=$A709)*(T_PlannedOrders[WeekIndex]=37)*(T_PlannedOrders[EffectiveQty]&gt;0)*T_PlannedOrders[Order_Month])),"m月")&amp;"発注)")</f>
        <v/>
      </c>
      <c r="AO719">
        <f>IF(SUMIFS(T_PlannedOrders[EffectiveQty],T_PlannedOrders[Part Name],$A709,T_PlannedOrders[WeekIndex],38)=0,"",SUMIFS(T_PlannedOrders[EffectiveQty],T_PlannedOrders[Part Name],$A709,T_PlannedOrders[WeekIndex],38)&amp;" ("&amp;TEXT(SUMPRODUCT(MAX((T_PlannedOrders[Part Name]=$A709)*(T_PlannedOrders[WeekIndex]=38)*(T_PlannedOrders[EffectiveQty]&gt;0)*T_PlannedOrders[Order_Month])),"m月")&amp;"発注)")</f>
        <v/>
      </c>
      <c r="AP719">
        <f>IF(SUMIFS(T_PlannedOrders[EffectiveQty],T_PlannedOrders[Part Name],$A709,T_PlannedOrders[WeekIndex],39)=0,"",SUMIFS(T_PlannedOrders[EffectiveQty],T_PlannedOrders[Part Name],$A709,T_PlannedOrders[WeekIndex],39)&amp;" ("&amp;TEXT(SUMPRODUCT(MAX((T_PlannedOrders[Part Name]=$A709)*(T_PlannedOrders[WeekIndex]=39)*(T_PlannedOrders[EffectiveQty]&gt;0)*T_PlannedOrders[Order_Month])),"m月")&amp;"発注)")</f>
        <v/>
      </c>
      <c r="AQ719">
        <f>IF(SUMIFS(T_PlannedOrders[EffectiveQty],T_PlannedOrders[Part Name],$A709,T_PlannedOrders[WeekIndex],40)=0,"",SUMIFS(T_PlannedOrders[EffectiveQty],T_PlannedOrders[Part Name],$A709,T_PlannedOrders[WeekIndex],40)&amp;" ("&amp;TEXT(SUMPRODUCT(MAX((T_PlannedOrders[Part Name]=$A709)*(T_PlannedOrders[WeekIndex]=40)*(T_PlannedOrders[EffectiveQty]&gt;0)*T_PlannedOrders[Order_Month])),"m月")&amp;"発注)")</f>
        <v/>
      </c>
      <c r="AR719">
        <f>IF(SUMIFS(T_PlannedOrders[EffectiveQty],T_PlannedOrders[Part Name],$A709,T_PlannedOrders[WeekIndex],41)=0,"",SUMIFS(T_PlannedOrders[EffectiveQty],T_PlannedOrders[Part Name],$A709,T_PlannedOrders[WeekIndex],41)&amp;" ("&amp;TEXT(SUMPRODUCT(MAX((T_PlannedOrders[Part Name]=$A709)*(T_PlannedOrders[WeekIndex]=41)*(T_PlannedOrders[EffectiveQty]&gt;0)*T_PlannedOrders[Order_Month])),"m月")&amp;"発注)")</f>
        <v/>
      </c>
      <c r="AS719">
        <f>IF(SUMIFS(T_PlannedOrders[EffectiveQty],T_PlannedOrders[Part Name],$A709,T_PlannedOrders[WeekIndex],42)=0,"",SUMIFS(T_PlannedOrders[EffectiveQty],T_PlannedOrders[Part Name],$A709,T_PlannedOrders[WeekIndex],42)&amp;" ("&amp;TEXT(SUMPRODUCT(MAX((T_PlannedOrders[Part Name]=$A709)*(T_PlannedOrders[WeekIndex]=42)*(T_PlannedOrders[EffectiveQty]&gt;0)*T_PlannedOrders[Order_Month])),"m月")&amp;"発注)")</f>
        <v/>
      </c>
      <c r="AT719">
        <f>IF(SUMIFS(T_PlannedOrders[EffectiveQty],T_PlannedOrders[Part Name],$A709,T_PlannedOrders[WeekIndex],43)=0,"",SUMIFS(T_PlannedOrders[EffectiveQty],T_PlannedOrders[Part Name],$A709,T_PlannedOrders[WeekIndex],43)&amp;" ("&amp;TEXT(SUMPRODUCT(MAX((T_PlannedOrders[Part Name]=$A709)*(T_PlannedOrders[WeekIndex]=43)*(T_PlannedOrders[EffectiveQty]&gt;0)*T_PlannedOrders[Order_Month])),"m月")&amp;"発注)")</f>
        <v/>
      </c>
      <c r="AU719">
        <f>IF(SUMIFS(T_PlannedOrders[EffectiveQty],T_PlannedOrders[Part Name],$A709,T_PlannedOrders[WeekIndex],44)=0,"",SUMIFS(T_PlannedOrders[EffectiveQty],T_PlannedOrders[Part Name],$A709,T_PlannedOrders[WeekIndex],44)&amp;" ("&amp;TEXT(SUMPRODUCT(MAX((T_PlannedOrders[Part Name]=$A709)*(T_PlannedOrders[WeekIndex]=44)*(T_PlannedOrders[EffectiveQty]&gt;0)*T_PlannedOrders[Order_Month])),"m月")&amp;"発注)")</f>
        <v/>
      </c>
      <c r="AV719">
        <f>IF(SUMIFS(T_PlannedOrders[EffectiveQty],T_PlannedOrders[Part Name],$A709,T_PlannedOrders[WeekIndex],45)=0,"",SUMIFS(T_PlannedOrders[EffectiveQty],T_PlannedOrders[Part Name],$A709,T_PlannedOrders[WeekIndex],45)&amp;" ("&amp;TEXT(SUMPRODUCT(MAX((T_PlannedOrders[Part Name]=$A709)*(T_PlannedOrders[WeekIndex]=45)*(T_PlannedOrders[EffectiveQty]&gt;0)*T_PlannedOrders[Order_Month])),"m月")&amp;"発注)")</f>
        <v/>
      </c>
      <c r="AW719">
        <f>IF(SUMIFS(T_PlannedOrders[EffectiveQty],T_PlannedOrders[Part Name],$A709,T_PlannedOrders[WeekIndex],46)=0,"",SUMIFS(T_PlannedOrders[EffectiveQty],T_PlannedOrders[Part Name],$A709,T_PlannedOrders[WeekIndex],46)&amp;" ("&amp;TEXT(SUMPRODUCT(MAX((T_PlannedOrders[Part Name]=$A709)*(T_PlannedOrders[WeekIndex]=46)*(T_PlannedOrders[EffectiveQty]&gt;0)*T_PlannedOrders[Order_Month])),"m月")&amp;"発注)")</f>
        <v/>
      </c>
      <c r="AX719">
        <f>IF(SUMIFS(T_PlannedOrders[EffectiveQty],T_PlannedOrders[Part Name],$A709,T_PlannedOrders[WeekIndex],47)=0,"",SUMIFS(T_PlannedOrders[EffectiveQty],T_PlannedOrders[Part Name],$A709,T_PlannedOrders[WeekIndex],47)&amp;" ("&amp;TEXT(SUMPRODUCT(MAX((T_PlannedOrders[Part Name]=$A709)*(T_PlannedOrders[WeekIndex]=47)*(T_PlannedOrders[EffectiveQty]&gt;0)*T_PlannedOrders[Order_Month])),"m月")&amp;"発注)")</f>
        <v/>
      </c>
      <c r="AY719">
        <f>IF(SUMIFS(T_PlannedOrders[EffectiveQty],T_PlannedOrders[Part Name],$A709,T_PlannedOrders[WeekIndex],48)=0,"",SUMIFS(T_PlannedOrders[EffectiveQty],T_PlannedOrders[Part Name],$A709,T_PlannedOrders[WeekIndex],48)&amp;" ("&amp;TEXT(SUMPRODUCT(MAX((T_PlannedOrders[Part Name]=$A709)*(T_PlannedOrders[WeekIndex]=48)*(T_PlannedOrders[EffectiveQty]&gt;0)*T_PlannedOrders[Order_Month])),"m月")&amp;"発注)")</f>
        <v/>
      </c>
      <c r="AZ719">
        <f>IF(SUMIFS(T_PlannedOrders[EffectiveQty],T_PlannedOrders[Part Name],$A709,T_PlannedOrders[WeekIndex],49)=0,"",SUMIFS(T_PlannedOrders[EffectiveQty],T_PlannedOrders[Part Name],$A709,T_PlannedOrders[WeekIndex],49)&amp;" ("&amp;TEXT(SUMPRODUCT(MAX((T_PlannedOrders[Part Name]=$A709)*(T_PlannedOrders[WeekIndex]=49)*(T_PlannedOrders[EffectiveQty]&gt;0)*T_PlannedOrders[Order_Month])),"m月")&amp;"発注)")</f>
        <v/>
      </c>
      <c r="BA719">
        <f>IF(SUMIFS(T_PlannedOrders[EffectiveQty],T_PlannedOrders[Part Name],$A709,T_PlannedOrders[WeekIndex],50)=0,"",SUMIFS(T_PlannedOrders[EffectiveQty],T_PlannedOrders[Part Name],$A709,T_PlannedOrders[WeekIndex],50)&amp;" ("&amp;TEXT(SUMPRODUCT(MAX((T_PlannedOrders[Part Name]=$A709)*(T_PlannedOrders[WeekIndex]=50)*(T_PlannedOrders[EffectiveQty]&gt;0)*T_PlannedOrders[Order_Month])),"m月")&amp;"発注)")</f>
        <v/>
      </c>
      <c r="BB719">
        <f>IF(SUMIFS(T_PlannedOrders[EffectiveQty],T_PlannedOrders[Part Name],$A709,T_PlannedOrders[WeekIndex],51)=0,"",SUMIFS(T_PlannedOrders[EffectiveQty],T_PlannedOrders[Part Name],$A709,T_PlannedOrders[WeekIndex],51)&amp;" ("&amp;TEXT(SUMPRODUCT(MAX((T_PlannedOrders[Part Name]=$A709)*(T_PlannedOrders[WeekIndex]=51)*(T_PlannedOrders[EffectiveQty]&gt;0)*T_PlannedOrders[Order_Month])),"m月")&amp;"発注)")</f>
        <v/>
      </c>
      <c r="BC719">
        <f>IF(SUMIFS(T_PlannedOrders[EffectiveQty],T_PlannedOrders[Part Name],$A709,T_PlannedOrders[WeekIndex],52)=0,"",SUMIFS(T_PlannedOrders[EffectiveQty],T_PlannedOrders[Part Name],$A709,T_PlannedOrders[WeekIndex],52)&amp;" ("&amp;TEXT(SUMPRODUCT(MAX((T_PlannedOrders[Part Name]=$A709)*(T_PlannedOrders[WeekIndex]=52)*(T_PlannedOrders[EffectiveQty]&gt;0)*T_PlannedOrders[Order_Month])),"m月")&amp;"発注)")</f>
        <v/>
      </c>
      <c r="BD719">
        <f>IF(SUMIFS(T_PlannedOrders[EffectiveQty],T_PlannedOrders[Part Name],$A709,T_PlannedOrders[WeekIndex],53)=0,"",SUMIFS(T_PlannedOrders[EffectiveQty],T_PlannedOrders[Part Name],$A709,T_PlannedOrders[WeekIndex],53)&amp;" ("&amp;TEXT(SUMPRODUCT(MAX((T_PlannedOrders[Part Name]=$A709)*(T_PlannedOrders[WeekIndex]=53)*(T_PlannedOrders[EffectiveQty]&gt;0)*T_PlannedOrders[Order_Month])),"m月")&amp;"発注)")</f>
        <v/>
      </c>
      <c r="BE719">
        <f>IF(SUMIFS(T_PlannedOrders[EffectiveQty],T_PlannedOrders[Part Name],$A709,T_PlannedOrders[WeekIndex],54)=0,"",SUMIFS(T_PlannedOrders[EffectiveQty],T_PlannedOrders[Part Name],$A709,T_PlannedOrders[WeekIndex],54)&amp;" ("&amp;TEXT(SUMPRODUCT(MAX((T_PlannedOrders[Part Name]=$A709)*(T_PlannedOrders[WeekIndex]=54)*(T_PlannedOrders[EffectiveQty]&gt;0)*T_PlannedOrders[Order_Month])),"m月")&amp;"発注)")</f>
        <v/>
      </c>
      <c r="BF719">
        <f>IF(SUMIFS(T_PlannedOrders[EffectiveQty],T_PlannedOrders[Part Name],$A709,T_PlannedOrders[WeekIndex],55)=0,"",SUMIFS(T_PlannedOrders[EffectiveQty],T_PlannedOrders[Part Name],$A709,T_PlannedOrders[WeekIndex],55)&amp;" ("&amp;TEXT(SUMPRODUCT(MAX((T_PlannedOrders[Part Name]=$A709)*(T_PlannedOrders[WeekIndex]=55)*(T_PlannedOrders[EffectiveQty]&gt;0)*T_PlannedOrders[Order_Month])),"m月")&amp;"発注)")</f>
        <v/>
      </c>
      <c r="BG719">
        <f>IF(SUMIFS(T_PlannedOrders[EffectiveQty],T_PlannedOrders[Part Name],$A709,T_PlannedOrders[WeekIndex],56)=0,"",SUMIFS(T_PlannedOrders[EffectiveQty],T_PlannedOrders[Part Name],$A709,T_PlannedOrders[WeekIndex],56)&amp;" ("&amp;TEXT(SUMPRODUCT(MAX((T_PlannedOrders[Part Name]=$A709)*(T_PlannedOrders[WeekIndex]=56)*(T_PlannedOrders[EffectiveQty]&gt;0)*T_PlannedOrders[Order_Month])),"m月")&amp;"発注)")</f>
        <v/>
      </c>
      <c r="BH719">
        <f>IF(SUMIFS(T_PlannedOrders[EffectiveQty],T_PlannedOrders[Part Name],$A709,T_PlannedOrders[WeekIndex],57)=0,"",SUMIFS(T_PlannedOrders[EffectiveQty],T_PlannedOrders[Part Name],$A709,T_PlannedOrders[WeekIndex],57)&amp;" ("&amp;TEXT(SUMPRODUCT(MAX((T_PlannedOrders[Part Name]=$A709)*(T_PlannedOrders[WeekIndex]=57)*(T_PlannedOrders[EffectiveQty]&gt;0)*T_PlannedOrders[Order_Month])),"m月")&amp;"発注)")</f>
        <v/>
      </c>
      <c r="BI719">
        <f>IF(SUMIFS(T_PlannedOrders[EffectiveQty],T_PlannedOrders[Part Name],$A709,T_PlannedOrders[WeekIndex],58)=0,"",SUMIFS(T_PlannedOrders[EffectiveQty],T_PlannedOrders[Part Name],$A709,T_PlannedOrders[WeekIndex],58)&amp;" ("&amp;TEXT(SUMPRODUCT(MAX((T_PlannedOrders[Part Name]=$A709)*(T_PlannedOrders[WeekIndex]=58)*(T_PlannedOrders[EffectiveQty]&gt;0)*T_PlannedOrders[Order_Month])),"m月")&amp;"発注)")</f>
        <v/>
      </c>
      <c r="BJ719">
        <f>IF(SUMIFS(T_PlannedOrders[EffectiveQty],T_PlannedOrders[Part Name],$A709,T_PlannedOrders[WeekIndex],59)=0,"",SUMIFS(T_PlannedOrders[EffectiveQty],T_PlannedOrders[Part Name],$A709,T_PlannedOrders[WeekIndex],59)&amp;" ("&amp;TEXT(SUMPRODUCT(MAX((T_PlannedOrders[Part Name]=$A709)*(T_PlannedOrders[WeekIndex]=59)*(T_PlannedOrders[EffectiveQty]&gt;0)*T_PlannedOrders[Order_Month])),"m月")&amp;"発注)")</f>
        <v/>
      </c>
      <c r="BK719">
        <f>IF(SUMIFS(T_PlannedOrders[EffectiveQty],T_PlannedOrders[Part Name],$A709,T_PlannedOrders[WeekIndex],60)=0,"",SUMIFS(T_PlannedOrders[EffectiveQty],T_PlannedOrders[Part Name],$A709,T_PlannedOrders[WeekIndex],60)&amp;" ("&amp;TEXT(SUMPRODUCT(MAX((T_PlannedOrders[Part Name]=$A709)*(T_PlannedOrders[WeekIndex]=60)*(T_PlannedOrders[EffectiveQty]&gt;0)*T_PlannedOrders[Order_Month])),"m月")&amp;"発注)")</f>
        <v/>
      </c>
      <c r="BL719">
        <f>IF(SUMIFS(T_PlannedOrders[EffectiveQty],T_PlannedOrders[Part Name],$A709,T_PlannedOrders[WeekIndex],61)=0,"",SUMIFS(T_PlannedOrders[EffectiveQty],T_PlannedOrders[Part Name],$A709,T_PlannedOrders[WeekIndex],61)&amp;" ("&amp;TEXT(SUMPRODUCT(MAX((T_PlannedOrders[Part Name]=$A709)*(T_PlannedOrders[WeekIndex]=61)*(T_PlannedOrders[EffectiveQty]&gt;0)*T_PlannedOrders[Order_Month])),"m月")&amp;"発注)")</f>
        <v/>
      </c>
      <c r="BM719">
        <f>IF(SUMIFS(T_PlannedOrders[EffectiveQty],T_PlannedOrders[Part Name],$A709,T_PlannedOrders[WeekIndex],62)=0,"",SUMIFS(T_PlannedOrders[EffectiveQty],T_PlannedOrders[Part Name],$A709,T_PlannedOrders[WeekIndex],62)&amp;" ("&amp;TEXT(SUMPRODUCT(MAX((T_PlannedOrders[Part Name]=$A709)*(T_PlannedOrders[WeekIndex]=62)*(T_PlannedOrders[EffectiveQty]&gt;0)*T_PlannedOrders[Order_Month])),"m月")&amp;"発注)")</f>
        <v/>
      </c>
      <c r="BN719">
        <f>IF(SUMIFS(T_PlannedOrders[EffectiveQty],T_PlannedOrders[Part Name],$A709,T_PlannedOrders[WeekIndex],63)=0,"",SUMIFS(T_PlannedOrders[EffectiveQty],T_PlannedOrders[Part Name],$A709,T_PlannedOrders[WeekIndex],63)&amp;" ("&amp;TEXT(SUMPRODUCT(MAX((T_PlannedOrders[Part Name]=$A709)*(T_PlannedOrders[WeekIndex]=63)*(T_PlannedOrders[EffectiveQty]&gt;0)*T_PlannedOrders[Order_Month])),"m月")&amp;"発注)")</f>
        <v/>
      </c>
      <c r="BO719">
        <f>IF(SUMIFS(T_PlannedOrders[EffectiveQty],T_PlannedOrders[Part Name],$A709,T_PlannedOrders[WeekIndex],64)=0,"",SUMIFS(T_PlannedOrders[EffectiveQty],T_PlannedOrders[Part Name],$A709,T_PlannedOrders[WeekIndex],64)&amp;" ("&amp;TEXT(SUMPRODUCT(MAX((T_PlannedOrders[Part Name]=$A709)*(T_PlannedOrders[WeekIndex]=64)*(T_PlannedOrders[EffectiveQty]&gt;0)*T_PlannedOrders[Order_Month])),"m月")&amp;"発注)")</f>
        <v/>
      </c>
      <c r="BP719">
        <f>IF(SUMIFS(T_PlannedOrders[EffectiveQty],T_PlannedOrders[Part Name],$A709,T_PlannedOrders[WeekIndex],65)=0,"",SUMIFS(T_PlannedOrders[EffectiveQty],T_PlannedOrders[Part Name],$A709,T_PlannedOrders[WeekIndex],65)&amp;" ("&amp;TEXT(SUMPRODUCT(MAX((T_PlannedOrders[Part Name]=$A709)*(T_PlannedOrders[WeekIndex]=65)*(T_PlannedOrders[EffectiveQty]&gt;0)*T_PlannedOrders[Order_Month])),"m月")&amp;"発注)")</f>
        <v/>
      </c>
      <c r="BQ719">
        <f>IF(SUMIFS(T_PlannedOrders[EffectiveQty],T_PlannedOrders[Part Name],$A709,T_PlannedOrders[WeekIndex],66)=0,"",SUMIFS(T_PlannedOrders[EffectiveQty],T_PlannedOrders[Part Name],$A709,T_PlannedOrders[WeekIndex],66)&amp;" ("&amp;TEXT(SUMPRODUCT(MAX((T_PlannedOrders[Part Name]=$A709)*(T_PlannedOrders[WeekIndex]=66)*(T_PlannedOrders[EffectiveQty]&gt;0)*T_PlannedOrders[Order_Month])),"m月")&amp;"発注)")</f>
        <v/>
      </c>
      <c r="BR719">
        <f>IF(SUMIFS(T_PlannedOrders[EffectiveQty],T_PlannedOrders[Part Name],$A709,T_PlannedOrders[WeekIndex],67)=0,"",SUMIFS(T_PlannedOrders[EffectiveQty],T_PlannedOrders[Part Name],$A709,T_PlannedOrders[WeekIndex],67)&amp;" ("&amp;TEXT(SUMPRODUCT(MAX((T_PlannedOrders[Part Name]=$A709)*(T_PlannedOrders[WeekIndex]=67)*(T_PlannedOrders[EffectiveQty]&gt;0)*T_PlannedOrders[Order_Month])),"m月")&amp;"発注)")</f>
        <v/>
      </c>
      <c r="BS719">
        <f>IF(SUMIFS(T_PlannedOrders[EffectiveQty],T_PlannedOrders[Part Name],$A709,T_PlannedOrders[WeekIndex],68)=0,"",SUMIFS(T_PlannedOrders[EffectiveQty],T_PlannedOrders[Part Name],$A709,T_PlannedOrders[WeekIndex],68)&amp;" ("&amp;TEXT(SUMPRODUCT(MAX((T_PlannedOrders[Part Name]=$A709)*(T_PlannedOrders[WeekIndex]=68)*(T_PlannedOrders[EffectiveQty]&gt;0)*T_PlannedOrders[Order_Month])),"m月")&amp;"発注)")</f>
        <v/>
      </c>
      <c r="BT719">
        <f>IF(SUMIFS(T_PlannedOrders[EffectiveQty],T_PlannedOrders[Part Name],$A709,T_PlannedOrders[WeekIndex],69)=0,"",SUMIFS(T_PlannedOrders[EffectiveQty],T_PlannedOrders[Part Name],$A709,T_PlannedOrders[WeekIndex],69)&amp;" ("&amp;TEXT(SUMPRODUCT(MAX((T_PlannedOrders[Part Name]=$A709)*(T_PlannedOrders[WeekIndex]=69)*(T_PlannedOrders[EffectiveQty]&gt;0)*T_PlannedOrders[Order_Month])),"m月")&amp;"発注)")</f>
        <v/>
      </c>
      <c r="BU719">
        <f>IF(SUMIFS(T_PlannedOrders[EffectiveQty],T_PlannedOrders[Part Name],$A709,T_PlannedOrders[WeekIndex],70)=0,"",SUMIFS(T_PlannedOrders[EffectiveQty],T_PlannedOrders[Part Name],$A709,T_PlannedOrders[WeekIndex],70)&amp;" ("&amp;TEXT(SUMPRODUCT(MAX((T_PlannedOrders[Part Name]=$A709)*(T_PlannedOrders[WeekIndex]=70)*(T_PlannedOrders[EffectiveQty]&gt;0)*T_PlannedOrders[Order_Month])),"m月")&amp;"発注)")</f>
        <v/>
      </c>
      <c r="BV719">
        <f>IF(SUMIFS(T_PlannedOrders[EffectiveQty],T_PlannedOrders[Part Name],$A709,T_PlannedOrders[WeekIndex],71)=0,"",SUMIFS(T_PlannedOrders[EffectiveQty],T_PlannedOrders[Part Name],$A709,T_PlannedOrders[WeekIndex],71)&amp;" ("&amp;TEXT(SUMPRODUCT(MAX((T_PlannedOrders[Part Name]=$A709)*(T_PlannedOrders[WeekIndex]=71)*(T_PlannedOrders[EffectiveQty]&gt;0)*T_PlannedOrders[Order_Month])),"m月")&amp;"発注)")</f>
        <v/>
      </c>
      <c r="BW719">
        <f>IF(SUMIFS(T_PlannedOrders[EffectiveQty],T_PlannedOrders[Part Name],$A709,T_PlannedOrders[WeekIndex],72)=0,"",SUMIFS(T_PlannedOrders[EffectiveQty],T_PlannedOrders[Part Name],$A709,T_PlannedOrders[WeekIndex],72)&amp;" ("&amp;TEXT(SUMPRODUCT(MAX((T_PlannedOrders[Part Name]=$A709)*(T_PlannedOrders[WeekIndex]=72)*(T_PlannedOrders[EffectiveQty]&gt;0)*T_PlannedOrders[Order_Month])),"m月")&amp;"発注)")</f>
        <v/>
      </c>
      <c r="BX719">
        <f>IF(SUMIFS(T_PlannedOrders[EffectiveQty],T_PlannedOrders[Part Name],$A709,T_PlannedOrders[WeekIndex],73)=0,"",SUMIFS(T_PlannedOrders[EffectiveQty],T_PlannedOrders[Part Name],$A709,T_PlannedOrders[WeekIndex],73)&amp;" ("&amp;TEXT(SUMPRODUCT(MAX((T_PlannedOrders[Part Name]=$A709)*(T_PlannedOrders[WeekIndex]=73)*(T_PlannedOrders[EffectiveQty]&gt;0)*T_PlannedOrders[Order_Month])),"m月")&amp;"発注)")</f>
        <v/>
      </c>
      <c r="BY719">
        <f>IF(SUMIFS(T_PlannedOrders[EffectiveQty],T_PlannedOrders[Part Name],$A709,T_PlannedOrders[WeekIndex],74)=0,"",SUMIFS(T_PlannedOrders[EffectiveQty],T_PlannedOrders[Part Name],$A709,T_PlannedOrders[WeekIndex],74)&amp;" ("&amp;TEXT(SUMPRODUCT(MAX((T_PlannedOrders[Part Name]=$A709)*(T_PlannedOrders[WeekIndex]=74)*(T_PlannedOrders[EffectiveQty]&gt;0)*T_PlannedOrders[Order_Month])),"m月")&amp;"発注)")</f>
        <v/>
      </c>
      <c r="BZ719">
        <f>IF(SUMIFS(T_PlannedOrders[EffectiveQty],T_PlannedOrders[Part Name],$A709,T_PlannedOrders[WeekIndex],75)=0,"",SUMIFS(T_PlannedOrders[EffectiveQty],T_PlannedOrders[Part Name],$A709,T_PlannedOrders[WeekIndex],75)&amp;" ("&amp;TEXT(SUMPRODUCT(MAX((T_PlannedOrders[Part Name]=$A709)*(T_PlannedOrders[WeekIndex]=75)*(T_PlannedOrders[EffectiveQty]&gt;0)*T_PlannedOrders[Order_Month])),"m月")&amp;"発注)")</f>
        <v/>
      </c>
      <c r="CA719">
        <f>IF(SUMIFS(T_PlannedOrders[EffectiveQty],T_PlannedOrders[Part Name],$A709,T_PlannedOrders[WeekIndex],76)=0,"",SUMIFS(T_PlannedOrders[EffectiveQty],T_PlannedOrders[Part Name],$A709,T_PlannedOrders[WeekIndex],76)&amp;" ("&amp;TEXT(SUMPRODUCT(MAX((T_PlannedOrders[Part Name]=$A709)*(T_PlannedOrders[WeekIndex]=76)*(T_PlannedOrders[EffectiveQty]&gt;0)*T_PlannedOrders[Order_Month])),"m月")&amp;"発注)")</f>
        <v/>
      </c>
      <c r="CB719">
        <f>IF(SUMIFS(T_PlannedOrders[EffectiveQty],T_PlannedOrders[Part Name],$A709,T_PlannedOrders[WeekIndex],77)=0,"",SUMIFS(T_PlannedOrders[EffectiveQty],T_PlannedOrders[Part Name],$A709,T_PlannedOrders[WeekIndex],77)&amp;" ("&amp;TEXT(SUMPRODUCT(MAX((T_PlannedOrders[Part Name]=$A709)*(T_PlannedOrders[WeekIndex]=77)*(T_PlannedOrders[EffectiveQty]&gt;0)*T_PlannedOrders[Order_Month])),"m月")&amp;"発注)")</f>
        <v/>
      </c>
      <c r="CC719">
        <f>IF(SUMIFS(T_PlannedOrders[EffectiveQty],T_PlannedOrders[Part Name],$A709,T_PlannedOrders[WeekIndex],78)=0,"",SUMIFS(T_PlannedOrders[EffectiveQty],T_PlannedOrders[Part Name],$A709,T_PlannedOrders[WeekIndex],78)&amp;" ("&amp;TEXT(SUMPRODUCT(MAX((T_PlannedOrders[Part Name]=$A709)*(T_PlannedOrders[WeekIndex]=78)*(T_PlannedOrders[EffectiveQty]&gt;0)*T_PlannedOrders[Order_Month])),"m月")&amp;"発注)")</f>
        <v/>
      </c>
      <c r="CD719">
        <f>IF(SUMIFS(T_PlannedOrders[EffectiveQty],T_PlannedOrders[Part Name],$A709,T_PlannedOrders[WeekIndex],79)=0,"",SUMIFS(T_PlannedOrders[EffectiveQty],T_PlannedOrders[Part Name],$A709,T_PlannedOrders[WeekIndex],79)&amp;" ("&amp;TEXT(SUMPRODUCT(MAX((T_PlannedOrders[Part Name]=$A709)*(T_PlannedOrders[WeekIndex]=79)*(T_PlannedOrders[EffectiveQty]&gt;0)*T_PlannedOrders[Order_Month])),"m月")&amp;"発注)")</f>
        <v/>
      </c>
      <c r="CE719">
        <f>IF(SUMIFS(T_PlannedOrders[EffectiveQty],T_PlannedOrders[Part Name],$A709,T_PlannedOrders[WeekIndex],80)=0,"",SUMIFS(T_PlannedOrders[EffectiveQty],T_PlannedOrders[Part Name],$A709,T_PlannedOrders[WeekIndex],80)&amp;" ("&amp;TEXT(SUMPRODUCT(MAX((T_PlannedOrders[Part Name]=$A709)*(T_PlannedOrders[WeekIndex]=80)*(T_PlannedOrders[EffectiveQty]&gt;0)*T_PlannedOrders[Order_Month])),"m月")&amp;"発注)")</f>
        <v/>
      </c>
      <c r="CF719">
        <f>IF(SUMIFS(T_PlannedOrders[EffectiveQty],T_PlannedOrders[Part Name],$A709,T_PlannedOrders[WeekIndex],81)=0,"",SUMIFS(T_PlannedOrders[EffectiveQty],T_PlannedOrders[Part Name],$A709,T_PlannedOrders[WeekIndex],81)&amp;" ("&amp;TEXT(SUMPRODUCT(MAX((T_PlannedOrders[Part Name]=$A709)*(T_PlannedOrders[WeekIndex]=81)*(T_PlannedOrders[EffectiveQty]&gt;0)*T_PlannedOrders[Order_Month])),"m月")&amp;"発注)")</f>
        <v/>
      </c>
      <c r="CG719">
        <f>IF(SUMIFS(T_PlannedOrders[EffectiveQty],T_PlannedOrders[Part Name],$A709,T_PlannedOrders[WeekIndex],82)=0,"",SUMIFS(T_PlannedOrders[EffectiveQty],T_PlannedOrders[Part Name],$A709,T_PlannedOrders[WeekIndex],82)&amp;" ("&amp;TEXT(SUMPRODUCT(MAX((T_PlannedOrders[Part Name]=$A709)*(T_PlannedOrders[WeekIndex]=82)*(T_PlannedOrders[EffectiveQty]&gt;0)*T_PlannedOrders[Order_Month])),"m月")&amp;"発注)")</f>
        <v/>
      </c>
      <c r="CH719">
        <f>IF(SUMIFS(T_PlannedOrders[EffectiveQty],T_PlannedOrders[Part Name],$A709,T_PlannedOrders[WeekIndex],83)=0,"",SUMIFS(T_PlannedOrders[EffectiveQty],T_PlannedOrders[Part Name],$A709,T_PlannedOrders[WeekIndex],83)&amp;" ("&amp;TEXT(SUMPRODUCT(MAX((T_PlannedOrders[Part Name]=$A709)*(T_PlannedOrders[WeekIndex]=83)*(T_PlannedOrders[EffectiveQty]&gt;0)*T_PlannedOrders[Order_Month])),"m月")&amp;"発注)")</f>
        <v/>
      </c>
      <c r="CI719">
        <f>IF(SUMIFS(T_PlannedOrders[EffectiveQty],T_PlannedOrders[Part Name],$A709,T_PlannedOrders[WeekIndex],84)=0,"",SUMIFS(T_PlannedOrders[EffectiveQty],T_PlannedOrders[Part Name],$A709,T_PlannedOrders[WeekIndex],84)&amp;" ("&amp;TEXT(SUMPRODUCT(MAX((T_PlannedOrders[Part Name]=$A709)*(T_PlannedOrders[WeekIndex]=84)*(T_PlannedOrders[EffectiveQty]&gt;0)*T_PlannedOrders[Order_Month])),"m月")&amp;"発注)")</f>
        <v/>
      </c>
      <c r="CJ719">
        <f>IF(SUMIFS(T_PlannedOrders[EffectiveQty],T_PlannedOrders[Part Name],$A709,T_PlannedOrders[WeekIndex],85)=0,"",SUMIFS(T_PlannedOrders[EffectiveQty],T_PlannedOrders[Part Name],$A709,T_PlannedOrders[WeekIndex],85)&amp;" ("&amp;TEXT(SUMPRODUCT(MAX((T_PlannedOrders[Part Name]=$A709)*(T_PlannedOrders[WeekIndex]=85)*(T_PlannedOrders[EffectiveQty]&gt;0)*T_PlannedOrders[Order_Month])),"m月")&amp;"発注)")</f>
        <v/>
      </c>
      <c r="CK719">
        <f>IF(SUMIFS(T_PlannedOrders[EffectiveQty],T_PlannedOrders[Part Name],$A709,T_PlannedOrders[WeekIndex],86)=0,"",SUMIFS(T_PlannedOrders[EffectiveQty],T_PlannedOrders[Part Name],$A709,T_PlannedOrders[WeekIndex],86)&amp;" ("&amp;TEXT(SUMPRODUCT(MAX((T_PlannedOrders[Part Name]=$A709)*(T_PlannedOrders[WeekIndex]=86)*(T_PlannedOrders[EffectiveQty]&gt;0)*T_PlannedOrders[Order_Month])),"m月")&amp;"発注)")</f>
        <v/>
      </c>
      <c r="CL719">
        <f>IF(SUMIFS(T_PlannedOrders[EffectiveQty],T_PlannedOrders[Part Name],$A709,T_PlannedOrders[WeekIndex],87)=0,"",SUMIFS(T_PlannedOrders[EffectiveQty],T_PlannedOrders[Part Name],$A709,T_PlannedOrders[WeekIndex],87)&amp;" ("&amp;TEXT(SUMPRODUCT(MAX((T_PlannedOrders[Part Name]=$A709)*(T_PlannedOrders[WeekIndex]=87)*(T_PlannedOrders[EffectiveQty]&gt;0)*T_PlannedOrders[Order_Month])),"m月")&amp;"発注)")</f>
        <v/>
      </c>
      <c r="CM719">
        <f>IF(SUMIFS(T_PlannedOrders[EffectiveQty],T_PlannedOrders[Part Name],$A709,T_PlannedOrders[WeekIndex],88)=0,"",SUMIFS(T_PlannedOrders[EffectiveQty],T_PlannedOrders[Part Name],$A709,T_PlannedOrders[WeekIndex],88)&amp;" ("&amp;TEXT(SUMPRODUCT(MAX((T_PlannedOrders[Part Name]=$A709)*(T_PlannedOrders[WeekIndex]=88)*(T_PlannedOrders[EffectiveQty]&gt;0)*T_PlannedOrders[Order_Month])),"m月")&amp;"発注)")</f>
        <v/>
      </c>
      <c r="CN719">
        <f>IF(SUMIFS(T_PlannedOrders[EffectiveQty],T_PlannedOrders[Part Name],$A709,T_PlannedOrders[WeekIndex],89)=0,"",SUMIFS(T_PlannedOrders[EffectiveQty],T_PlannedOrders[Part Name],$A709,T_PlannedOrders[WeekIndex],89)&amp;" ("&amp;TEXT(SUMPRODUCT(MAX((T_PlannedOrders[Part Name]=$A709)*(T_PlannedOrders[WeekIndex]=89)*(T_PlannedOrders[EffectiveQty]&gt;0)*T_PlannedOrders[Order_Month])),"m月")&amp;"発注)")</f>
        <v/>
      </c>
      <c r="CO719">
        <f>IF(SUMIFS(T_PlannedOrders[EffectiveQty],T_PlannedOrders[Part Name],$A709,T_PlannedOrders[WeekIndex],90)=0,"",SUMIFS(T_PlannedOrders[EffectiveQty],T_PlannedOrders[Part Name],$A709,T_PlannedOrders[WeekIndex],90)&amp;" ("&amp;TEXT(SUMPRODUCT(MAX((T_PlannedOrders[Part Name]=$A709)*(T_PlannedOrders[WeekIndex]=90)*(T_PlannedOrders[EffectiveQty]&gt;0)*T_PlannedOrders[Order_Month])),"m月")&amp;"発注)")</f>
        <v/>
      </c>
      <c r="CP719">
        <f>IF(SUMIFS(T_PlannedOrders[EffectiveQty],T_PlannedOrders[Part Name],$A709,T_PlannedOrders[WeekIndex],91)=0,"",SUMIFS(T_PlannedOrders[EffectiveQty],T_PlannedOrders[Part Name],$A709,T_PlannedOrders[WeekIndex],91)&amp;" ("&amp;TEXT(SUMPRODUCT(MAX((T_PlannedOrders[Part Name]=$A709)*(T_PlannedOrders[WeekIndex]=91)*(T_PlannedOrders[EffectiveQty]&gt;0)*T_PlannedOrders[Order_Month])),"m月")&amp;"発注)")</f>
        <v/>
      </c>
      <c r="CQ719">
        <f>IF(SUMIFS(T_PlannedOrders[EffectiveQty],T_PlannedOrders[Part Name],$A709,T_PlannedOrders[WeekIndex],92)=0,"",SUMIFS(T_PlannedOrders[EffectiveQty],T_PlannedOrders[Part Name],$A709,T_PlannedOrders[WeekIndex],92)&amp;" ("&amp;TEXT(SUMPRODUCT(MAX((T_PlannedOrders[Part Name]=$A709)*(T_PlannedOrders[WeekIndex]=92)*(T_PlannedOrders[EffectiveQty]&gt;0)*T_PlannedOrders[Order_Month])),"m月")&amp;"発注)")</f>
        <v/>
      </c>
      <c r="CR719">
        <f>IF(SUMIFS(T_PlannedOrders[EffectiveQty],T_PlannedOrders[Part Name],$A709,T_PlannedOrders[WeekIndex],93)=0,"",SUMIFS(T_PlannedOrders[EffectiveQty],T_PlannedOrders[Part Name],$A709,T_PlannedOrders[WeekIndex],93)&amp;" ("&amp;TEXT(SUMPRODUCT(MAX((T_PlannedOrders[Part Name]=$A709)*(T_PlannedOrders[WeekIndex]=93)*(T_PlannedOrders[EffectiveQty]&gt;0)*T_PlannedOrders[Order_Month])),"m月")&amp;"発注)")</f>
        <v/>
      </c>
      <c r="CS719">
        <f>IF(SUMIFS(T_PlannedOrders[EffectiveQty],T_PlannedOrders[Part Name],$A709,T_PlannedOrders[WeekIndex],94)=0,"",SUMIFS(T_PlannedOrders[EffectiveQty],T_PlannedOrders[Part Name],$A709,T_PlannedOrders[WeekIndex],94)&amp;" ("&amp;TEXT(SUMPRODUCT(MAX((T_PlannedOrders[Part Name]=$A709)*(T_PlannedOrders[WeekIndex]=94)*(T_PlannedOrders[EffectiveQty]&gt;0)*T_PlannedOrders[Order_Month])),"m月")&amp;"発注)")</f>
        <v/>
      </c>
      <c r="CT719">
        <f>IF(SUMIFS(T_PlannedOrders[EffectiveQty],T_PlannedOrders[Part Name],$A709,T_PlannedOrders[WeekIndex],95)=0,"",SUMIFS(T_PlannedOrders[EffectiveQty],T_PlannedOrders[Part Name],$A709,T_PlannedOrders[WeekIndex],95)&amp;" ("&amp;TEXT(SUMPRODUCT(MAX((T_PlannedOrders[Part Name]=$A709)*(T_PlannedOrders[WeekIndex]=95)*(T_PlannedOrders[EffectiveQty]&gt;0)*T_PlannedOrders[Order_Month])),"m月")&amp;"発注)")</f>
        <v/>
      </c>
      <c r="CU719">
        <f>IF(SUMIFS(T_PlannedOrders[EffectiveQty],T_PlannedOrders[Part Name],$A709,T_PlannedOrders[WeekIndex],96)=0,"",SUMIFS(T_PlannedOrders[EffectiveQty],T_PlannedOrders[Part Name],$A709,T_PlannedOrders[WeekIndex],96)&amp;" ("&amp;TEXT(SUMPRODUCT(MAX((T_PlannedOrders[Part Name]=$A709)*(T_PlannedOrders[WeekIndex]=96)*(T_PlannedOrders[EffectiveQty]&gt;0)*T_PlannedOrders[Order_Month])),"m月")&amp;"発注)")</f>
        <v/>
      </c>
      <c r="CV719">
        <f>IF(SUMIFS(T_PlannedOrders[EffectiveQty],T_PlannedOrders[Part Name],$A709,T_PlannedOrders[WeekIndex],97)=0,"",SUMIFS(T_PlannedOrders[EffectiveQty],T_PlannedOrders[Part Name],$A709,T_PlannedOrders[WeekIndex],97)&amp;" ("&amp;TEXT(SUMPRODUCT(MAX((T_PlannedOrders[Part Name]=$A709)*(T_PlannedOrders[WeekIndex]=97)*(T_PlannedOrders[EffectiveQty]&gt;0)*T_PlannedOrders[Order_Month])),"m月")&amp;"発注)")</f>
        <v/>
      </c>
      <c r="CW719">
        <f>IF(SUMIFS(T_PlannedOrders[EffectiveQty],T_PlannedOrders[Part Name],$A709,T_PlannedOrders[WeekIndex],98)=0,"",SUMIFS(T_PlannedOrders[EffectiveQty],T_PlannedOrders[Part Name],$A709,T_PlannedOrders[WeekIndex],98)&amp;" ("&amp;TEXT(SUMPRODUCT(MAX((T_PlannedOrders[Part Name]=$A709)*(T_PlannedOrders[WeekIndex]=98)*(T_PlannedOrders[EffectiveQty]&gt;0)*T_PlannedOrders[Order_Month])),"m月")&amp;"発注)")</f>
        <v/>
      </c>
      <c r="CX719">
        <f>IF(SUMIFS(T_PlannedOrders[EffectiveQty],T_PlannedOrders[Part Name],$A709,T_PlannedOrders[WeekIndex],99)=0,"",SUMIFS(T_PlannedOrders[EffectiveQty],T_PlannedOrders[Part Name],$A709,T_PlannedOrders[WeekIndex],99)&amp;" ("&amp;TEXT(SUMPRODUCT(MAX((T_PlannedOrders[Part Name]=$A709)*(T_PlannedOrders[WeekIndex]=99)*(T_PlannedOrders[EffectiveQty]&gt;0)*T_PlannedOrders[Order_Month])),"m月")&amp;"発注)")</f>
        <v/>
      </c>
      <c r="CY719">
        <f>IF(SUMIFS(T_PlannedOrders[EffectiveQty],T_PlannedOrders[Part Name],$A709,T_PlannedOrders[WeekIndex],100)=0,"",SUMIFS(T_PlannedOrders[EffectiveQty],T_PlannedOrders[Part Name],$A709,T_PlannedOrders[WeekIndex],100)&amp;" ("&amp;TEXT(SUMPRODUCT(MAX((T_PlannedOrders[Part Name]=$A709)*(T_PlannedOrders[WeekIndex]=100)*(T_PlannedOrders[EffectiveQty]&gt;0)*T_PlannedOrders[Order_Month])),"m月")&amp;"発注)")</f>
        <v/>
      </c>
      <c r="CZ719">
        <f>IF(SUMIFS(T_PlannedOrders[EffectiveQty],T_PlannedOrders[Part Name],$A709,T_PlannedOrders[WeekIndex],101)=0,"",SUMIFS(T_PlannedOrders[EffectiveQty],T_PlannedOrders[Part Name],$A709,T_PlannedOrders[WeekIndex],101)&amp;" ("&amp;TEXT(SUMPRODUCT(MAX((T_PlannedOrders[Part Name]=$A709)*(T_PlannedOrders[WeekIndex]=101)*(T_PlannedOrders[EffectiveQty]&gt;0)*T_PlannedOrders[Order_Month])),"m月")&amp;"発注)")</f>
        <v/>
      </c>
      <c r="DA719">
        <f>IF(SUMIFS(T_PlannedOrders[EffectiveQty],T_PlannedOrders[Part Name],$A709,T_PlannedOrders[WeekIndex],102)=0,"",SUMIFS(T_PlannedOrders[EffectiveQty],T_PlannedOrders[Part Name],$A709,T_PlannedOrders[WeekIndex],102)&amp;" ("&amp;TEXT(SUMPRODUCT(MAX((T_PlannedOrders[Part Name]=$A709)*(T_PlannedOrders[WeekIndex]=102)*(T_PlannedOrders[EffectiveQty]&gt;0)*T_PlannedOrders[Order_Month])),"m月")&amp;"発注)")</f>
        <v/>
      </c>
      <c r="DB719">
        <f>IF(SUMIFS(T_PlannedOrders[EffectiveQty],T_PlannedOrders[Part Name],$A709,T_PlannedOrders[WeekIndex],103)=0,"",SUMIFS(T_PlannedOrders[EffectiveQty],T_PlannedOrders[Part Name],$A709,T_PlannedOrders[WeekIndex],103)&amp;" ("&amp;TEXT(SUMPRODUCT(MAX((T_PlannedOrders[Part Name]=$A709)*(T_PlannedOrders[WeekIndex]=103)*(T_PlannedOrders[EffectiveQty]&gt;0)*T_PlannedOrders[Order_Month])),"m月")&amp;"発注)")</f>
        <v/>
      </c>
      <c r="DC719">
        <f>IF(SUMIFS(T_PlannedOrders[EffectiveQty],T_PlannedOrders[Part Name],$A709,T_PlannedOrders[WeekIndex],104)=0,"",SUMIFS(T_PlannedOrders[EffectiveQty],T_PlannedOrders[Part Name],$A709,T_PlannedOrders[WeekIndex],104)&amp;" ("&amp;TEXT(SUMPRODUCT(MAX((T_PlannedOrders[Part Name]=$A709)*(T_PlannedOrders[WeekIndex]=104)*(T_PlannedOrders[EffectiveQty]&gt;0)*T_PlannedOrders[Order_Month])),"m月")&amp;"発注)")</f>
        <v/>
      </c>
    </row>
    <row r="720">
      <c r="B720" s="4" t="inlineStr">
        <is>
          <t>合計在庫(週末時点,kg)</t>
        </is>
      </c>
      <c r="D720">
        <f>'Grid_Stock'!B34</f>
        <v/>
      </c>
      <c r="E720">
        <f>'Grid_Stock'!C34</f>
        <v/>
      </c>
      <c r="F720">
        <f>'Grid_Stock'!D34</f>
        <v/>
      </c>
      <c r="G720">
        <f>'Grid_Stock'!E34</f>
        <v/>
      </c>
      <c r="H720">
        <f>'Grid_Stock'!F34</f>
        <v/>
      </c>
      <c r="I720">
        <f>'Grid_Stock'!G34</f>
        <v/>
      </c>
      <c r="J720">
        <f>'Grid_Stock'!H34</f>
        <v/>
      </c>
      <c r="K720">
        <f>'Grid_Stock'!I34</f>
        <v/>
      </c>
      <c r="L720">
        <f>'Grid_Stock'!J34</f>
        <v/>
      </c>
      <c r="M720">
        <f>'Grid_Stock'!K34</f>
        <v/>
      </c>
      <c r="N720">
        <f>'Grid_Stock'!L34</f>
        <v/>
      </c>
      <c r="O720">
        <f>'Grid_Stock'!M34</f>
        <v/>
      </c>
      <c r="P720">
        <f>'Grid_Stock'!N34</f>
        <v/>
      </c>
      <c r="Q720">
        <f>'Grid_Stock'!O34</f>
        <v/>
      </c>
      <c r="R720">
        <f>'Grid_Stock'!P34</f>
        <v/>
      </c>
      <c r="S720">
        <f>'Grid_Stock'!Q34</f>
        <v/>
      </c>
      <c r="T720">
        <f>'Grid_Stock'!R34</f>
        <v/>
      </c>
      <c r="U720">
        <f>'Grid_Stock'!S34</f>
        <v/>
      </c>
      <c r="V720">
        <f>'Grid_Stock'!T34</f>
        <v/>
      </c>
      <c r="W720">
        <f>'Grid_Stock'!U34</f>
        <v/>
      </c>
      <c r="X720">
        <f>'Grid_Stock'!V34</f>
        <v/>
      </c>
      <c r="Y720">
        <f>'Grid_Stock'!W34</f>
        <v/>
      </c>
      <c r="Z720">
        <f>'Grid_Stock'!X34</f>
        <v/>
      </c>
      <c r="AA720">
        <f>'Grid_Stock'!Y34</f>
        <v/>
      </c>
      <c r="AB720">
        <f>'Grid_Stock'!Z34</f>
        <v/>
      </c>
      <c r="AC720">
        <f>'Grid_Stock'!AA34</f>
        <v/>
      </c>
      <c r="AD720">
        <f>'Grid_Stock'!AB34</f>
        <v/>
      </c>
      <c r="AE720">
        <f>'Grid_Stock'!AC34</f>
        <v/>
      </c>
      <c r="AF720">
        <f>'Grid_Stock'!AD34</f>
        <v/>
      </c>
      <c r="AG720">
        <f>'Grid_Stock'!AE34</f>
        <v/>
      </c>
      <c r="AH720">
        <f>'Grid_Stock'!AF34</f>
        <v/>
      </c>
      <c r="AI720">
        <f>'Grid_Stock'!AG34</f>
        <v/>
      </c>
      <c r="AJ720">
        <f>'Grid_Stock'!AH34</f>
        <v/>
      </c>
      <c r="AK720">
        <f>'Grid_Stock'!AI34</f>
        <v/>
      </c>
      <c r="AL720">
        <f>'Grid_Stock'!AJ34</f>
        <v/>
      </c>
      <c r="AM720">
        <f>'Grid_Stock'!AK34</f>
        <v/>
      </c>
      <c r="AN720">
        <f>'Grid_Stock'!AL34</f>
        <v/>
      </c>
      <c r="AO720">
        <f>'Grid_Stock'!AM34</f>
        <v/>
      </c>
      <c r="AP720">
        <f>'Grid_Stock'!AN34</f>
        <v/>
      </c>
      <c r="AQ720">
        <f>'Grid_Stock'!AO34</f>
        <v/>
      </c>
      <c r="AR720">
        <f>'Grid_Stock'!AP34</f>
        <v/>
      </c>
      <c r="AS720">
        <f>'Grid_Stock'!AQ34</f>
        <v/>
      </c>
      <c r="AT720">
        <f>'Grid_Stock'!AR34</f>
        <v/>
      </c>
      <c r="AU720">
        <f>'Grid_Stock'!AS34</f>
        <v/>
      </c>
      <c r="AV720">
        <f>'Grid_Stock'!AT34</f>
        <v/>
      </c>
      <c r="AW720">
        <f>'Grid_Stock'!AU34</f>
        <v/>
      </c>
      <c r="AX720">
        <f>'Grid_Stock'!AV34</f>
        <v/>
      </c>
      <c r="AY720">
        <f>'Grid_Stock'!AW34</f>
        <v/>
      </c>
      <c r="AZ720">
        <f>'Grid_Stock'!AX34</f>
        <v/>
      </c>
      <c r="BA720">
        <f>'Grid_Stock'!AY34</f>
        <v/>
      </c>
      <c r="BB720">
        <f>'Grid_Stock'!AZ34</f>
        <v/>
      </c>
      <c r="BC720">
        <f>'Grid_Stock'!BA34</f>
        <v/>
      </c>
      <c r="BD720">
        <f>'Grid_Stock'!BB34</f>
        <v/>
      </c>
      <c r="BE720">
        <f>'Grid_Stock'!BC34</f>
        <v/>
      </c>
      <c r="BF720">
        <f>'Grid_Stock'!BD34</f>
        <v/>
      </c>
      <c r="BG720">
        <f>'Grid_Stock'!BE34</f>
        <v/>
      </c>
      <c r="BH720">
        <f>'Grid_Stock'!BF34</f>
        <v/>
      </c>
      <c r="BI720">
        <f>'Grid_Stock'!BG34</f>
        <v/>
      </c>
      <c r="BJ720">
        <f>'Grid_Stock'!BH34</f>
        <v/>
      </c>
      <c r="BK720">
        <f>'Grid_Stock'!BI34</f>
        <v/>
      </c>
      <c r="BL720">
        <f>'Grid_Stock'!BJ34</f>
        <v/>
      </c>
      <c r="BM720">
        <f>'Grid_Stock'!BK34</f>
        <v/>
      </c>
      <c r="BN720">
        <f>'Grid_Stock'!BL34</f>
        <v/>
      </c>
      <c r="BO720">
        <f>'Grid_Stock'!BM34</f>
        <v/>
      </c>
      <c r="BP720">
        <f>'Grid_Stock'!BN34</f>
        <v/>
      </c>
      <c r="BQ720">
        <f>'Grid_Stock'!BO34</f>
        <v/>
      </c>
      <c r="BR720">
        <f>'Grid_Stock'!BP34</f>
        <v/>
      </c>
      <c r="BS720">
        <f>'Grid_Stock'!BQ34</f>
        <v/>
      </c>
      <c r="BT720">
        <f>'Grid_Stock'!BR34</f>
        <v/>
      </c>
      <c r="BU720">
        <f>'Grid_Stock'!BS34</f>
        <v/>
      </c>
      <c r="BV720">
        <f>'Grid_Stock'!BT34</f>
        <v/>
      </c>
      <c r="BW720">
        <f>'Grid_Stock'!BU34</f>
        <v/>
      </c>
      <c r="BX720">
        <f>'Grid_Stock'!BV34</f>
        <v/>
      </c>
      <c r="BY720">
        <f>'Grid_Stock'!BW34</f>
        <v/>
      </c>
      <c r="BZ720">
        <f>'Grid_Stock'!BX34</f>
        <v/>
      </c>
      <c r="CA720">
        <f>'Grid_Stock'!BY34</f>
        <v/>
      </c>
      <c r="CB720">
        <f>'Grid_Stock'!BZ34</f>
        <v/>
      </c>
      <c r="CC720">
        <f>'Grid_Stock'!CA34</f>
        <v/>
      </c>
      <c r="CD720">
        <f>'Grid_Stock'!CB34</f>
        <v/>
      </c>
      <c r="CE720">
        <f>'Grid_Stock'!CC34</f>
        <v/>
      </c>
      <c r="CF720">
        <f>'Grid_Stock'!CD34</f>
        <v/>
      </c>
      <c r="CG720">
        <f>'Grid_Stock'!CE34</f>
        <v/>
      </c>
      <c r="CH720">
        <f>'Grid_Stock'!CF34</f>
        <v/>
      </c>
      <c r="CI720">
        <f>'Grid_Stock'!CG34</f>
        <v/>
      </c>
      <c r="CJ720">
        <f>'Grid_Stock'!CH34</f>
        <v/>
      </c>
      <c r="CK720">
        <f>'Grid_Stock'!CI34</f>
        <v/>
      </c>
      <c r="CL720">
        <f>'Grid_Stock'!CJ34</f>
        <v/>
      </c>
      <c r="CM720">
        <f>'Grid_Stock'!CK34</f>
        <v/>
      </c>
      <c r="CN720">
        <f>'Grid_Stock'!CL34</f>
        <v/>
      </c>
      <c r="CO720">
        <f>'Grid_Stock'!CM34</f>
        <v/>
      </c>
      <c r="CP720">
        <f>'Grid_Stock'!CN34</f>
        <v/>
      </c>
      <c r="CQ720">
        <f>'Grid_Stock'!CO34</f>
        <v/>
      </c>
      <c r="CR720">
        <f>'Grid_Stock'!CP34</f>
        <v/>
      </c>
      <c r="CS720">
        <f>'Grid_Stock'!CQ34</f>
        <v/>
      </c>
      <c r="CT720">
        <f>'Grid_Stock'!CR34</f>
        <v/>
      </c>
      <c r="CU720">
        <f>'Grid_Stock'!CS34</f>
        <v/>
      </c>
      <c r="CV720">
        <f>'Grid_Stock'!CT34</f>
        <v/>
      </c>
      <c r="CW720">
        <f>'Grid_Stock'!CU34</f>
        <v/>
      </c>
      <c r="CX720">
        <f>'Grid_Stock'!CV34</f>
        <v/>
      </c>
      <c r="CY720">
        <f>'Grid_Stock'!CW34</f>
        <v/>
      </c>
      <c r="CZ720">
        <f>'Grid_Stock'!CX34</f>
        <v/>
      </c>
      <c r="DA720">
        <f>'Grid_Stock'!CY34</f>
        <v/>
      </c>
      <c r="DB720">
        <f>'Grid_Stock'!CZ34</f>
        <v/>
      </c>
      <c r="DC720">
        <f>'Grid_Stock'!DA34</f>
        <v/>
      </c>
    </row>
    <row r="721">
      <c r="B721" s="16" t="inlineStr">
        <is>
          <t>（発注の目安はDashboardの基準在庫[下限/上限]と色分けを参照）</t>
        </is>
      </c>
    </row>
    <row r="723">
      <c r="A723" s="14" t="inlineStr">
        <is>
          <t>CHEM-1530</t>
        </is>
      </c>
      <c r="B723" s="14" t="inlineStr">
        <is>
          <t>JCK-97</t>
        </is>
      </c>
      <c r="C723" s="15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  <c r="AA723" s="14" t="n"/>
      <c r="AB723" s="14" t="n"/>
      <c r="AC723" s="14" t="n"/>
      <c r="AD723" s="14" t="n"/>
      <c r="AE723" s="14" t="n"/>
      <c r="AF723" s="14" t="n"/>
      <c r="AG723" s="14" t="n"/>
      <c r="AH723" s="14" t="n"/>
      <c r="AI723" s="14" t="n"/>
      <c r="AJ723" s="14" t="n"/>
      <c r="AK723" s="14" t="n"/>
      <c r="AL723" s="14" t="n"/>
      <c r="AM723" s="14" t="n"/>
      <c r="AN723" s="14" t="n"/>
      <c r="AO723" s="14" t="n"/>
      <c r="AP723" s="14" t="n"/>
      <c r="AQ723" s="14" t="n"/>
      <c r="AR723" s="14" t="n"/>
      <c r="AS723" s="14" t="n"/>
      <c r="AT723" s="14" t="n"/>
      <c r="AU723" s="14" t="n"/>
      <c r="AV723" s="14" t="n"/>
      <c r="AW723" s="14" t="n"/>
      <c r="AX723" s="14" t="n"/>
      <c r="AY723" s="14" t="n"/>
      <c r="AZ723" s="14" t="n"/>
      <c r="BA723" s="14" t="n"/>
      <c r="BB723" s="14" t="n"/>
      <c r="BC723" s="14" t="n"/>
      <c r="BD723" s="14" t="n"/>
      <c r="BE723" s="14" t="n"/>
      <c r="BF723" s="14" t="n"/>
      <c r="BG723" s="14" t="n"/>
      <c r="BH723" s="14" t="n"/>
      <c r="BI723" s="14" t="n"/>
      <c r="BJ723" s="14" t="n"/>
      <c r="BK723" s="14" t="n"/>
      <c r="BL723" s="14" t="n"/>
      <c r="BM723" s="14" t="n"/>
      <c r="BN723" s="14" t="n"/>
      <c r="BO723" s="14" t="n"/>
      <c r="BP723" s="14" t="n"/>
      <c r="BQ723" s="14" t="n"/>
      <c r="BR723" s="14" t="n"/>
      <c r="BS723" s="14" t="n"/>
      <c r="BT723" s="14" t="n"/>
      <c r="BU723" s="14" t="n"/>
      <c r="BV723" s="14" t="n"/>
      <c r="BW723" s="14" t="n"/>
      <c r="BX723" s="14" t="n"/>
      <c r="BY723" s="14" t="n"/>
      <c r="BZ723" s="14" t="n"/>
      <c r="CA723" s="14" t="n"/>
      <c r="CB723" s="14" t="n"/>
      <c r="CC723" s="14" t="n"/>
      <c r="CD723" s="14" t="n"/>
      <c r="CE723" s="14" t="n"/>
      <c r="CF723" s="14" t="n"/>
      <c r="CG723" s="14" t="n"/>
      <c r="CH723" s="14" t="n"/>
      <c r="CI723" s="14" t="n"/>
      <c r="CJ723" s="14" t="n"/>
      <c r="CK723" s="14" t="n"/>
      <c r="CL723" s="14" t="n"/>
      <c r="CM723" s="14" t="n"/>
      <c r="CN723" s="14" t="n"/>
      <c r="CO723" s="14" t="n"/>
      <c r="CP723" s="14" t="n"/>
      <c r="CQ723" s="14" t="n"/>
      <c r="CR723" s="14" t="n"/>
      <c r="CS723" s="14" t="n"/>
      <c r="CT723" s="14" t="n"/>
      <c r="CU723" s="14" t="n"/>
      <c r="CV723" s="14" t="n"/>
      <c r="CW723" s="14" t="n"/>
      <c r="CX723" s="14" t="n"/>
      <c r="CY723" s="14" t="n"/>
      <c r="CZ723" s="14" t="n"/>
      <c r="DA723" s="14" t="n"/>
      <c r="DB723" s="14" t="n"/>
      <c r="DC723" s="14" t="n"/>
    </row>
    <row r="724">
      <c r="B724" t="inlineStr">
        <is>
          <t>TSP-402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7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Name],$A723)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7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Name],$A723)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7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Name],$A723)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TSP-405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7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Name],$A723)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TSP-655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7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Name],$A723)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TSP-903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7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Name],$A723)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TSP-959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7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Name],$A723)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VSP-567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7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Name],$A723)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VSP-602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7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Name],$A723)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VSP-605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7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Name],$A723)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VSP-607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7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Name],$A723)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VSP-740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Name],$A723)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VSP-746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Name],$A723)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VSP-822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Name],$A723)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VSP-870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Name],$A723)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VSP-910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Name],$A723)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VSP-990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Name],$A723)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VSZ-745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Name],$A723)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TPP-650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Name],$A723)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No of times used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Name],$A723)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TSP-1499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Name],$A723)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s="4" t="inlineStr">
        <is>
          <t>合計使用量(kg)/週</t>
        </is>
      </c>
      <c r="D766">
        <f>'Grid_Requirement'!B6</f>
        <v/>
      </c>
      <c r="E766">
        <f>'Grid_Requirement'!C6</f>
        <v/>
      </c>
      <c r="F766">
        <f>'Grid_Requirement'!D6</f>
        <v/>
      </c>
      <c r="G766">
        <f>'Grid_Requirement'!E6</f>
        <v/>
      </c>
      <c r="H766">
        <f>'Grid_Requirement'!F6</f>
        <v/>
      </c>
      <c r="I766">
        <f>'Grid_Requirement'!G6</f>
        <v/>
      </c>
      <c r="J766">
        <f>'Grid_Requirement'!H6</f>
        <v/>
      </c>
      <c r="K766">
        <f>'Grid_Requirement'!I6</f>
        <v/>
      </c>
      <c r="L766">
        <f>'Grid_Requirement'!J6</f>
        <v/>
      </c>
      <c r="M766">
        <f>'Grid_Requirement'!K6</f>
        <v/>
      </c>
      <c r="N766">
        <f>'Grid_Requirement'!L6</f>
        <v/>
      </c>
      <c r="O766">
        <f>'Grid_Requirement'!M6</f>
        <v/>
      </c>
      <c r="P766">
        <f>'Grid_Requirement'!N6</f>
        <v/>
      </c>
      <c r="Q766">
        <f>'Grid_Requirement'!O6</f>
        <v/>
      </c>
      <c r="R766">
        <f>'Grid_Requirement'!P6</f>
        <v/>
      </c>
      <c r="S766">
        <f>'Grid_Requirement'!Q6</f>
        <v/>
      </c>
      <c r="T766">
        <f>'Grid_Requirement'!R6</f>
        <v/>
      </c>
      <c r="U766">
        <f>'Grid_Requirement'!S6</f>
        <v/>
      </c>
      <c r="V766">
        <f>'Grid_Requirement'!T6</f>
        <v/>
      </c>
      <c r="W766">
        <f>'Grid_Requirement'!U6</f>
        <v/>
      </c>
      <c r="X766">
        <f>'Grid_Requirement'!V6</f>
        <v/>
      </c>
      <c r="Y766">
        <f>'Grid_Requirement'!W6</f>
        <v/>
      </c>
      <c r="Z766">
        <f>'Grid_Requirement'!X6</f>
        <v/>
      </c>
      <c r="AA766">
        <f>'Grid_Requirement'!Y6</f>
        <v/>
      </c>
      <c r="AB766">
        <f>'Grid_Requirement'!Z6</f>
        <v/>
      </c>
      <c r="AC766">
        <f>'Grid_Requirement'!AA6</f>
        <v/>
      </c>
      <c r="AD766">
        <f>'Grid_Requirement'!AB6</f>
        <v/>
      </c>
      <c r="AE766">
        <f>'Grid_Requirement'!AC6</f>
        <v/>
      </c>
      <c r="AF766">
        <f>'Grid_Requirement'!AD6</f>
        <v/>
      </c>
      <c r="AG766">
        <f>'Grid_Requirement'!AE6</f>
        <v/>
      </c>
      <c r="AH766">
        <f>'Grid_Requirement'!AF6</f>
        <v/>
      </c>
      <c r="AI766">
        <f>'Grid_Requirement'!AG6</f>
        <v/>
      </c>
      <c r="AJ766">
        <f>'Grid_Requirement'!AH6</f>
        <v/>
      </c>
      <c r="AK766">
        <f>'Grid_Requirement'!AI6</f>
        <v/>
      </c>
      <c r="AL766">
        <f>'Grid_Requirement'!AJ6</f>
        <v/>
      </c>
      <c r="AM766">
        <f>'Grid_Requirement'!AK6</f>
        <v/>
      </c>
      <c r="AN766">
        <f>'Grid_Requirement'!AL6</f>
        <v/>
      </c>
      <c r="AO766">
        <f>'Grid_Requirement'!AM6</f>
        <v/>
      </c>
      <c r="AP766">
        <f>'Grid_Requirement'!AN6</f>
        <v/>
      </c>
      <c r="AQ766">
        <f>'Grid_Requirement'!AO6</f>
        <v/>
      </c>
      <c r="AR766">
        <f>'Grid_Requirement'!AP6</f>
        <v/>
      </c>
      <c r="AS766">
        <f>'Grid_Requirement'!AQ6</f>
        <v/>
      </c>
      <c r="AT766">
        <f>'Grid_Requirement'!AR6</f>
        <v/>
      </c>
      <c r="AU766">
        <f>'Grid_Requirement'!AS6</f>
        <v/>
      </c>
      <c r="AV766">
        <f>'Grid_Requirement'!AT6</f>
        <v/>
      </c>
      <c r="AW766">
        <f>'Grid_Requirement'!AU6</f>
        <v/>
      </c>
      <c r="AX766">
        <f>'Grid_Requirement'!AV6</f>
        <v/>
      </c>
      <c r="AY766">
        <f>'Grid_Requirement'!AW6</f>
        <v/>
      </c>
      <c r="AZ766">
        <f>'Grid_Requirement'!AX6</f>
        <v/>
      </c>
      <c r="BA766">
        <f>'Grid_Requirement'!AY6</f>
        <v/>
      </c>
      <c r="BB766">
        <f>'Grid_Requirement'!AZ6</f>
        <v/>
      </c>
      <c r="BC766">
        <f>'Grid_Requirement'!BA6</f>
        <v/>
      </c>
      <c r="BD766">
        <f>'Grid_Requirement'!BB6</f>
        <v/>
      </c>
      <c r="BE766">
        <f>'Grid_Requirement'!BC6</f>
        <v/>
      </c>
      <c r="BF766">
        <f>'Grid_Requirement'!BD6</f>
        <v/>
      </c>
      <c r="BG766">
        <f>'Grid_Requirement'!BE6</f>
        <v/>
      </c>
      <c r="BH766">
        <f>'Grid_Requirement'!BF6</f>
        <v/>
      </c>
      <c r="BI766">
        <f>'Grid_Requirement'!BG6</f>
        <v/>
      </c>
      <c r="BJ766">
        <f>'Grid_Requirement'!BH6</f>
        <v/>
      </c>
      <c r="BK766">
        <f>'Grid_Requirement'!BI6</f>
        <v/>
      </c>
      <c r="BL766">
        <f>'Grid_Requirement'!BJ6</f>
        <v/>
      </c>
      <c r="BM766">
        <f>'Grid_Requirement'!BK6</f>
        <v/>
      </c>
      <c r="BN766">
        <f>'Grid_Requirement'!BL6</f>
        <v/>
      </c>
      <c r="BO766">
        <f>'Grid_Requirement'!BM6</f>
        <v/>
      </c>
      <c r="BP766">
        <f>'Grid_Requirement'!BN6</f>
        <v/>
      </c>
      <c r="BQ766">
        <f>'Grid_Requirement'!BO6</f>
        <v/>
      </c>
      <c r="BR766">
        <f>'Grid_Requirement'!BP6</f>
        <v/>
      </c>
      <c r="BS766">
        <f>'Grid_Requirement'!BQ6</f>
        <v/>
      </c>
      <c r="BT766">
        <f>'Grid_Requirement'!BR6</f>
        <v/>
      </c>
      <c r="BU766">
        <f>'Grid_Requirement'!BS6</f>
        <v/>
      </c>
      <c r="BV766">
        <f>'Grid_Requirement'!BT6</f>
        <v/>
      </c>
      <c r="BW766">
        <f>'Grid_Requirement'!BU6</f>
        <v/>
      </c>
      <c r="BX766">
        <f>'Grid_Requirement'!BV6</f>
        <v/>
      </c>
      <c r="BY766">
        <f>'Grid_Requirement'!BW6</f>
        <v/>
      </c>
      <c r="BZ766">
        <f>'Grid_Requirement'!BX6</f>
        <v/>
      </c>
      <c r="CA766">
        <f>'Grid_Requirement'!BY6</f>
        <v/>
      </c>
      <c r="CB766">
        <f>'Grid_Requirement'!BZ6</f>
        <v/>
      </c>
      <c r="CC766">
        <f>'Grid_Requirement'!CA6</f>
        <v/>
      </c>
      <c r="CD766">
        <f>'Grid_Requirement'!CB6</f>
        <v/>
      </c>
      <c r="CE766">
        <f>'Grid_Requirement'!CC6</f>
        <v/>
      </c>
      <c r="CF766">
        <f>'Grid_Requirement'!CD6</f>
        <v/>
      </c>
      <c r="CG766">
        <f>'Grid_Requirement'!CE6</f>
        <v/>
      </c>
      <c r="CH766">
        <f>'Grid_Requirement'!CF6</f>
        <v/>
      </c>
      <c r="CI766">
        <f>'Grid_Requirement'!CG6</f>
        <v/>
      </c>
      <c r="CJ766">
        <f>'Grid_Requirement'!CH6</f>
        <v/>
      </c>
      <c r="CK766">
        <f>'Grid_Requirement'!CI6</f>
        <v/>
      </c>
      <c r="CL766">
        <f>'Grid_Requirement'!CJ6</f>
        <v/>
      </c>
      <c r="CM766">
        <f>'Grid_Requirement'!CK6</f>
        <v/>
      </c>
      <c r="CN766">
        <f>'Grid_Requirement'!CL6</f>
        <v/>
      </c>
      <c r="CO766">
        <f>'Grid_Requirement'!CM6</f>
        <v/>
      </c>
      <c r="CP766">
        <f>'Grid_Requirement'!CN6</f>
        <v/>
      </c>
      <c r="CQ766">
        <f>'Grid_Requirement'!CO6</f>
        <v/>
      </c>
      <c r="CR766">
        <f>'Grid_Requirement'!CP6</f>
        <v/>
      </c>
      <c r="CS766">
        <f>'Grid_Requirement'!CQ6</f>
        <v/>
      </c>
      <c r="CT766">
        <f>'Grid_Requirement'!CR6</f>
        <v/>
      </c>
      <c r="CU766">
        <f>'Grid_Requirement'!CS6</f>
        <v/>
      </c>
      <c r="CV766">
        <f>'Grid_Requirement'!CT6</f>
        <v/>
      </c>
      <c r="CW766">
        <f>'Grid_Requirement'!CU6</f>
        <v/>
      </c>
      <c r="CX766">
        <f>'Grid_Requirement'!CV6</f>
        <v/>
      </c>
      <c r="CY766">
        <f>'Grid_Requirement'!CW6</f>
        <v/>
      </c>
      <c r="CZ766">
        <f>'Grid_Requirement'!CX6</f>
        <v/>
      </c>
      <c r="DA766">
        <f>'Grid_Requirement'!CY6</f>
        <v/>
      </c>
      <c r="DB766">
        <f>'Grid_Requirement'!CZ6</f>
        <v/>
      </c>
      <c r="DC766">
        <f>'Grid_Requirement'!DA6</f>
        <v/>
      </c>
    </row>
    <row r="767">
      <c r="B767" t="inlineStr">
        <is>
          <t>TTAF在庫(実績,kg)</t>
        </is>
      </c>
      <c r="D767">
        <f>'T_TTAFStock'!B10</f>
        <v/>
      </c>
      <c r="E767">
        <f>'T_TTAFStock'!C10</f>
        <v/>
      </c>
      <c r="F767">
        <f>'T_TTAFStock'!D10</f>
        <v/>
      </c>
      <c r="G767">
        <f>'T_TTAFStock'!E10</f>
        <v/>
      </c>
      <c r="H767">
        <f>'T_TTAFStock'!F10</f>
        <v/>
      </c>
      <c r="I767">
        <f>'T_TTAFStock'!G10</f>
        <v/>
      </c>
      <c r="J767">
        <f>'T_TTAFStock'!H10</f>
        <v/>
      </c>
      <c r="K767">
        <f>'T_TTAFStock'!I10</f>
        <v/>
      </c>
      <c r="L767">
        <f>'T_TTAFStock'!J10</f>
        <v/>
      </c>
      <c r="M767">
        <f>'T_TTAFStock'!K10</f>
        <v/>
      </c>
      <c r="N767">
        <f>'T_TTAFStock'!L10</f>
        <v/>
      </c>
      <c r="O767">
        <f>'T_TTAFStock'!M10</f>
        <v/>
      </c>
      <c r="P767">
        <f>'T_TTAFStock'!N10</f>
        <v/>
      </c>
      <c r="Q767">
        <f>'T_TTAFStock'!O10</f>
        <v/>
      </c>
      <c r="R767">
        <f>'T_TTAFStock'!P10</f>
        <v/>
      </c>
      <c r="S767">
        <f>'T_TTAFStock'!Q10</f>
        <v/>
      </c>
      <c r="T767">
        <f>'T_TTAFStock'!R10</f>
        <v/>
      </c>
      <c r="U767">
        <f>'T_TTAFStock'!S10</f>
        <v/>
      </c>
      <c r="V767">
        <f>'T_TTAFStock'!T10</f>
        <v/>
      </c>
      <c r="W767">
        <f>'T_TTAFStock'!U10</f>
        <v/>
      </c>
      <c r="X767">
        <f>'T_TTAFStock'!V10</f>
        <v/>
      </c>
      <c r="Y767">
        <f>'T_TTAFStock'!W10</f>
        <v/>
      </c>
      <c r="Z767">
        <f>'T_TTAFStock'!X10</f>
        <v/>
      </c>
      <c r="AA767">
        <f>'T_TTAFStock'!Y10</f>
        <v/>
      </c>
      <c r="AB767">
        <f>'T_TTAFStock'!Z10</f>
        <v/>
      </c>
      <c r="AC767">
        <f>'T_TTAFStock'!AA10</f>
        <v/>
      </c>
      <c r="AD767">
        <f>'T_TTAFStock'!AB10</f>
        <v/>
      </c>
      <c r="AE767">
        <f>'T_TTAFStock'!AC10</f>
        <v/>
      </c>
      <c r="AF767">
        <f>'T_TTAFStock'!AD10</f>
        <v/>
      </c>
      <c r="AG767">
        <f>'T_TTAFStock'!AE10</f>
        <v/>
      </c>
      <c r="AH767">
        <f>'T_TTAFStock'!AF10</f>
        <v/>
      </c>
      <c r="AI767">
        <f>'T_TTAFStock'!AG10</f>
        <v/>
      </c>
      <c r="AJ767">
        <f>'T_TTAFStock'!AH10</f>
        <v/>
      </c>
      <c r="AK767">
        <f>'T_TTAFStock'!AI10</f>
        <v/>
      </c>
      <c r="AL767">
        <f>'T_TTAFStock'!AJ10</f>
        <v/>
      </c>
      <c r="AM767">
        <f>'T_TTAFStock'!AK10</f>
        <v/>
      </c>
      <c r="AN767">
        <f>'T_TTAFStock'!AL10</f>
        <v/>
      </c>
      <c r="AO767">
        <f>'T_TTAFStock'!AM10</f>
        <v/>
      </c>
      <c r="AP767">
        <f>'T_TTAFStock'!AN10</f>
        <v/>
      </c>
      <c r="AQ767">
        <f>'T_TTAFStock'!AO10</f>
        <v/>
      </c>
      <c r="AR767">
        <f>'T_TTAFStock'!AP10</f>
        <v/>
      </c>
      <c r="AS767">
        <f>'T_TTAFStock'!AQ10</f>
        <v/>
      </c>
      <c r="AT767">
        <f>'T_TTAFStock'!AR10</f>
        <v/>
      </c>
      <c r="AU767">
        <f>'T_TTAFStock'!AS10</f>
        <v/>
      </c>
      <c r="AV767">
        <f>'T_TTAFStock'!AT10</f>
        <v/>
      </c>
      <c r="AW767">
        <f>'T_TTAFStock'!AU10</f>
        <v/>
      </c>
      <c r="AX767">
        <f>'T_TTAFStock'!AV10</f>
        <v/>
      </c>
      <c r="AY767">
        <f>'T_TTAFStock'!AW10</f>
        <v/>
      </c>
      <c r="AZ767">
        <f>'T_TTAFStock'!AX10</f>
        <v/>
      </c>
      <c r="BA767">
        <f>'T_TTAFStock'!AY10</f>
        <v/>
      </c>
      <c r="BB767">
        <f>'T_TTAFStock'!AZ10</f>
        <v/>
      </c>
      <c r="BC767">
        <f>'T_TTAFStock'!BA10</f>
        <v/>
      </c>
      <c r="BD767">
        <f>'T_TTAFStock'!BB10</f>
        <v/>
      </c>
      <c r="BE767">
        <f>'T_TTAFStock'!BC10</f>
        <v/>
      </c>
      <c r="BF767">
        <f>'T_TTAFStock'!BD10</f>
        <v/>
      </c>
      <c r="BG767">
        <f>'T_TTAFStock'!BE10</f>
        <v/>
      </c>
      <c r="BH767">
        <f>'T_TTAFStock'!BF10</f>
        <v/>
      </c>
      <c r="BI767">
        <f>'T_TTAFStock'!BG10</f>
        <v/>
      </c>
      <c r="BJ767">
        <f>'T_TTAFStock'!BH10</f>
        <v/>
      </c>
      <c r="BK767">
        <f>'T_TTAFStock'!BI10</f>
        <v/>
      </c>
      <c r="BL767">
        <f>'T_TTAFStock'!BJ10</f>
        <v/>
      </c>
      <c r="BM767">
        <f>'T_TTAFStock'!BK10</f>
        <v/>
      </c>
      <c r="BN767">
        <f>'T_TTAFStock'!BL10</f>
        <v/>
      </c>
      <c r="BO767">
        <f>'T_TTAFStock'!BM10</f>
        <v/>
      </c>
      <c r="BP767">
        <f>'T_TTAFStock'!BN10</f>
        <v/>
      </c>
      <c r="BQ767">
        <f>'T_TTAFStock'!BO10</f>
        <v/>
      </c>
      <c r="BR767">
        <f>'T_TTAFStock'!BP10</f>
        <v/>
      </c>
      <c r="BS767">
        <f>'T_TTAFStock'!BQ10</f>
        <v/>
      </c>
      <c r="BT767">
        <f>'T_TTAFStock'!BR10</f>
        <v/>
      </c>
      <c r="BU767">
        <f>'T_TTAFStock'!BS10</f>
        <v/>
      </c>
      <c r="BV767">
        <f>'T_TTAFStock'!BT10</f>
        <v/>
      </c>
      <c r="BW767">
        <f>'T_TTAFStock'!BU10</f>
        <v/>
      </c>
      <c r="BX767">
        <f>'T_TTAFStock'!BV10</f>
        <v/>
      </c>
      <c r="BY767">
        <f>'T_TTAFStock'!BW10</f>
        <v/>
      </c>
      <c r="BZ767">
        <f>'T_TTAFStock'!BX10</f>
        <v/>
      </c>
      <c r="CA767">
        <f>'T_TTAFStock'!BY10</f>
        <v/>
      </c>
      <c r="CB767">
        <f>'T_TTAFStock'!BZ10</f>
        <v/>
      </c>
      <c r="CC767">
        <f>'T_TTAFStock'!CA10</f>
        <v/>
      </c>
      <c r="CD767">
        <f>'T_TTAFStock'!CB10</f>
        <v/>
      </c>
      <c r="CE767">
        <f>'T_TTAFStock'!CC10</f>
        <v/>
      </c>
      <c r="CF767">
        <f>'T_TTAFStock'!CD10</f>
        <v/>
      </c>
      <c r="CG767">
        <f>'T_TTAFStock'!CE10</f>
        <v/>
      </c>
      <c r="CH767">
        <f>'T_TTAFStock'!CF10</f>
        <v/>
      </c>
      <c r="CI767">
        <f>'T_TTAFStock'!CG10</f>
        <v/>
      </c>
      <c r="CJ767">
        <f>'T_TTAFStock'!CH10</f>
        <v/>
      </c>
      <c r="CK767">
        <f>'T_TTAFStock'!CI10</f>
        <v/>
      </c>
      <c r="CL767">
        <f>'T_TTAFStock'!CJ10</f>
        <v/>
      </c>
      <c r="CM767">
        <f>'T_TTAFStock'!CK10</f>
        <v/>
      </c>
      <c r="CN767">
        <f>'T_TTAFStock'!CL10</f>
        <v/>
      </c>
      <c r="CO767">
        <f>'T_TTAFStock'!CM10</f>
        <v/>
      </c>
      <c r="CP767">
        <f>'T_TTAFStock'!CN10</f>
        <v/>
      </c>
      <c r="CQ767">
        <f>'T_TTAFStock'!CO10</f>
        <v/>
      </c>
      <c r="CR767">
        <f>'T_TTAFStock'!CP10</f>
        <v/>
      </c>
      <c r="CS767">
        <f>'T_TTAFStock'!CQ10</f>
        <v/>
      </c>
      <c r="CT767">
        <f>'T_TTAFStock'!CR10</f>
        <v/>
      </c>
      <c r="CU767">
        <f>'T_TTAFStock'!CS10</f>
        <v/>
      </c>
      <c r="CV767">
        <f>'T_TTAFStock'!CT10</f>
        <v/>
      </c>
      <c r="CW767">
        <f>'T_TTAFStock'!CU10</f>
        <v/>
      </c>
      <c r="CX767">
        <f>'T_TTAFStock'!CV10</f>
        <v/>
      </c>
      <c r="CY767">
        <f>'T_TTAFStock'!CW10</f>
        <v/>
      </c>
      <c r="CZ767">
        <f>'T_TTAFStock'!CX10</f>
        <v/>
      </c>
      <c r="DA767">
        <f>'T_TTAFStock'!CY10</f>
        <v/>
      </c>
      <c r="DB767">
        <f>'T_TTAFStock'!CZ10</f>
        <v/>
      </c>
      <c r="DC767">
        <f>'T_TTAFStock'!DA10</f>
        <v/>
      </c>
    </row>
    <row r="768">
      <c r="B768" t="inlineStr">
        <is>
          <t>自社在庫(実績,kg)</t>
        </is>
      </c>
      <c r="D768">
        <f>'T_SelfStock'!B10</f>
        <v/>
      </c>
      <c r="E768">
        <f>'T_SelfStock'!C10</f>
        <v/>
      </c>
      <c r="F768">
        <f>'T_SelfStock'!D10</f>
        <v/>
      </c>
      <c r="G768">
        <f>'T_SelfStock'!E10</f>
        <v/>
      </c>
      <c r="H768">
        <f>'T_SelfStock'!F10</f>
        <v/>
      </c>
      <c r="I768">
        <f>'T_SelfStock'!G10</f>
        <v/>
      </c>
      <c r="J768">
        <f>'T_SelfStock'!H10</f>
        <v/>
      </c>
      <c r="K768">
        <f>'T_SelfStock'!I10</f>
        <v/>
      </c>
      <c r="L768">
        <f>'T_SelfStock'!J10</f>
        <v/>
      </c>
      <c r="M768">
        <f>'T_SelfStock'!K10</f>
        <v/>
      </c>
      <c r="N768">
        <f>'T_SelfStock'!L10</f>
        <v/>
      </c>
      <c r="O768">
        <f>'T_SelfStock'!M10</f>
        <v/>
      </c>
      <c r="P768">
        <f>'T_SelfStock'!N10</f>
        <v/>
      </c>
      <c r="Q768">
        <f>'T_SelfStock'!O10</f>
        <v/>
      </c>
      <c r="R768">
        <f>'T_SelfStock'!P10</f>
        <v/>
      </c>
      <c r="S768">
        <f>'T_SelfStock'!Q10</f>
        <v/>
      </c>
      <c r="T768">
        <f>'T_SelfStock'!R10</f>
        <v/>
      </c>
      <c r="U768">
        <f>'T_SelfStock'!S10</f>
        <v/>
      </c>
      <c r="V768">
        <f>'T_SelfStock'!T10</f>
        <v/>
      </c>
      <c r="W768">
        <f>'T_SelfStock'!U10</f>
        <v/>
      </c>
      <c r="X768">
        <f>'T_SelfStock'!V10</f>
        <v/>
      </c>
      <c r="Y768">
        <f>'T_SelfStock'!W10</f>
        <v/>
      </c>
      <c r="Z768">
        <f>'T_SelfStock'!X10</f>
        <v/>
      </c>
      <c r="AA768">
        <f>'T_SelfStock'!Y10</f>
        <v/>
      </c>
      <c r="AB768">
        <f>'T_SelfStock'!Z10</f>
        <v/>
      </c>
      <c r="AC768">
        <f>'T_SelfStock'!AA10</f>
        <v/>
      </c>
      <c r="AD768">
        <f>'T_SelfStock'!AB10</f>
        <v/>
      </c>
      <c r="AE768">
        <f>'T_SelfStock'!AC10</f>
        <v/>
      </c>
      <c r="AF768">
        <f>'T_SelfStock'!AD10</f>
        <v/>
      </c>
      <c r="AG768">
        <f>'T_SelfStock'!AE10</f>
        <v/>
      </c>
      <c r="AH768">
        <f>'T_SelfStock'!AF10</f>
        <v/>
      </c>
      <c r="AI768">
        <f>'T_SelfStock'!AG10</f>
        <v/>
      </c>
      <c r="AJ768">
        <f>'T_SelfStock'!AH10</f>
        <v/>
      </c>
      <c r="AK768">
        <f>'T_SelfStock'!AI10</f>
        <v/>
      </c>
      <c r="AL768">
        <f>'T_SelfStock'!AJ10</f>
        <v/>
      </c>
      <c r="AM768">
        <f>'T_SelfStock'!AK10</f>
        <v/>
      </c>
      <c r="AN768">
        <f>'T_SelfStock'!AL10</f>
        <v/>
      </c>
      <c r="AO768">
        <f>'T_SelfStock'!AM10</f>
        <v/>
      </c>
      <c r="AP768">
        <f>'T_SelfStock'!AN10</f>
        <v/>
      </c>
      <c r="AQ768">
        <f>'T_SelfStock'!AO10</f>
        <v/>
      </c>
      <c r="AR768">
        <f>'T_SelfStock'!AP10</f>
        <v/>
      </c>
      <c r="AS768">
        <f>'T_SelfStock'!AQ10</f>
        <v/>
      </c>
      <c r="AT768">
        <f>'T_SelfStock'!AR10</f>
        <v/>
      </c>
      <c r="AU768">
        <f>'T_SelfStock'!AS10</f>
        <v/>
      </c>
      <c r="AV768">
        <f>'T_SelfStock'!AT10</f>
        <v/>
      </c>
      <c r="AW768">
        <f>'T_SelfStock'!AU10</f>
        <v/>
      </c>
      <c r="AX768">
        <f>'T_SelfStock'!AV10</f>
        <v/>
      </c>
      <c r="AY768">
        <f>'T_SelfStock'!AW10</f>
        <v/>
      </c>
      <c r="AZ768">
        <f>'T_SelfStock'!AX10</f>
        <v/>
      </c>
      <c r="BA768">
        <f>'T_SelfStock'!AY10</f>
        <v/>
      </c>
      <c r="BB768">
        <f>'T_SelfStock'!AZ10</f>
        <v/>
      </c>
      <c r="BC768">
        <f>'T_SelfStock'!BA10</f>
        <v/>
      </c>
      <c r="BD768">
        <f>'T_SelfStock'!BB10</f>
        <v/>
      </c>
      <c r="BE768">
        <f>'T_SelfStock'!BC10</f>
        <v/>
      </c>
      <c r="BF768">
        <f>'T_SelfStock'!BD10</f>
        <v/>
      </c>
      <c r="BG768">
        <f>'T_SelfStock'!BE10</f>
        <v/>
      </c>
      <c r="BH768">
        <f>'T_SelfStock'!BF10</f>
        <v/>
      </c>
      <c r="BI768">
        <f>'T_SelfStock'!BG10</f>
        <v/>
      </c>
      <c r="BJ768">
        <f>'T_SelfStock'!BH10</f>
        <v/>
      </c>
      <c r="BK768">
        <f>'T_SelfStock'!BI10</f>
        <v/>
      </c>
      <c r="BL768">
        <f>'T_SelfStock'!BJ10</f>
        <v/>
      </c>
      <c r="BM768">
        <f>'T_SelfStock'!BK10</f>
        <v/>
      </c>
      <c r="BN768">
        <f>'T_SelfStock'!BL10</f>
        <v/>
      </c>
      <c r="BO768">
        <f>'T_SelfStock'!BM10</f>
        <v/>
      </c>
      <c r="BP768">
        <f>'T_SelfStock'!BN10</f>
        <v/>
      </c>
      <c r="BQ768">
        <f>'T_SelfStock'!BO10</f>
        <v/>
      </c>
      <c r="BR768">
        <f>'T_SelfStock'!BP10</f>
        <v/>
      </c>
      <c r="BS768">
        <f>'T_SelfStock'!BQ10</f>
        <v/>
      </c>
      <c r="BT768">
        <f>'T_SelfStock'!BR10</f>
        <v/>
      </c>
      <c r="BU768">
        <f>'T_SelfStock'!BS10</f>
        <v/>
      </c>
      <c r="BV768">
        <f>'T_SelfStock'!BT10</f>
        <v/>
      </c>
      <c r="BW768">
        <f>'T_SelfStock'!BU10</f>
        <v/>
      </c>
      <c r="BX768">
        <f>'T_SelfStock'!BV10</f>
        <v/>
      </c>
      <c r="BY768">
        <f>'T_SelfStock'!BW10</f>
        <v/>
      </c>
      <c r="BZ768">
        <f>'T_SelfStock'!BX10</f>
        <v/>
      </c>
      <c r="CA768">
        <f>'T_SelfStock'!BY10</f>
        <v/>
      </c>
      <c r="CB768">
        <f>'T_SelfStock'!BZ10</f>
        <v/>
      </c>
      <c r="CC768">
        <f>'T_SelfStock'!CA10</f>
        <v/>
      </c>
      <c r="CD768">
        <f>'T_SelfStock'!CB10</f>
        <v/>
      </c>
      <c r="CE768">
        <f>'T_SelfStock'!CC10</f>
        <v/>
      </c>
      <c r="CF768">
        <f>'T_SelfStock'!CD10</f>
        <v/>
      </c>
      <c r="CG768">
        <f>'T_SelfStock'!CE10</f>
        <v/>
      </c>
      <c r="CH768">
        <f>'T_SelfStock'!CF10</f>
        <v/>
      </c>
      <c r="CI768">
        <f>'T_SelfStock'!CG10</f>
        <v/>
      </c>
      <c r="CJ768">
        <f>'T_SelfStock'!CH10</f>
        <v/>
      </c>
      <c r="CK768">
        <f>'T_SelfStock'!CI10</f>
        <v/>
      </c>
      <c r="CL768">
        <f>'T_SelfStock'!CJ10</f>
        <v/>
      </c>
      <c r="CM768">
        <f>'T_SelfStock'!CK10</f>
        <v/>
      </c>
      <c r="CN768">
        <f>'T_SelfStock'!CL10</f>
        <v/>
      </c>
      <c r="CO768">
        <f>'T_SelfStock'!CM10</f>
        <v/>
      </c>
      <c r="CP768">
        <f>'T_SelfStock'!CN10</f>
        <v/>
      </c>
      <c r="CQ768">
        <f>'T_SelfStock'!CO10</f>
        <v/>
      </c>
      <c r="CR768">
        <f>'T_SelfStock'!CP10</f>
        <v/>
      </c>
      <c r="CS768">
        <f>'T_SelfStock'!CQ10</f>
        <v/>
      </c>
      <c r="CT768">
        <f>'T_SelfStock'!CR10</f>
        <v/>
      </c>
      <c r="CU768">
        <f>'T_SelfStock'!CS10</f>
        <v/>
      </c>
      <c r="CV768">
        <f>'T_SelfStock'!CT10</f>
        <v/>
      </c>
      <c r="CW768">
        <f>'T_SelfStock'!CU10</f>
        <v/>
      </c>
      <c r="CX768">
        <f>'T_SelfStock'!CV10</f>
        <v/>
      </c>
      <c r="CY768">
        <f>'T_SelfStock'!CW10</f>
        <v/>
      </c>
      <c r="CZ768">
        <f>'T_SelfStock'!CX10</f>
        <v/>
      </c>
      <c r="DA768">
        <f>'T_SelfStock'!CY10</f>
        <v/>
      </c>
      <c r="DB768">
        <f>'T_SelfStock'!CZ10</f>
        <v/>
      </c>
      <c r="DC768">
        <f>'T_SelfStock'!DA10</f>
        <v/>
      </c>
    </row>
    <row r="769">
      <c r="B769" t="inlineStr">
        <is>
          <t>Order(発注予定,kg)</t>
        </is>
      </c>
      <c r="D769">
        <f>IF(SUMIFS(T_PlannedOrders[EffectiveQty],T_PlannedOrders[Part Name],$A723,T_PlannedOrders[WeekIndex],1)=0,"",SUMIFS(T_PlannedOrders[EffectiveQty],T_PlannedOrders[Part Name],$A723,T_PlannedOrders[WeekIndex],1)&amp;" ("&amp;TEXT(SUMPRODUCT(MAX((T_PlannedOrders[Part Name]=$A723)*(T_PlannedOrders[WeekIndex]=1)*(T_PlannedOrders[EffectiveQty]&gt;0)*T_PlannedOrders[Order_Month])),"m月")&amp;"発注)")</f>
        <v/>
      </c>
      <c r="E769">
        <f>IF(SUMIFS(T_PlannedOrders[EffectiveQty],T_PlannedOrders[Part Name],$A723,T_PlannedOrders[WeekIndex],2)=0,"",SUMIFS(T_PlannedOrders[EffectiveQty],T_PlannedOrders[Part Name],$A723,T_PlannedOrders[WeekIndex],2)&amp;" ("&amp;TEXT(SUMPRODUCT(MAX((T_PlannedOrders[Part Name]=$A723)*(T_PlannedOrders[WeekIndex]=2)*(T_PlannedOrders[EffectiveQty]&gt;0)*T_PlannedOrders[Order_Month])),"m月")&amp;"発注)")</f>
        <v/>
      </c>
      <c r="F769">
        <f>IF(SUMIFS(T_PlannedOrders[EffectiveQty],T_PlannedOrders[Part Name],$A723,T_PlannedOrders[WeekIndex],3)=0,"",SUMIFS(T_PlannedOrders[EffectiveQty],T_PlannedOrders[Part Name],$A723,T_PlannedOrders[WeekIndex],3)&amp;" ("&amp;TEXT(SUMPRODUCT(MAX((T_PlannedOrders[Part Name]=$A723)*(T_PlannedOrders[WeekIndex]=3)*(T_PlannedOrders[EffectiveQty]&gt;0)*T_PlannedOrders[Order_Month])),"m月")&amp;"発注)")</f>
        <v/>
      </c>
      <c r="G769">
        <f>IF(SUMIFS(T_PlannedOrders[EffectiveQty],T_PlannedOrders[Part Name],$A723,T_PlannedOrders[WeekIndex],4)=0,"",SUMIFS(T_PlannedOrders[EffectiveQty],T_PlannedOrders[Part Name],$A723,T_PlannedOrders[WeekIndex],4)&amp;" ("&amp;TEXT(SUMPRODUCT(MAX((T_PlannedOrders[Part Name]=$A723)*(T_PlannedOrders[WeekIndex]=4)*(T_PlannedOrders[EffectiveQty]&gt;0)*T_PlannedOrders[Order_Month])),"m月")&amp;"発注)")</f>
        <v/>
      </c>
      <c r="H769">
        <f>IF(SUMIFS(T_PlannedOrders[EffectiveQty],T_PlannedOrders[Part Name],$A723,T_PlannedOrders[WeekIndex],5)=0,"",SUMIFS(T_PlannedOrders[EffectiveQty],T_PlannedOrders[Part Name],$A723,T_PlannedOrders[WeekIndex],5)&amp;" ("&amp;TEXT(SUMPRODUCT(MAX((T_PlannedOrders[Part Name]=$A723)*(T_PlannedOrders[WeekIndex]=5)*(T_PlannedOrders[EffectiveQty]&gt;0)*T_PlannedOrders[Order_Month])),"m月")&amp;"発注)")</f>
        <v/>
      </c>
      <c r="I769">
        <f>IF(SUMIFS(T_PlannedOrders[EffectiveQty],T_PlannedOrders[Part Name],$A723,T_PlannedOrders[WeekIndex],6)=0,"",SUMIFS(T_PlannedOrders[EffectiveQty],T_PlannedOrders[Part Name],$A723,T_PlannedOrders[WeekIndex],6)&amp;" ("&amp;TEXT(SUMPRODUCT(MAX((T_PlannedOrders[Part Name]=$A723)*(T_PlannedOrders[WeekIndex]=6)*(T_PlannedOrders[EffectiveQty]&gt;0)*T_PlannedOrders[Order_Month])),"m月")&amp;"発注)")</f>
        <v/>
      </c>
      <c r="J769">
        <f>IF(SUMIFS(T_PlannedOrders[EffectiveQty],T_PlannedOrders[Part Name],$A723,T_PlannedOrders[WeekIndex],7)=0,"",SUMIFS(T_PlannedOrders[EffectiveQty],T_PlannedOrders[Part Name],$A723,T_PlannedOrders[WeekIndex],7)&amp;" ("&amp;TEXT(SUMPRODUCT(MAX((T_PlannedOrders[Part Name]=$A723)*(T_PlannedOrders[WeekIndex]=7)*(T_PlannedOrders[EffectiveQty]&gt;0)*T_PlannedOrders[Order_Month])),"m月")&amp;"発注)")</f>
        <v/>
      </c>
      <c r="K769">
        <f>IF(SUMIFS(T_PlannedOrders[EffectiveQty],T_PlannedOrders[Part Name],$A723,T_PlannedOrders[WeekIndex],8)=0,"",SUMIFS(T_PlannedOrders[EffectiveQty],T_PlannedOrders[Part Name],$A723,T_PlannedOrders[WeekIndex],8)&amp;" ("&amp;TEXT(SUMPRODUCT(MAX((T_PlannedOrders[Part Name]=$A723)*(T_PlannedOrders[WeekIndex]=8)*(T_PlannedOrders[EffectiveQty]&gt;0)*T_PlannedOrders[Order_Month])),"m月")&amp;"発注)")</f>
        <v/>
      </c>
      <c r="L769">
        <f>IF(SUMIFS(T_PlannedOrders[EffectiveQty],T_PlannedOrders[Part Name],$A723,T_PlannedOrders[WeekIndex],9)=0,"",SUMIFS(T_PlannedOrders[EffectiveQty],T_PlannedOrders[Part Name],$A723,T_PlannedOrders[WeekIndex],9)&amp;" ("&amp;TEXT(SUMPRODUCT(MAX((T_PlannedOrders[Part Name]=$A723)*(T_PlannedOrders[WeekIndex]=9)*(T_PlannedOrders[EffectiveQty]&gt;0)*T_PlannedOrders[Order_Month])),"m月")&amp;"発注)")</f>
        <v/>
      </c>
      <c r="M769">
        <f>IF(SUMIFS(T_PlannedOrders[EffectiveQty],T_PlannedOrders[Part Name],$A723,T_PlannedOrders[WeekIndex],10)=0,"",SUMIFS(T_PlannedOrders[EffectiveQty],T_PlannedOrders[Part Name],$A723,T_PlannedOrders[WeekIndex],10)&amp;" ("&amp;TEXT(SUMPRODUCT(MAX((T_PlannedOrders[Part Name]=$A723)*(T_PlannedOrders[WeekIndex]=10)*(T_PlannedOrders[EffectiveQty]&gt;0)*T_PlannedOrders[Order_Month])),"m月")&amp;"発注)")</f>
        <v/>
      </c>
      <c r="N769">
        <f>IF(SUMIFS(T_PlannedOrders[EffectiveQty],T_PlannedOrders[Part Name],$A723,T_PlannedOrders[WeekIndex],11)=0,"",SUMIFS(T_PlannedOrders[EffectiveQty],T_PlannedOrders[Part Name],$A723,T_PlannedOrders[WeekIndex],11)&amp;" ("&amp;TEXT(SUMPRODUCT(MAX((T_PlannedOrders[Part Name]=$A723)*(T_PlannedOrders[WeekIndex]=11)*(T_PlannedOrders[EffectiveQty]&gt;0)*T_PlannedOrders[Order_Month])),"m月")&amp;"発注)")</f>
        <v/>
      </c>
      <c r="O769">
        <f>IF(SUMIFS(T_PlannedOrders[EffectiveQty],T_PlannedOrders[Part Name],$A723,T_PlannedOrders[WeekIndex],12)=0,"",SUMIFS(T_PlannedOrders[EffectiveQty],T_PlannedOrders[Part Name],$A723,T_PlannedOrders[WeekIndex],12)&amp;" ("&amp;TEXT(SUMPRODUCT(MAX((T_PlannedOrders[Part Name]=$A723)*(T_PlannedOrders[WeekIndex]=12)*(T_PlannedOrders[EffectiveQty]&gt;0)*T_PlannedOrders[Order_Month])),"m月")&amp;"発注)")</f>
        <v/>
      </c>
      <c r="P769">
        <f>IF(SUMIFS(T_PlannedOrders[EffectiveQty],T_PlannedOrders[Part Name],$A723,T_PlannedOrders[WeekIndex],13)=0,"",SUMIFS(T_PlannedOrders[EffectiveQty],T_PlannedOrders[Part Name],$A723,T_PlannedOrders[WeekIndex],13)&amp;" ("&amp;TEXT(SUMPRODUCT(MAX((T_PlannedOrders[Part Name]=$A723)*(T_PlannedOrders[WeekIndex]=13)*(T_PlannedOrders[EffectiveQty]&gt;0)*T_PlannedOrders[Order_Month])),"m月")&amp;"発注)")</f>
        <v/>
      </c>
      <c r="Q769">
        <f>IF(SUMIFS(T_PlannedOrders[EffectiveQty],T_PlannedOrders[Part Name],$A723,T_PlannedOrders[WeekIndex],14)=0,"",SUMIFS(T_PlannedOrders[EffectiveQty],T_PlannedOrders[Part Name],$A723,T_PlannedOrders[WeekIndex],14)&amp;" ("&amp;TEXT(SUMPRODUCT(MAX((T_PlannedOrders[Part Name]=$A723)*(T_PlannedOrders[WeekIndex]=14)*(T_PlannedOrders[EffectiveQty]&gt;0)*T_PlannedOrders[Order_Month])),"m月")&amp;"発注)")</f>
        <v/>
      </c>
      <c r="R769">
        <f>IF(SUMIFS(T_PlannedOrders[EffectiveQty],T_PlannedOrders[Part Name],$A723,T_PlannedOrders[WeekIndex],15)=0,"",SUMIFS(T_PlannedOrders[EffectiveQty],T_PlannedOrders[Part Name],$A723,T_PlannedOrders[WeekIndex],15)&amp;" ("&amp;TEXT(SUMPRODUCT(MAX((T_PlannedOrders[Part Name]=$A723)*(T_PlannedOrders[WeekIndex]=15)*(T_PlannedOrders[EffectiveQty]&gt;0)*T_PlannedOrders[Order_Month])),"m月")&amp;"発注)")</f>
        <v/>
      </c>
      <c r="S769">
        <f>IF(SUMIFS(T_PlannedOrders[EffectiveQty],T_PlannedOrders[Part Name],$A723,T_PlannedOrders[WeekIndex],16)=0,"",SUMIFS(T_PlannedOrders[EffectiveQty],T_PlannedOrders[Part Name],$A723,T_PlannedOrders[WeekIndex],16)&amp;" ("&amp;TEXT(SUMPRODUCT(MAX((T_PlannedOrders[Part Name]=$A723)*(T_PlannedOrders[WeekIndex]=16)*(T_PlannedOrders[EffectiveQty]&gt;0)*T_PlannedOrders[Order_Month])),"m月")&amp;"発注)")</f>
        <v/>
      </c>
      <c r="T769">
        <f>IF(SUMIFS(T_PlannedOrders[EffectiveQty],T_PlannedOrders[Part Name],$A723,T_PlannedOrders[WeekIndex],17)=0,"",SUMIFS(T_PlannedOrders[EffectiveQty],T_PlannedOrders[Part Name],$A723,T_PlannedOrders[WeekIndex],17)&amp;" ("&amp;TEXT(SUMPRODUCT(MAX((T_PlannedOrders[Part Name]=$A723)*(T_PlannedOrders[WeekIndex]=17)*(T_PlannedOrders[EffectiveQty]&gt;0)*T_PlannedOrders[Order_Month])),"m月")&amp;"発注)")</f>
        <v/>
      </c>
      <c r="U769">
        <f>IF(SUMIFS(T_PlannedOrders[EffectiveQty],T_PlannedOrders[Part Name],$A723,T_PlannedOrders[WeekIndex],18)=0,"",SUMIFS(T_PlannedOrders[EffectiveQty],T_PlannedOrders[Part Name],$A723,T_PlannedOrders[WeekIndex],18)&amp;" ("&amp;TEXT(SUMPRODUCT(MAX((T_PlannedOrders[Part Name]=$A723)*(T_PlannedOrders[WeekIndex]=18)*(T_PlannedOrders[EffectiveQty]&gt;0)*T_PlannedOrders[Order_Month])),"m月")&amp;"発注)")</f>
        <v/>
      </c>
      <c r="V769">
        <f>IF(SUMIFS(T_PlannedOrders[EffectiveQty],T_PlannedOrders[Part Name],$A723,T_PlannedOrders[WeekIndex],19)=0,"",SUMIFS(T_PlannedOrders[EffectiveQty],T_PlannedOrders[Part Name],$A723,T_PlannedOrders[WeekIndex],19)&amp;" ("&amp;TEXT(SUMPRODUCT(MAX((T_PlannedOrders[Part Name]=$A723)*(T_PlannedOrders[WeekIndex]=19)*(T_PlannedOrders[EffectiveQty]&gt;0)*T_PlannedOrders[Order_Month])),"m月")&amp;"発注)")</f>
        <v/>
      </c>
      <c r="W769">
        <f>IF(SUMIFS(T_PlannedOrders[EffectiveQty],T_PlannedOrders[Part Name],$A723,T_PlannedOrders[WeekIndex],20)=0,"",SUMIFS(T_PlannedOrders[EffectiveQty],T_PlannedOrders[Part Name],$A723,T_PlannedOrders[WeekIndex],20)&amp;" ("&amp;TEXT(SUMPRODUCT(MAX((T_PlannedOrders[Part Name]=$A723)*(T_PlannedOrders[WeekIndex]=20)*(T_PlannedOrders[EffectiveQty]&gt;0)*T_PlannedOrders[Order_Month])),"m月")&amp;"発注)")</f>
        <v/>
      </c>
      <c r="X769">
        <f>IF(SUMIFS(T_PlannedOrders[EffectiveQty],T_PlannedOrders[Part Name],$A723,T_PlannedOrders[WeekIndex],21)=0,"",SUMIFS(T_PlannedOrders[EffectiveQty],T_PlannedOrders[Part Name],$A723,T_PlannedOrders[WeekIndex],21)&amp;" ("&amp;TEXT(SUMPRODUCT(MAX((T_PlannedOrders[Part Name]=$A723)*(T_PlannedOrders[WeekIndex]=21)*(T_PlannedOrders[EffectiveQty]&gt;0)*T_PlannedOrders[Order_Month])),"m月")&amp;"発注)")</f>
        <v/>
      </c>
      <c r="Y769">
        <f>IF(SUMIFS(T_PlannedOrders[EffectiveQty],T_PlannedOrders[Part Name],$A723,T_PlannedOrders[WeekIndex],22)=0,"",SUMIFS(T_PlannedOrders[EffectiveQty],T_PlannedOrders[Part Name],$A723,T_PlannedOrders[WeekIndex],22)&amp;" ("&amp;TEXT(SUMPRODUCT(MAX((T_PlannedOrders[Part Name]=$A723)*(T_PlannedOrders[WeekIndex]=22)*(T_PlannedOrders[EffectiveQty]&gt;0)*T_PlannedOrders[Order_Month])),"m月")&amp;"発注)")</f>
        <v/>
      </c>
      <c r="Z769">
        <f>IF(SUMIFS(T_PlannedOrders[EffectiveQty],T_PlannedOrders[Part Name],$A723,T_PlannedOrders[WeekIndex],23)=0,"",SUMIFS(T_PlannedOrders[EffectiveQty],T_PlannedOrders[Part Name],$A723,T_PlannedOrders[WeekIndex],23)&amp;" ("&amp;TEXT(SUMPRODUCT(MAX((T_PlannedOrders[Part Name]=$A723)*(T_PlannedOrders[WeekIndex]=23)*(T_PlannedOrders[EffectiveQty]&gt;0)*T_PlannedOrders[Order_Month])),"m月")&amp;"発注)")</f>
        <v/>
      </c>
      <c r="AA769">
        <f>IF(SUMIFS(T_PlannedOrders[EffectiveQty],T_PlannedOrders[Part Name],$A723,T_PlannedOrders[WeekIndex],24)=0,"",SUMIFS(T_PlannedOrders[EffectiveQty],T_PlannedOrders[Part Name],$A723,T_PlannedOrders[WeekIndex],24)&amp;" ("&amp;TEXT(SUMPRODUCT(MAX((T_PlannedOrders[Part Name]=$A723)*(T_PlannedOrders[WeekIndex]=24)*(T_PlannedOrders[EffectiveQty]&gt;0)*T_PlannedOrders[Order_Month])),"m月")&amp;"発注)")</f>
        <v/>
      </c>
      <c r="AB769">
        <f>IF(SUMIFS(T_PlannedOrders[EffectiveQty],T_PlannedOrders[Part Name],$A723,T_PlannedOrders[WeekIndex],25)=0,"",SUMIFS(T_PlannedOrders[EffectiveQty],T_PlannedOrders[Part Name],$A723,T_PlannedOrders[WeekIndex],25)&amp;" ("&amp;TEXT(SUMPRODUCT(MAX((T_PlannedOrders[Part Name]=$A723)*(T_PlannedOrders[WeekIndex]=25)*(T_PlannedOrders[EffectiveQty]&gt;0)*T_PlannedOrders[Order_Month])),"m月")&amp;"発注)")</f>
        <v/>
      </c>
      <c r="AC769">
        <f>IF(SUMIFS(T_PlannedOrders[EffectiveQty],T_PlannedOrders[Part Name],$A723,T_PlannedOrders[WeekIndex],26)=0,"",SUMIFS(T_PlannedOrders[EffectiveQty],T_PlannedOrders[Part Name],$A723,T_PlannedOrders[WeekIndex],26)&amp;" ("&amp;TEXT(SUMPRODUCT(MAX((T_PlannedOrders[Part Name]=$A723)*(T_PlannedOrders[WeekIndex]=26)*(T_PlannedOrders[EffectiveQty]&gt;0)*T_PlannedOrders[Order_Month])),"m月")&amp;"発注)")</f>
        <v/>
      </c>
      <c r="AD769">
        <f>IF(SUMIFS(T_PlannedOrders[EffectiveQty],T_PlannedOrders[Part Name],$A723,T_PlannedOrders[WeekIndex],27)=0,"",SUMIFS(T_PlannedOrders[EffectiveQty],T_PlannedOrders[Part Name],$A723,T_PlannedOrders[WeekIndex],27)&amp;" ("&amp;TEXT(SUMPRODUCT(MAX((T_PlannedOrders[Part Name]=$A723)*(T_PlannedOrders[WeekIndex]=27)*(T_PlannedOrders[EffectiveQty]&gt;0)*T_PlannedOrders[Order_Month])),"m月")&amp;"発注)")</f>
        <v/>
      </c>
      <c r="AE769">
        <f>IF(SUMIFS(T_PlannedOrders[EffectiveQty],T_PlannedOrders[Part Name],$A723,T_PlannedOrders[WeekIndex],28)=0,"",SUMIFS(T_PlannedOrders[EffectiveQty],T_PlannedOrders[Part Name],$A723,T_PlannedOrders[WeekIndex],28)&amp;" ("&amp;TEXT(SUMPRODUCT(MAX((T_PlannedOrders[Part Name]=$A723)*(T_PlannedOrders[WeekIndex]=28)*(T_PlannedOrders[EffectiveQty]&gt;0)*T_PlannedOrders[Order_Month])),"m月")&amp;"発注)")</f>
        <v/>
      </c>
      <c r="AF769">
        <f>IF(SUMIFS(T_PlannedOrders[EffectiveQty],T_PlannedOrders[Part Name],$A723,T_PlannedOrders[WeekIndex],29)=0,"",SUMIFS(T_PlannedOrders[EffectiveQty],T_PlannedOrders[Part Name],$A723,T_PlannedOrders[WeekIndex],29)&amp;" ("&amp;TEXT(SUMPRODUCT(MAX((T_PlannedOrders[Part Name]=$A723)*(T_PlannedOrders[WeekIndex]=29)*(T_PlannedOrders[EffectiveQty]&gt;0)*T_PlannedOrders[Order_Month])),"m月")&amp;"発注)")</f>
        <v/>
      </c>
      <c r="AG769">
        <f>IF(SUMIFS(T_PlannedOrders[EffectiveQty],T_PlannedOrders[Part Name],$A723,T_PlannedOrders[WeekIndex],30)=0,"",SUMIFS(T_PlannedOrders[EffectiveQty],T_PlannedOrders[Part Name],$A723,T_PlannedOrders[WeekIndex],30)&amp;" ("&amp;TEXT(SUMPRODUCT(MAX((T_PlannedOrders[Part Name]=$A723)*(T_PlannedOrders[WeekIndex]=30)*(T_PlannedOrders[EffectiveQty]&gt;0)*T_PlannedOrders[Order_Month])),"m月")&amp;"発注)")</f>
        <v/>
      </c>
      <c r="AH769">
        <f>IF(SUMIFS(T_PlannedOrders[EffectiveQty],T_PlannedOrders[Part Name],$A723,T_PlannedOrders[WeekIndex],31)=0,"",SUMIFS(T_PlannedOrders[EffectiveQty],T_PlannedOrders[Part Name],$A723,T_PlannedOrders[WeekIndex],31)&amp;" ("&amp;TEXT(SUMPRODUCT(MAX((T_PlannedOrders[Part Name]=$A723)*(T_PlannedOrders[WeekIndex]=31)*(T_PlannedOrders[EffectiveQty]&gt;0)*T_PlannedOrders[Order_Month])),"m月")&amp;"発注)")</f>
        <v/>
      </c>
      <c r="AI769">
        <f>IF(SUMIFS(T_PlannedOrders[EffectiveQty],T_PlannedOrders[Part Name],$A723,T_PlannedOrders[WeekIndex],32)=0,"",SUMIFS(T_PlannedOrders[EffectiveQty],T_PlannedOrders[Part Name],$A723,T_PlannedOrders[WeekIndex],32)&amp;" ("&amp;TEXT(SUMPRODUCT(MAX((T_PlannedOrders[Part Name]=$A723)*(T_PlannedOrders[WeekIndex]=32)*(T_PlannedOrders[EffectiveQty]&gt;0)*T_PlannedOrders[Order_Month])),"m月")&amp;"発注)")</f>
        <v/>
      </c>
      <c r="AJ769">
        <f>IF(SUMIFS(T_PlannedOrders[EffectiveQty],T_PlannedOrders[Part Name],$A723,T_PlannedOrders[WeekIndex],33)=0,"",SUMIFS(T_PlannedOrders[EffectiveQty],T_PlannedOrders[Part Name],$A723,T_PlannedOrders[WeekIndex],33)&amp;" ("&amp;TEXT(SUMPRODUCT(MAX((T_PlannedOrders[Part Name]=$A723)*(T_PlannedOrders[WeekIndex]=33)*(T_PlannedOrders[EffectiveQty]&gt;0)*T_PlannedOrders[Order_Month])),"m月")&amp;"発注)")</f>
        <v/>
      </c>
      <c r="AK769">
        <f>IF(SUMIFS(T_PlannedOrders[EffectiveQty],T_PlannedOrders[Part Name],$A723,T_PlannedOrders[WeekIndex],34)=0,"",SUMIFS(T_PlannedOrders[EffectiveQty],T_PlannedOrders[Part Name],$A723,T_PlannedOrders[WeekIndex],34)&amp;" ("&amp;TEXT(SUMPRODUCT(MAX((T_PlannedOrders[Part Name]=$A723)*(T_PlannedOrders[WeekIndex]=34)*(T_PlannedOrders[EffectiveQty]&gt;0)*T_PlannedOrders[Order_Month])),"m月")&amp;"発注)")</f>
        <v/>
      </c>
      <c r="AL769">
        <f>IF(SUMIFS(T_PlannedOrders[EffectiveQty],T_PlannedOrders[Part Name],$A723,T_PlannedOrders[WeekIndex],35)=0,"",SUMIFS(T_PlannedOrders[EffectiveQty],T_PlannedOrders[Part Name],$A723,T_PlannedOrders[WeekIndex],35)&amp;" ("&amp;TEXT(SUMPRODUCT(MAX((T_PlannedOrders[Part Name]=$A723)*(T_PlannedOrders[WeekIndex]=35)*(T_PlannedOrders[EffectiveQty]&gt;0)*T_PlannedOrders[Order_Month])),"m月")&amp;"発注)")</f>
        <v/>
      </c>
      <c r="AM769">
        <f>IF(SUMIFS(T_PlannedOrders[EffectiveQty],T_PlannedOrders[Part Name],$A723,T_PlannedOrders[WeekIndex],36)=0,"",SUMIFS(T_PlannedOrders[EffectiveQty],T_PlannedOrders[Part Name],$A723,T_PlannedOrders[WeekIndex],36)&amp;" ("&amp;TEXT(SUMPRODUCT(MAX((T_PlannedOrders[Part Name]=$A723)*(T_PlannedOrders[WeekIndex]=36)*(T_PlannedOrders[EffectiveQty]&gt;0)*T_PlannedOrders[Order_Month])),"m月")&amp;"発注)")</f>
        <v/>
      </c>
      <c r="AN769">
        <f>IF(SUMIFS(T_PlannedOrders[EffectiveQty],T_PlannedOrders[Part Name],$A723,T_PlannedOrders[WeekIndex],37)=0,"",SUMIFS(T_PlannedOrders[EffectiveQty],T_PlannedOrders[Part Name],$A723,T_PlannedOrders[WeekIndex],37)&amp;" ("&amp;TEXT(SUMPRODUCT(MAX((T_PlannedOrders[Part Name]=$A723)*(T_PlannedOrders[WeekIndex]=37)*(T_PlannedOrders[EffectiveQty]&gt;0)*T_PlannedOrders[Order_Month])),"m月")&amp;"発注)")</f>
        <v/>
      </c>
      <c r="AO769">
        <f>IF(SUMIFS(T_PlannedOrders[EffectiveQty],T_PlannedOrders[Part Name],$A723,T_PlannedOrders[WeekIndex],38)=0,"",SUMIFS(T_PlannedOrders[EffectiveQty],T_PlannedOrders[Part Name],$A723,T_PlannedOrders[WeekIndex],38)&amp;" ("&amp;TEXT(SUMPRODUCT(MAX((T_PlannedOrders[Part Name]=$A723)*(T_PlannedOrders[WeekIndex]=38)*(T_PlannedOrders[EffectiveQty]&gt;0)*T_PlannedOrders[Order_Month])),"m月")&amp;"発注)")</f>
        <v/>
      </c>
      <c r="AP769">
        <f>IF(SUMIFS(T_PlannedOrders[EffectiveQty],T_PlannedOrders[Part Name],$A723,T_PlannedOrders[WeekIndex],39)=0,"",SUMIFS(T_PlannedOrders[EffectiveQty],T_PlannedOrders[Part Name],$A723,T_PlannedOrders[WeekIndex],39)&amp;" ("&amp;TEXT(SUMPRODUCT(MAX((T_PlannedOrders[Part Name]=$A723)*(T_PlannedOrders[WeekIndex]=39)*(T_PlannedOrders[EffectiveQty]&gt;0)*T_PlannedOrders[Order_Month])),"m月")&amp;"発注)")</f>
        <v/>
      </c>
      <c r="AQ769">
        <f>IF(SUMIFS(T_PlannedOrders[EffectiveQty],T_PlannedOrders[Part Name],$A723,T_PlannedOrders[WeekIndex],40)=0,"",SUMIFS(T_PlannedOrders[EffectiveQty],T_PlannedOrders[Part Name],$A723,T_PlannedOrders[WeekIndex],40)&amp;" ("&amp;TEXT(SUMPRODUCT(MAX((T_PlannedOrders[Part Name]=$A723)*(T_PlannedOrders[WeekIndex]=40)*(T_PlannedOrders[EffectiveQty]&gt;0)*T_PlannedOrders[Order_Month])),"m月")&amp;"発注)")</f>
        <v/>
      </c>
      <c r="AR769">
        <f>IF(SUMIFS(T_PlannedOrders[EffectiveQty],T_PlannedOrders[Part Name],$A723,T_PlannedOrders[WeekIndex],41)=0,"",SUMIFS(T_PlannedOrders[EffectiveQty],T_PlannedOrders[Part Name],$A723,T_PlannedOrders[WeekIndex],41)&amp;" ("&amp;TEXT(SUMPRODUCT(MAX((T_PlannedOrders[Part Name]=$A723)*(T_PlannedOrders[WeekIndex]=41)*(T_PlannedOrders[EffectiveQty]&gt;0)*T_PlannedOrders[Order_Month])),"m月")&amp;"発注)")</f>
        <v/>
      </c>
      <c r="AS769">
        <f>IF(SUMIFS(T_PlannedOrders[EffectiveQty],T_PlannedOrders[Part Name],$A723,T_PlannedOrders[WeekIndex],42)=0,"",SUMIFS(T_PlannedOrders[EffectiveQty],T_PlannedOrders[Part Name],$A723,T_PlannedOrders[WeekIndex],42)&amp;" ("&amp;TEXT(SUMPRODUCT(MAX((T_PlannedOrders[Part Name]=$A723)*(T_PlannedOrders[WeekIndex]=42)*(T_PlannedOrders[EffectiveQty]&gt;0)*T_PlannedOrders[Order_Month])),"m月")&amp;"発注)")</f>
        <v/>
      </c>
      <c r="AT769">
        <f>IF(SUMIFS(T_PlannedOrders[EffectiveQty],T_PlannedOrders[Part Name],$A723,T_PlannedOrders[WeekIndex],43)=0,"",SUMIFS(T_PlannedOrders[EffectiveQty],T_PlannedOrders[Part Name],$A723,T_PlannedOrders[WeekIndex],43)&amp;" ("&amp;TEXT(SUMPRODUCT(MAX((T_PlannedOrders[Part Name]=$A723)*(T_PlannedOrders[WeekIndex]=43)*(T_PlannedOrders[EffectiveQty]&gt;0)*T_PlannedOrders[Order_Month])),"m月")&amp;"発注)")</f>
        <v/>
      </c>
      <c r="AU769">
        <f>IF(SUMIFS(T_PlannedOrders[EffectiveQty],T_PlannedOrders[Part Name],$A723,T_PlannedOrders[WeekIndex],44)=0,"",SUMIFS(T_PlannedOrders[EffectiveQty],T_PlannedOrders[Part Name],$A723,T_PlannedOrders[WeekIndex],44)&amp;" ("&amp;TEXT(SUMPRODUCT(MAX((T_PlannedOrders[Part Name]=$A723)*(T_PlannedOrders[WeekIndex]=44)*(T_PlannedOrders[EffectiveQty]&gt;0)*T_PlannedOrders[Order_Month])),"m月")&amp;"発注)")</f>
        <v/>
      </c>
      <c r="AV769">
        <f>IF(SUMIFS(T_PlannedOrders[EffectiveQty],T_PlannedOrders[Part Name],$A723,T_PlannedOrders[WeekIndex],45)=0,"",SUMIFS(T_PlannedOrders[EffectiveQty],T_PlannedOrders[Part Name],$A723,T_PlannedOrders[WeekIndex],45)&amp;" ("&amp;TEXT(SUMPRODUCT(MAX((T_PlannedOrders[Part Name]=$A723)*(T_PlannedOrders[WeekIndex]=45)*(T_PlannedOrders[EffectiveQty]&gt;0)*T_PlannedOrders[Order_Month])),"m月")&amp;"発注)")</f>
        <v/>
      </c>
      <c r="AW769">
        <f>IF(SUMIFS(T_PlannedOrders[EffectiveQty],T_PlannedOrders[Part Name],$A723,T_PlannedOrders[WeekIndex],46)=0,"",SUMIFS(T_PlannedOrders[EffectiveQty],T_PlannedOrders[Part Name],$A723,T_PlannedOrders[WeekIndex],46)&amp;" ("&amp;TEXT(SUMPRODUCT(MAX((T_PlannedOrders[Part Name]=$A723)*(T_PlannedOrders[WeekIndex]=46)*(T_PlannedOrders[EffectiveQty]&gt;0)*T_PlannedOrders[Order_Month])),"m月")&amp;"発注)")</f>
        <v/>
      </c>
      <c r="AX769">
        <f>IF(SUMIFS(T_PlannedOrders[EffectiveQty],T_PlannedOrders[Part Name],$A723,T_PlannedOrders[WeekIndex],47)=0,"",SUMIFS(T_PlannedOrders[EffectiveQty],T_PlannedOrders[Part Name],$A723,T_PlannedOrders[WeekIndex],47)&amp;" ("&amp;TEXT(SUMPRODUCT(MAX((T_PlannedOrders[Part Name]=$A723)*(T_PlannedOrders[WeekIndex]=47)*(T_PlannedOrders[EffectiveQty]&gt;0)*T_PlannedOrders[Order_Month])),"m月")&amp;"発注)")</f>
        <v/>
      </c>
      <c r="AY769">
        <f>IF(SUMIFS(T_PlannedOrders[EffectiveQty],T_PlannedOrders[Part Name],$A723,T_PlannedOrders[WeekIndex],48)=0,"",SUMIFS(T_PlannedOrders[EffectiveQty],T_PlannedOrders[Part Name],$A723,T_PlannedOrders[WeekIndex],48)&amp;" ("&amp;TEXT(SUMPRODUCT(MAX((T_PlannedOrders[Part Name]=$A723)*(T_PlannedOrders[WeekIndex]=48)*(T_PlannedOrders[EffectiveQty]&gt;0)*T_PlannedOrders[Order_Month])),"m月")&amp;"発注)")</f>
        <v/>
      </c>
      <c r="AZ769">
        <f>IF(SUMIFS(T_PlannedOrders[EffectiveQty],T_PlannedOrders[Part Name],$A723,T_PlannedOrders[WeekIndex],49)=0,"",SUMIFS(T_PlannedOrders[EffectiveQty],T_PlannedOrders[Part Name],$A723,T_PlannedOrders[WeekIndex],49)&amp;" ("&amp;TEXT(SUMPRODUCT(MAX((T_PlannedOrders[Part Name]=$A723)*(T_PlannedOrders[WeekIndex]=49)*(T_PlannedOrders[EffectiveQty]&gt;0)*T_PlannedOrders[Order_Month])),"m月")&amp;"発注)")</f>
        <v/>
      </c>
      <c r="BA769">
        <f>IF(SUMIFS(T_PlannedOrders[EffectiveQty],T_PlannedOrders[Part Name],$A723,T_PlannedOrders[WeekIndex],50)=0,"",SUMIFS(T_PlannedOrders[EffectiveQty],T_PlannedOrders[Part Name],$A723,T_PlannedOrders[WeekIndex],50)&amp;" ("&amp;TEXT(SUMPRODUCT(MAX((T_PlannedOrders[Part Name]=$A723)*(T_PlannedOrders[WeekIndex]=50)*(T_PlannedOrders[EffectiveQty]&gt;0)*T_PlannedOrders[Order_Month])),"m月")&amp;"発注)")</f>
        <v/>
      </c>
      <c r="BB769">
        <f>IF(SUMIFS(T_PlannedOrders[EffectiveQty],T_PlannedOrders[Part Name],$A723,T_PlannedOrders[WeekIndex],51)=0,"",SUMIFS(T_PlannedOrders[EffectiveQty],T_PlannedOrders[Part Name],$A723,T_PlannedOrders[WeekIndex],51)&amp;" ("&amp;TEXT(SUMPRODUCT(MAX((T_PlannedOrders[Part Name]=$A723)*(T_PlannedOrders[WeekIndex]=51)*(T_PlannedOrders[EffectiveQty]&gt;0)*T_PlannedOrders[Order_Month])),"m月")&amp;"発注)")</f>
        <v/>
      </c>
      <c r="BC769">
        <f>IF(SUMIFS(T_PlannedOrders[EffectiveQty],T_PlannedOrders[Part Name],$A723,T_PlannedOrders[WeekIndex],52)=0,"",SUMIFS(T_PlannedOrders[EffectiveQty],T_PlannedOrders[Part Name],$A723,T_PlannedOrders[WeekIndex],52)&amp;" ("&amp;TEXT(SUMPRODUCT(MAX((T_PlannedOrders[Part Name]=$A723)*(T_PlannedOrders[WeekIndex]=52)*(T_PlannedOrders[EffectiveQty]&gt;0)*T_PlannedOrders[Order_Month])),"m月")&amp;"発注)")</f>
        <v/>
      </c>
      <c r="BD769">
        <f>IF(SUMIFS(T_PlannedOrders[EffectiveQty],T_PlannedOrders[Part Name],$A723,T_PlannedOrders[WeekIndex],53)=0,"",SUMIFS(T_PlannedOrders[EffectiveQty],T_PlannedOrders[Part Name],$A723,T_PlannedOrders[WeekIndex],53)&amp;" ("&amp;TEXT(SUMPRODUCT(MAX((T_PlannedOrders[Part Name]=$A723)*(T_PlannedOrders[WeekIndex]=53)*(T_PlannedOrders[EffectiveQty]&gt;0)*T_PlannedOrders[Order_Month])),"m月")&amp;"発注)")</f>
        <v/>
      </c>
      <c r="BE769">
        <f>IF(SUMIFS(T_PlannedOrders[EffectiveQty],T_PlannedOrders[Part Name],$A723,T_PlannedOrders[WeekIndex],54)=0,"",SUMIFS(T_PlannedOrders[EffectiveQty],T_PlannedOrders[Part Name],$A723,T_PlannedOrders[WeekIndex],54)&amp;" ("&amp;TEXT(SUMPRODUCT(MAX((T_PlannedOrders[Part Name]=$A723)*(T_PlannedOrders[WeekIndex]=54)*(T_PlannedOrders[EffectiveQty]&gt;0)*T_PlannedOrders[Order_Month])),"m月")&amp;"発注)")</f>
        <v/>
      </c>
      <c r="BF769">
        <f>IF(SUMIFS(T_PlannedOrders[EffectiveQty],T_PlannedOrders[Part Name],$A723,T_PlannedOrders[WeekIndex],55)=0,"",SUMIFS(T_PlannedOrders[EffectiveQty],T_PlannedOrders[Part Name],$A723,T_PlannedOrders[WeekIndex],55)&amp;" ("&amp;TEXT(SUMPRODUCT(MAX((T_PlannedOrders[Part Name]=$A723)*(T_PlannedOrders[WeekIndex]=55)*(T_PlannedOrders[EffectiveQty]&gt;0)*T_PlannedOrders[Order_Month])),"m月")&amp;"発注)")</f>
        <v/>
      </c>
      <c r="BG769">
        <f>IF(SUMIFS(T_PlannedOrders[EffectiveQty],T_PlannedOrders[Part Name],$A723,T_PlannedOrders[WeekIndex],56)=0,"",SUMIFS(T_PlannedOrders[EffectiveQty],T_PlannedOrders[Part Name],$A723,T_PlannedOrders[WeekIndex],56)&amp;" ("&amp;TEXT(SUMPRODUCT(MAX((T_PlannedOrders[Part Name]=$A723)*(T_PlannedOrders[WeekIndex]=56)*(T_PlannedOrders[EffectiveQty]&gt;0)*T_PlannedOrders[Order_Month])),"m月")&amp;"発注)")</f>
        <v/>
      </c>
      <c r="BH769">
        <f>IF(SUMIFS(T_PlannedOrders[EffectiveQty],T_PlannedOrders[Part Name],$A723,T_PlannedOrders[WeekIndex],57)=0,"",SUMIFS(T_PlannedOrders[EffectiveQty],T_PlannedOrders[Part Name],$A723,T_PlannedOrders[WeekIndex],57)&amp;" ("&amp;TEXT(SUMPRODUCT(MAX((T_PlannedOrders[Part Name]=$A723)*(T_PlannedOrders[WeekIndex]=57)*(T_PlannedOrders[EffectiveQty]&gt;0)*T_PlannedOrders[Order_Month])),"m月")&amp;"発注)")</f>
        <v/>
      </c>
      <c r="BI769">
        <f>IF(SUMIFS(T_PlannedOrders[EffectiveQty],T_PlannedOrders[Part Name],$A723,T_PlannedOrders[WeekIndex],58)=0,"",SUMIFS(T_PlannedOrders[EffectiveQty],T_PlannedOrders[Part Name],$A723,T_PlannedOrders[WeekIndex],58)&amp;" ("&amp;TEXT(SUMPRODUCT(MAX((T_PlannedOrders[Part Name]=$A723)*(T_PlannedOrders[WeekIndex]=58)*(T_PlannedOrders[EffectiveQty]&gt;0)*T_PlannedOrders[Order_Month])),"m月")&amp;"発注)")</f>
        <v/>
      </c>
      <c r="BJ769">
        <f>IF(SUMIFS(T_PlannedOrders[EffectiveQty],T_PlannedOrders[Part Name],$A723,T_PlannedOrders[WeekIndex],59)=0,"",SUMIFS(T_PlannedOrders[EffectiveQty],T_PlannedOrders[Part Name],$A723,T_PlannedOrders[WeekIndex],59)&amp;" ("&amp;TEXT(SUMPRODUCT(MAX((T_PlannedOrders[Part Name]=$A723)*(T_PlannedOrders[WeekIndex]=59)*(T_PlannedOrders[EffectiveQty]&gt;0)*T_PlannedOrders[Order_Month])),"m月")&amp;"発注)")</f>
        <v/>
      </c>
      <c r="BK769">
        <f>IF(SUMIFS(T_PlannedOrders[EffectiveQty],T_PlannedOrders[Part Name],$A723,T_PlannedOrders[WeekIndex],60)=0,"",SUMIFS(T_PlannedOrders[EffectiveQty],T_PlannedOrders[Part Name],$A723,T_PlannedOrders[WeekIndex],60)&amp;" ("&amp;TEXT(SUMPRODUCT(MAX((T_PlannedOrders[Part Name]=$A723)*(T_PlannedOrders[WeekIndex]=60)*(T_PlannedOrders[EffectiveQty]&gt;0)*T_PlannedOrders[Order_Month])),"m月")&amp;"発注)")</f>
        <v/>
      </c>
      <c r="BL769">
        <f>IF(SUMIFS(T_PlannedOrders[EffectiveQty],T_PlannedOrders[Part Name],$A723,T_PlannedOrders[WeekIndex],61)=0,"",SUMIFS(T_PlannedOrders[EffectiveQty],T_PlannedOrders[Part Name],$A723,T_PlannedOrders[WeekIndex],61)&amp;" ("&amp;TEXT(SUMPRODUCT(MAX((T_PlannedOrders[Part Name]=$A723)*(T_PlannedOrders[WeekIndex]=61)*(T_PlannedOrders[EffectiveQty]&gt;0)*T_PlannedOrders[Order_Month])),"m月")&amp;"発注)")</f>
        <v/>
      </c>
      <c r="BM769">
        <f>IF(SUMIFS(T_PlannedOrders[EffectiveQty],T_PlannedOrders[Part Name],$A723,T_PlannedOrders[WeekIndex],62)=0,"",SUMIFS(T_PlannedOrders[EffectiveQty],T_PlannedOrders[Part Name],$A723,T_PlannedOrders[WeekIndex],62)&amp;" ("&amp;TEXT(SUMPRODUCT(MAX((T_PlannedOrders[Part Name]=$A723)*(T_PlannedOrders[WeekIndex]=62)*(T_PlannedOrders[EffectiveQty]&gt;0)*T_PlannedOrders[Order_Month])),"m月")&amp;"発注)")</f>
        <v/>
      </c>
      <c r="BN769">
        <f>IF(SUMIFS(T_PlannedOrders[EffectiveQty],T_PlannedOrders[Part Name],$A723,T_PlannedOrders[WeekIndex],63)=0,"",SUMIFS(T_PlannedOrders[EffectiveQty],T_PlannedOrders[Part Name],$A723,T_PlannedOrders[WeekIndex],63)&amp;" ("&amp;TEXT(SUMPRODUCT(MAX((T_PlannedOrders[Part Name]=$A723)*(T_PlannedOrders[WeekIndex]=63)*(T_PlannedOrders[EffectiveQty]&gt;0)*T_PlannedOrders[Order_Month])),"m月")&amp;"発注)")</f>
        <v/>
      </c>
      <c r="BO769">
        <f>IF(SUMIFS(T_PlannedOrders[EffectiveQty],T_PlannedOrders[Part Name],$A723,T_PlannedOrders[WeekIndex],64)=0,"",SUMIFS(T_PlannedOrders[EffectiveQty],T_PlannedOrders[Part Name],$A723,T_PlannedOrders[WeekIndex],64)&amp;" ("&amp;TEXT(SUMPRODUCT(MAX((T_PlannedOrders[Part Name]=$A723)*(T_PlannedOrders[WeekIndex]=64)*(T_PlannedOrders[EffectiveQty]&gt;0)*T_PlannedOrders[Order_Month])),"m月")&amp;"発注)")</f>
        <v/>
      </c>
      <c r="BP769">
        <f>IF(SUMIFS(T_PlannedOrders[EffectiveQty],T_PlannedOrders[Part Name],$A723,T_PlannedOrders[WeekIndex],65)=0,"",SUMIFS(T_PlannedOrders[EffectiveQty],T_PlannedOrders[Part Name],$A723,T_PlannedOrders[WeekIndex],65)&amp;" ("&amp;TEXT(SUMPRODUCT(MAX((T_PlannedOrders[Part Name]=$A723)*(T_PlannedOrders[WeekIndex]=65)*(T_PlannedOrders[EffectiveQty]&gt;0)*T_PlannedOrders[Order_Month])),"m月")&amp;"発注)")</f>
        <v/>
      </c>
      <c r="BQ769">
        <f>IF(SUMIFS(T_PlannedOrders[EffectiveQty],T_PlannedOrders[Part Name],$A723,T_PlannedOrders[WeekIndex],66)=0,"",SUMIFS(T_PlannedOrders[EffectiveQty],T_PlannedOrders[Part Name],$A723,T_PlannedOrders[WeekIndex],66)&amp;" ("&amp;TEXT(SUMPRODUCT(MAX((T_PlannedOrders[Part Name]=$A723)*(T_PlannedOrders[WeekIndex]=66)*(T_PlannedOrders[EffectiveQty]&gt;0)*T_PlannedOrders[Order_Month])),"m月")&amp;"発注)")</f>
        <v/>
      </c>
      <c r="BR769">
        <f>IF(SUMIFS(T_PlannedOrders[EffectiveQty],T_PlannedOrders[Part Name],$A723,T_PlannedOrders[WeekIndex],67)=0,"",SUMIFS(T_PlannedOrders[EffectiveQty],T_PlannedOrders[Part Name],$A723,T_PlannedOrders[WeekIndex],67)&amp;" ("&amp;TEXT(SUMPRODUCT(MAX((T_PlannedOrders[Part Name]=$A723)*(T_PlannedOrders[WeekIndex]=67)*(T_PlannedOrders[EffectiveQty]&gt;0)*T_PlannedOrders[Order_Month])),"m月")&amp;"発注)")</f>
        <v/>
      </c>
      <c r="BS769">
        <f>IF(SUMIFS(T_PlannedOrders[EffectiveQty],T_PlannedOrders[Part Name],$A723,T_PlannedOrders[WeekIndex],68)=0,"",SUMIFS(T_PlannedOrders[EffectiveQty],T_PlannedOrders[Part Name],$A723,T_PlannedOrders[WeekIndex],68)&amp;" ("&amp;TEXT(SUMPRODUCT(MAX((T_PlannedOrders[Part Name]=$A723)*(T_PlannedOrders[WeekIndex]=68)*(T_PlannedOrders[EffectiveQty]&gt;0)*T_PlannedOrders[Order_Month])),"m月")&amp;"発注)")</f>
        <v/>
      </c>
      <c r="BT769">
        <f>IF(SUMIFS(T_PlannedOrders[EffectiveQty],T_PlannedOrders[Part Name],$A723,T_PlannedOrders[WeekIndex],69)=0,"",SUMIFS(T_PlannedOrders[EffectiveQty],T_PlannedOrders[Part Name],$A723,T_PlannedOrders[WeekIndex],69)&amp;" ("&amp;TEXT(SUMPRODUCT(MAX((T_PlannedOrders[Part Name]=$A723)*(T_PlannedOrders[WeekIndex]=69)*(T_PlannedOrders[EffectiveQty]&gt;0)*T_PlannedOrders[Order_Month])),"m月")&amp;"発注)")</f>
        <v/>
      </c>
      <c r="BU769">
        <f>IF(SUMIFS(T_PlannedOrders[EffectiveQty],T_PlannedOrders[Part Name],$A723,T_PlannedOrders[WeekIndex],70)=0,"",SUMIFS(T_PlannedOrders[EffectiveQty],T_PlannedOrders[Part Name],$A723,T_PlannedOrders[WeekIndex],70)&amp;" ("&amp;TEXT(SUMPRODUCT(MAX((T_PlannedOrders[Part Name]=$A723)*(T_PlannedOrders[WeekIndex]=70)*(T_PlannedOrders[EffectiveQty]&gt;0)*T_PlannedOrders[Order_Month])),"m月")&amp;"発注)")</f>
        <v/>
      </c>
      <c r="BV769">
        <f>IF(SUMIFS(T_PlannedOrders[EffectiveQty],T_PlannedOrders[Part Name],$A723,T_PlannedOrders[WeekIndex],71)=0,"",SUMIFS(T_PlannedOrders[EffectiveQty],T_PlannedOrders[Part Name],$A723,T_PlannedOrders[WeekIndex],71)&amp;" ("&amp;TEXT(SUMPRODUCT(MAX((T_PlannedOrders[Part Name]=$A723)*(T_PlannedOrders[WeekIndex]=71)*(T_PlannedOrders[EffectiveQty]&gt;0)*T_PlannedOrders[Order_Month])),"m月")&amp;"発注)")</f>
        <v/>
      </c>
      <c r="BW769">
        <f>IF(SUMIFS(T_PlannedOrders[EffectiveQty],T_PlannedOrders[Part Name],$A723,T_PlannedOrders[WeekIndex],72)=0,"",SUMIFS(T_PlannedOrders[EffectiveQty],T_PlannedOrders[Part Name],$A723,T_PlannedOrders[WeekIndex],72)&amp;" ("&amp;TEXT(SUMPRODUCT(MAX((T_PlannedOrders[Part Name]=$A723)*(T_PlannedOrders[WeekIndex]=72)*(T_PlannedOrders[EffectiveQty]&gt;0)*T_PlannedOrders[Order_Month])),"m月")&amp;"発注)")</f>
        <v/>
      </c>
      <c r="BX769">
        <f>IF(SUMIFS(T_PlannedOrders[EffectiveQty],T_PlannedOrders[Part Name],$A723,T_PlannedOrders[WeekIndex],73)=0,"",SUMIFS(T_PlannedOrders[EffectiveQty],T_PlannedOrders[Part Name],$A723,T_PlannedOrders[WeekIndex],73)&amp;" ("&amp;TEXT(SUMPRODUCT(MAX((T_PlannedOrders[Part Name]=$A723)*(T_PlannedOrders[WeekIndex]=73)*(T_PlannedOrders[EffectiveQty]&gt;0)*T_PlannedOrders[Order_Month])),"m月")&amp;"発注)")</f>
        <v/>
      </c>
      <c r="BY769">
        <f>IF(SUMIFS(T_PlannedOrders[EffectiveQty],T_PlannedOrders[Part Name],$A723,T_PlannedOrders[WeekIndex],74)=0,"",SUMIFS(T_PlannedOrders[EffectiveQty],T_PlannedOrders[Part Name],$A723,T_PlannedOrders[WeekIndex],74)&amp;" ("&amp;TEXT(SUMPRODUCT(MAX((T_PlannedOrders[Part Name]=$A723)*(T_PlannedOrders[WeekIndex]=74)*(T_PlannedOrders[EffectiveQty]&gt;0)*T_PlannedOrders[Order_Month])),"m月")&amp;"発注)")</f>
        <v/>
      </c>
      <c r="BZ769">
        <f>IF(SUMIFS(T_PlannedOrders[EffectiveQty],T_PlannedOrders[Part Name],$A723,T_PlannedOrders[WeekIndex],75)=0,"",SUMIFS(T_PlannedOrders[EffectiveQty],T_PlannedOrders[Part Name],$A723,T_PlannedOrders[WeekIndex],75)&amp;" ("&amp;TEXT(SUMPRODUCT(MAX((T_PlannedOrders[Part Name]=$A723)*(T_PlannedOrders[WeekIndex]=75)*(T_PlannedOrders[EffectiveQty]&gt;0)*T_PlannedOrders[Order_Month])),"m月")&amp;"発注)")</f>
        <v/>
      </c>
      <c r="CA769">
        <f>IF(SUMIFS(T_PlannedOrders[EffectiveQty],T_PlannedOrders[Part Name],$A723,T_PlannedOrders[WeekIndex],76)=0,"",SUMIFS(T_PlannedOrders[EffectiveQty],T_PlannedOrders[Part Name],$A723,T_PlannedOrders[WeekIndex],76)&amp;" ("&amp;TEXT(SUMPRODUCT(MAX((T_PlannedOrders[Part Name]=$A723)*(T_PlannedOrders[WeekIndex]=76)*(T_PlannedOrders[EffectiveQty]&gt;0)*T_PlannedOrders[Order_Month])),"m月")&amp;"発注)")</f>
        <v/>
      </c>
      <c r="CB769">
        <f>IF(SUMIFS(T_PlannedOrders[EffectiveQty],T_PlannedOrders[Part Name],$A723,T_PlannedOrders[WeekIndex],77)=0,"",SUMIFS(T_PlannedOrders[EffectiveQty],T_PlannedOrders[Part Name],$A723,T_PlannedOrders[WeekIndex],77)&amp;" ("&amp;TEXT(SUMPRODUCT(MAX((T_PlannedOrders[Part Name]=$A723)*(T_PlannedOrders[WeekIndex]=77)*(T_PlannedOrders[EffectiveQty]&gt;0)*T_PlannedOrders[Order_Month])),"m月")&amp;"発注)")</f>
        <v/>
      </c>
      <c r="CC769">
        <f>IF(SUMIFS(T_PlannedOrders[EffectiveQty],T_PlannedOrders[Part Name],$A723,T_PlannedOrders[WeekIndex],78)=0,"",SUMIFS(T_PlannedOrders[EffectiveQty],T_PlannedOrders[Part Name],$A723,T_PlannedOrders[WeekIndex],78)&amp;" ("&amp;TEXT(SUMPRODUCT(MAX((T_PlannedOrders[Part Name]=$A723)*(T_PlannedOrders[WeekIndex]=78)*(T_PlannedOrders[EffectiveQty]&gt;0)*T_PlannedOrders[Order_Month])),"m月")&amp;"発注)")</f>
        <v/>
      </c>
      <c r="CD769">
        <f>IF(SUMIFS(T_PlannedOrders[EffectiveQty],T_PlannedOrders[Part Name],$A723,T_PlannedOrders[WeekIndex],79)=0,"",SUMIFS(T_PlannedOrders[EffectiveQty],T_PlannedOrders[Part Name],$A723,T_PlannedOrders[WeekIndex],79)&amp;" ("&amp;TEXT(SUMPRODUCT(MAX((T_PlannedOrders[Part Name]=$A723)*(T_PlannedOrders[WeekIndex]=79)*(T_PlannedOrders[EffectiveQty]&gt;0)*T_PlannedOrders[Order_Month])),"m月")&amp;"発注)")</f>
        <v/>
      </c>
      <c r="CE769">
        <f>IF(SUMIFS(T_PlannedOrders[EffectiveQty],T_PlannedOrders[Part Name],$A723,T_PlannedOrders[WeekIndex],80)=0,"",SUMIFS(T_PlannedOrders[EffectiveQty],T_PlannedOrders[Part Name],$A723,T_PlannedOrders[WeekIndex],80)&amp;" ("&amp;TEXT(SUMPRODUCT(MAX((T_PlannedOrders[Part Name]=$A723)*(T_PlannedOrders[WeekIndex]=80)*(T_PlannedOrders[EffectiveQty]&gt;0)*T_PlannedOrders[Order_Month])),"m月")&amp;"発注)")</f>
        <v/>
      </c>
      <c r="CF769">
        <f>IF(SUMIFS(T_PlannedOrders[EffectiveQty],T_PlannedOrders[Part Name],$A723,T_PlannedOrders[WeekIndex],81)=0,"",SUMIFS(T_PlannedOrders[EffectiveQty],T_PlannedOrders[Part Name],$A723,T_PlannedOrders[WeekIndex],81)&amp;" ("&amp;TEXT(SUMPRODUCT(MAX((T_PlannedOrders[Part Name]=$A723)*(T_PlannedOrders[WeekIndex]=81)*(T_PlannedOrders[EffectiveQty]&gt;0)*T_PlannedOrders[Order_Month])),"m月")&amp;"発注)")</f>
        <v/>
      </c>
      <c r="CG769">
        <f>IF(SUMIFS(T_PlannedOrders[EffectiveQty],T_PlannedOrders[Part Name],$A723,T_PlannedOrders[WeekIndex],82)=0,"",SUMIFS(T_PlannedOrders[EffectiveQty],T_PlannedOrders[Part Name],$A723,T_PlannedOrders[WeekIndex],82)&amp;" ("&amp;TEXT(SUMPRODUCT(MAX((T_PlannedOrders[Part Name]=$A723)*(T_PlannedOrders[WeekIndex]=82)*(T_PlannedOrders[EffectiveQty]&gt;0)*T_PlannedOrders[Order_Month])),"m月")&amp;"発注)")</f>
        <v/>
      </c>
      <c r="CH769">
        <f>IF(SUMIFS(T_PlannedOrders[EffectiveQty],T_PlannedOrders[Part Name],$A723,T_PlannedOrders[WeekIndex],83)=0,"",SUMIFS(T_PlannedOrders[EffectiveQty],T_PlannedOrders[Part Name],$A723,T_PlannedOrders[WeekIndex],83)&amp;" ("&amp;TEXT(SUMPRODUCT(MAX((T_PlannedOrders[Part Name]=$A723)*(T_PlannedOrders[WeekIndex]=83)*(T_PlannedOrders[EffectiveQty]&gt;0)*T_PlannedOrders[Order_Month])),"m月")&amp;"発注)")</f>
        <v/>
      </c>
      <c r="CI769">
        <f>IF(SUMIFS(T_PlannedOrders[EffectiveQty],T_PlannedOrders[Part Name],$A723,T_PlannedOrders[WeekIndex],84)=0,"",SUMIFS(T_PlannedOrders[EffectiveQty],T_PlannedOrders[Part Name],$A723,T_PlannedOrders[WeekIndex],84)&amp;" ("&amp;TEXT(SUMPRODUCT(MAX((T_PlannedOrders[Part Name]=$A723)*(T_PlannedOrders[WeekIndex]=84)*(T_PlannedOrders[EffectiveQty]&gt;0)*T_PlannedOrders[Order_Month])),"m月")&amp;"発注)")</f>
        <v/>
      </c>
      <c r="CJ769">
        <f>IF(SUMIFS(T_PlannedOrders[EffectiveQty],T_PlannedOrders[Part Name],$A723,T_PlannedOrders[WeekIndex],85)=0,"",SUMIFS(T_PlannedOrders[EffectiveQty],T_PlannedOrders[Part Name],$A723,T_PlannedOrders[WeekIndex],85)&amp;" ("&amp;TEXT(SUMPRODUCT(MAX((T_PlannedOrders[Part Name]=$A723)*(T_PlannedOrders[WeekIndex]=85)*(T_PlannedOrders[EffectiveQty]&gt;0)*T_PlannedOrders[Order_Month])),"m月")&amp;"発注)")</f>
        <v/>
      </c>
      <c r="CK769">
        <f>IF(SUMIFS(T_PlannedOrders[EffectiveQty],T_PlannedOrders[Part Name],$A723,T_PlannedOrders[WeekIndex],86)=0,"",SUMIFS(T_PlannedOrders[EffectiveQty],T_PlannedOrders[Part Name],$A723,T_PlannedOrders[WeekIndex],86)&amp;" ("&amp;TEXT(SUMPRODUCT(MAX((T_PlannedOrders[Part Name]=$A723)*(T_PlannedOrders[WeekIndex]=86)*(T_PlannedOrders[EffectiveQty]&gt;0)*T_PlannedOrders[Order_Month])),"m月")&amp;"発注)")</f>
        <v/>
      </c>
      <c r="CL769">
        <f>IF(SUMIFS(T_PlannedOrders[EffectiveQty],T_PlannedOrders[Part Name],$A723,T_PlannedOrders[WeekIndex],87)=0,"",SUMIFS(T_PlannedOrders[EffectiveQty],T_PlannedOrders[Part Name],$A723,T_PlannedOrders[WeekIndex],87)&amp;" ("&amp;TEXT(SUMPRODUCT(MAX((T_PlannedOrders[Part Name]=$A723)*(T_PlannedOrders[WeekIndex]=87)*(T_PlannedOrders[EffectiveQty]&gt;0)*T_PlannedOrders[Order_Month])),"m月")&amp;"発注)")</f>
        <v/>
      </c>
      <c r="CM769">
        <f>IF(SUMIFS(T_PlannedOrders[EffectiveQty],T_PlannedOrders[Part Name],$A723,T_PlannedOrders[WeekIndex],88)=0,"",SUMIFS(T_PlannedOrders[EffectiveQty],T_PlannedOrders[Part Name],$A723,T_PlannedOrders[WeekIndex],88)&amp;" ("&amp;TEXT(SUMPRODUCT(MAX((T_PlannedOrders[Part Name]=$A723)*(T_PlannedOrders[WeekIndex]=88)*(T_PlannedOrders[EffectiveQty]&gt;0)*T_PlannedOrders[Order_Month])),"m月")&amp;"発注)")</f>
        <v/>
      </c>
      <c r="CN769">
        <f>IF(SUMIFS(T_PlannedOrders[EffectiveQty],T_PlannedOrders[Part Name],$A723,T_PlannedOrders[WeekIndex],89)=0,"",SUMIFS(T_PlannedOrders[EffectiveQty],T_PlannedOrders[Part Name],$A723,T_PlannedOrders[WeekIndex],89)&amp;" ("&amp;TEXT(SUMPRODUCT(MAX((T_PlannedOrders[Part Name]=$A723)*(T_PlannedOrders[WeekIndex]=89)*(T_PlannedOrders[EffectiveQty]&gt;0)*T_PlannedOrders[Order_Month])),"m月")&amp;"発注)")</f>
        <v/>
      </c>
      <c r="CO769">
        <f>IF(SUMIFS(T_PlannedOrders[EffectiveQty],T_PlannedOrders[Part Name],$A723,T_PlannedOrders[WeekIndex],90)=0,"",SUMIFS(T_PlannedOrders[EffectiveQty],T_PlannedOrders[Part Name],$A723,T_PlannedOrders[WeekIndex],90)&amp;" ("&amp;TEXT(SUMPRODUCT(MAX((T_PlannedOrders[Part Name]=$A723)*(T_PlannedOrders[WeekIndex]=90)*(T_PlannedOrders[EffectiveQty]&gt;0)*T_PlannedOrders[Order_Month])),"m月")&amp;"発注)")</f>
        <v/>
      </c>
      <c r="CP769">
        <f>IF(SUMIFS(T_PlannedOrders[EffectiveQty],T_PlannedOrders[Part Name],$A723,T_PlannedOrders[WeekIndex],91)=0,"",SUMIFS(T_PlannedOrders[EffectiveQty],T_PlannedOrders[Part Name],$A723,T_PlannedOrders[WeekIndex],91)&amp;" ("&amp;TEXT(SUMPRODUCT(MAX((T_PlannedOrders[Part Name]=$A723)*(T_PlannedOrders[WeekIndex]=91)*(T_PlannedOrders[EffectiveQty]&gt;0)*T_PlannedOrders[Order_Month])),"m月")&amp;"発注)")</f>
        <v/>
      </c>
      <c r="CQ769">
        <f>IF(SUMIFS(T_PlannedOrders[EffectiveQty],T_PlannedOrders[Part Name],$A723,T_PlannedOrders[WeekIndex],92)=0,"",SUMIFS(T_PlannedOrders[EffectiveQty],T_PlannedOrders[Part Name],$A723,T_PlannedOrders[WeekIndex],92)&amp;" ("&amp;TEXT(SUMPRODUCT(MAX((T_PlannedOrders[Part Name]=$A723)*(T_PlannedOrders[WeekIndex]=92)*(T_PlannedOrders[EffectiveQty]&gt;0)*T_PlannedOrders[Order_Month])),"m月")&amp;"発注)")</f>
        <v/>
      </c>
      <c r="CR769">
        <f>IF(SUMIFS(T_PlannedOrders[EffectiveQty],T_PlannedOrders[Part Name],$A723,T_PlannedOrders[WeekIndex],93)=0,"",SUMIFS(T_PlannedOrders[EffectiveQty],T_PlannedOrders[Part Name],$A723,T_PlannedOrders[WeekIndex],93)&amp;" ("&amp;TEXT(SUMPRODUCT(MAX((T_PlannedOrders[Part Name]=$A723)*(T_PlannedOrders[WeekIndex]=93)*(T_PlannedOrders[EffectiveQty]&gt;0)*T_PlannedOrders[Order_Month])),"m月")&amp;"発注)")</f>
        <v/>
      </c>
      <c r="CS769">
        <f>IF(SUMIFS(T_PlannedOrders[EffectiveQty],T_PlannedOrders[Part Name],$A723,T_PlannedOrders[WeekIndex],94)=0,"",SUMIFS(T_PlannedOrders[EffectiveQty],T_PlannedOrders[Part Name],$A723,T_PlannedOrders[WeekIndex],94)&amp;" ("&amp;TEXT(SUMPRODUCT(MAX((T_PlannedOrders[Part Name]=$A723)*(T_PlannedOrders[WeekIndex]=94)*(T_PlannedOrders[EffectiveQty]&gt;0)*T_PlannedOrders[Order_Month])),"m月")&amp;"発注)")</f>
        <v/>
      </c>
      <c r="CT769">
        <f>IF(SUMIFS(T_PlannedOrders[EffectiveQty],T_PlannedOrders[Part Name],$A723,T_PlannedOrders[WeekIndex],95)=0,"",SUMIFS(T_PlannedOrders[EffectiveQty],T_PlannedOrders[Part Name],$A723,T_PlannedOrders[WeekIndex],95)&amp;" ("&amp;TEXT(SUMPRODUCT(MAX((T_PlannedOrders[Part Name]=$A723)*(T_PlannedOrders[WeekIndex]=95)*(T_PlannedOrders[EffectiveQty]&gt;0)*T_PlannedOrders[Order_Month])),"m月")&amp;"発注)")</f>
        <v/>
      </c>
      <c r="CU769">
        <f>IF(SUMIFS(T_PlannedOrders[EffectiveQty],T_PlannedOrders[Part Name],$A723,T_PlannedOrders[WeekIndex],96)=0,"",SUMIFS(T_PlannedOrders[EffectiveQty],T_PlannedOrders[Part Name],$A723,T_PlannedOrders[WeekIndex],96)&amp;" ("&amp;TEXT(SUMPRODUCT(MAX((T_PlannedOrders[Part Name]=$A723)*(T_PlannedOrders[WeekIndex]=96)*(T_PlannedOrders[EffectiveQty]&gt;0)*T_PlannedOrders[Order_Month])),"m月")&amp;"発注)")</f>
        <v/>
      </c>
      <c r="CV769">
        <f>IF(SUMIFS(T_PlannedOrders[EffectiveQty],T_PlannedOrders[Part Name],$A723,T_PlannedOrders[WeekIndex],97)=0,"",SUMIFS(T_PlannedOrders[EffectiveQty],T_PlannedOrders[Part Name],$A723,T_PlannedOrders[WeekIndex],97)&amp;" ("&amp;TEXT(SUMPRODUCT(MAX((T_PlannedOrders[Part Name]=$A723)*(T_PlannedOrders[WeekIndex]=97)*(T_PlannedOrders[EffectiveQty]&gt;0)*T_PlannedOrders[Order_Month])),"m月")&amp;"発注)")</f>
        <v/>
      </c>
      <c r="CW769">
        <f>IF(SUMIFS(T_PlannedOrders[EffectiveQty],T_PlannedOrders[Part Name],$A723,T_PlannedOrders[WeekIndex],98)=0,"",SUMIFS(T_PlannedOrders[EffectiveQty],T_PlannedOrders[Part Name],$A723,T_PlannedOrders[WeekIndex],98)&amp;" ("&amp;TEXT(SUMPRODUCT(MAX((T_PlannedOrders[Part Name]=$A723)*(T_PlannedOrders[WeekIndex]=98)*(T_PlannedOrders[EffectiveQty]&gt;0)*T_PlannedOrders[Order_Month])),"m月")&amp;"発注)")</f>
        <v/>
      </c>
      <c r="CX769">
        <f>IF(SUMIFS(T_PlannedOrders[EffectiveQty],T_PlannedOrders[Part Name],$A723,T_PlannedOrders[WeekIndex],99)=0,"",SUMIFS(T_PlannedOrders[EffectiveQty],T_PlannedOrders[Part Name],$A723,T_PlannedOrders[WeekIndex],99)&amp;" ("&amp;TEXT(SUMPRODUCT(MAX((T_PlannedOrders[Part Name]=$A723)*(T_PlannedOrders[WeekIndex]=99)*(T_PlannedOrders[EffectiveQty]&gt;0)*T_PlannedOrders[Order_Month])),"m月")&amp;"発注)")</f>
        <v/>
      </c>
      <c r="CY769">
        <f>IF(SUMIFS(T_PlannedOrders[EffectiveQty],T_PlannedOrders[Part Name],$A723,T_PlannedOrders[WeekIndex],100)=0,"",SUMIFS(T_PlannedOrders[EffectiveQty],T_PlannedOrders[Part Name],$A723,T_PlannedOrders[WeekIndex],100)&amp;" ("&amp;TEXT(SUMPRODUCT(MAX((T_PlannedOrders[Part Name]=$A723)*(T_PlannedOrders[WeekIndex]=100)*(T_PlannedOrders[EffectiveQty]&gt;0)*T_PlannedOrders[Order_Month])),"m月")&amp;"発注)")</f>
        <v/>
      </c>
      <c r="CZ769">
        <f>IF(SUMIFS(T_PlannedOrders[EffectiveQty],T_PlannedOrders[Part Name],$A723,T_PlannedOrders[WeekIndex],101)=0,"",SUMIFS(T_PlannedOrders[EffectiveQty],T_PlannedOrders[Part Name],$A723,T_PlannedOrders[WeekIndex],101)&amp;" ("&amp;TEXT(SUMPRODUCT(MAX((T_PlannedOrders[Part Name]=$A723)*(T_PlannedOrders[WeekIndex]=101)*(T_PlannedOrders[EffectiveQty]&gt;0)*T_PlannedOrders[Order_Month])),"m月")&amp;"発注)")</f>
        <v/>
      </c>
      <c r="DA769">
        <f>IF(SUMIFS(T_PlannedOrders[EffectiveQty],T_PlannedOrders[Part Name],$A723,T_PlannedOrders[WeekIndex],102)=0,"",SUMIFS(T_PlannedOrders[EffectiveQty],T_PlannedOrders[Part Name],$A723,T_PlannedOrders[WeekIndex],102)&amp;" ("&amp;TEXT(SUMPRODUCT(MAX((T_PlannedOrders[Part Name]=$A723)*(T_PlannedOrders[WeekIndex]=102)*(T_PlannedOrders[EffectiveQty]&gt;0)*T_PlannedOrders[Order_Month])),"m月")&amp;"発注)")</f>
        <v/>
      </c>
      <c r="DB769">
        <f>IF(SUMIFS(T_PlannedOrders[EffectiveQty],T_PlannedOrders[Part Name],$A723,T_PlannedOrders[WeekIndex],103)=0,"",SUMIFS(T_PlannedOrders[EffectiveQty],T_PlannedOrders[Part Name],$A723,T_PlannedOrders[WeekIndex],103)&amp;" ("&amp;TEXT(SUMPRODUCT(MAX((T_PlannedOrders[Part Name]=$A723)*(T_PlannedOrders[WeekIndex]=103)*(T_PlannedOrders[EffectiveQty]&gt;0)*T_PlannedOrders[Order_Month])),"m月")&amp;"発注)")</f>
        <v/>
      </c>
      <c r="DC769">
        <f>IF(SUMIFS(T_PlannedOrders[EffectiveQty],T_PlannedOrders[Part Name],$A723,T_PlannedOrders[WeekIndex],104)=0,"",SUMIFS(T_PlannedOrders[EffectiveQty],T_PlannedOrders[Part Name],$A723,T_PlannedOrders[WeekIndex],104)&amp;" ("&amp;TEXT(SUMPRODUCT(MAX((T_PlannedOrders[Part Name]=$A723)*(T_PlannedOrders[WeekIndex]=104)*(T_PlannedOrders[EffectiveQty]&gt;0)*T_PlannedOrders[Order_Month])),"m月")&amp;"発注)")</f>
        <v/>
      </c>
    </row>
    <row r="770">
      <c r="B770" s="4" t="inlineStr">
        <is>
          <t>合計在庫(週末時点,kg)</t>
        </is>
      </c>
      <c r="D770">
        <f>'Grid_Stock'!B6</f>
        <v/>
      </c>
      <c r="E770">
        <f>'Grid_Stock'!C6</f>
        <v/>
      </c>
      <c r="F770">
        <f>'Grid_Stock'!D6</f>
        <v/>
      </c>
      <c r="G770">
        <f>'Grid_Stock'!E6</f>
        <v/>
      </c>
      <c r="H770">
        <f>'Grid_Stock'!F6</f>
        <v/>
      </c>
      <c r="I770">
        <f>'Grid_Stock'!G6</f>
        <v/>
      </c>
      <c r="J770">
        <f>'Grid_Stock'!H6</f>
        <v/>
      </c>
      <c r="K770">
        <f>'Grid_Stock'!I6</f>
        <v/>
      </c>
      <c r="L770">
        <f>'Grid_Stock'!J6</f>
        <v/>
      </c>
      <c r="M770">
        <f>'Grid_Stock'!K6</f>
        <v/>
      </c>
      <c r="N770">
        <f>'Grid_Stock'!L6</f>
        <v/>
      </c>
      <c r="O770">
        <f>'Grid_Stock'!M6</f>
        <v/>
      </c>
      <c r="P770">
        <f>'Grid_Stock'!N6</f>
        <v/>
      </c>
      <c r="Q770">
        <f>'Grid_Stock'!O6</f>
        <v/>
      </c>
      <c r="R770">
        <f>'Grid_Stock'!P6</f>
        <v/>
      </c>
      <c r="S770">
        <f>'Grid_Stock'!Q6</f>
        <v/>
      </c>
      <c r="T770">
        <f>'Grid_Stock'!R6</f>
        <v/>
      </c>
      <c r="U770">
        <f>'Grid_Stock'!S6</f>
        <v/>
      </c>
      <c r="V770">
        <f>'Grid_Stock'!T6</f>
        <v/>
      </c>
      <c r="W770">
        <f>'Grid_Stock'!U6</f>
        <v/>
      </c>
      <c r="X770">
        <f>'Grid_Stock'!V6</f>
        <v/>
      </c>
      <c r="Y770">
        <f>'Grid_Stock'!W6</f>
        <v/>
      </c>
      <c r="Z770">
        <f>'Grid_Stock'!X6</f>
        <v/>
      </c>
      <c r="AA770">
        <f>'Grid_Stock'!Y6</f>
        <v/>
      </c>
      <c r="AB770">
        <f>'Grid_Stock'!Z6</f>
        <v/>
      </c>
      <c r="AC770">
        <f>'Grid_Stock'!AA6</f>
        <v/>
      </c>
      <c r="AD770">
        <f>'Grid_Stock'!AB6</f>
        <v/>
      </c>
      <c r="AE770">
        <f>'Grid_Stock'!AC6</f>
        <v/>
      </c>
      <c r="AF770">
        <f>'Grid_Stock'!AD6</f>
        <v/>
      </c>
      <c r="AG770">
        <f>'Grid_Stock'!AE6</f>
        <v/>
      </c>
      <c r="AH770">
        <f>'Grid_Stock'!AF6</f>
        <v/>
      </c>
      <c r="AI770">
        <f>'Grid_Stock'!AG6</f>
        <v/>
      </c>
      <c r="AJ770">
        <f>'Grid_Stock'!AH6</f>
        <v/>
      </c>
      <c r="AK770">
        <f>'Grid_Stock'!AI6</f>
        <v/>
      </c>
      <c r="AL770">
        <f>'Grid_Stock'!AJ6</f>
        <v/>
      </c>
      <c r="AM770">
        <f>'Grid_Stock'!AK6</f>
        <v/>
      </c>
      <c r="AN770">
        <f>'Grid_Stock'!AL6</f>
        <v/>
      </c>
      <c r="AO770">
        <f>'Grid_Stock'!AM6</f>
        <v/>
      </c>
      <c r="AP770">
        <f>'Grid_Stock'!AN6</f>
        <v/>
      </c>
      <c r="AQ770">
        <f>'Grid_Stock'!AO6</f>
        <v/>
      </c>
      <c r="AR770">
        <f>'Grid_Stock'!AP6</f>
        <v/>
      </c>
      <c r="AS770">
        <f>'Grid_Stock'!AQ6</f>
        <v/>
      </c>
      <c r="AT770">
        <f>'Grid_Stock'!AR6</f>
        <v/>
      </c>
      <c r="AU770">
        <f>'Grid_Stock'!AS6</f>
        <v/>
      </c>
      <c r="AV770">
        <f>'Grid_Stock'!AT6</f>
        <v/>
      </c>
      <c r="AW770">
        <f>'Grid_Stock'!AU6</f>
        <v/>
      </c>
      <c r="AX770">
        <f>'Grid_Stock'!AV6</f>
        <v/>
      </c>
      <c r="AY770">
        <f>'Grid_Stock'!AW6</f>
        <v/>
      </c>
      <c r="AZ770">
        <f>'Grid_Stock'!AX6</f>
        <v/>
      </c>
      <c r="BA770">
        <f>'Grid_Stock'!AY6</f>
        <v/>
      </c>
      <c r="BB770">
        <f>'Grid_Stock'!AZ6</f>
        <v/>
      </c>
      <c r="BC770">
        <f>'Grid_Stock'!BA6</f>
        <v/>
      </c>
      <c r="BD770">
        <f>'Grid_Stock'!BB6</f>
        <v/>
      </c>
      <c r="BE770">
        <f>'Grid_Stock'!BC6</f>
        <v/>
      </c>
      <c r="BF770">
        <f>'Grid_Stock'!BD6</f>
        <v/>
      </c>
      <c r="BG770">
        <f>'Grid_Stock'!BE6</f>
        <v/>
      </c>
      <c r="BH770">
        <f>'Grid_Stock'!BF6</f>
        <v/>
      </c>
      <c r="BI770">
        <f>'Grid_Stock'!BG6</f>
        <v/>
      </c>
      <c r="BJ770">
        <f>'Grid_Stock'!BH6</f>
        <v/>
      </c>
      <c r="BK770">
        <f>'Grid_Stock'!BI6</f>
        <v/>
      </c>
      <c r="BL770">
        <f>'Grid_Stock'!BJ6</f>
        <v/>
      </c>
      <c r="BM770">
        <f>'Grid_Stock'!BK6</f>
        <v/>
      </c>
      <c r="BN770">
        <f>'Grid_Stock'!BL6</f>
        <v/>
      </c>
      <c r="BO770">
        <f>'Grid_Stock'!BM6</f>
        <v/>
      </c>
      <c r="BP770">
        <f>'Grid_Stock'!BN6</f>
        <v/>
      </c>
      <c r="BQ770">
        <f>'Grid_Stock'!BO6</f>
        <v/>
      </c>
      <c r="BR770">
        <f>'Grid_Stock'!BP6</f>
        <v/>
      </c>
      <c r="BS770">
        <f>'Grid_Stock'!BQ6</f>
        <v/>
      </c>
      <c r="BT770">
        <f>'Grid_Stock'!BR6</f>
        <v/>
      </c>
      <c r="BU770">
        <f>'Grid_Stock'!BS6</f>
        <v/>
      </c>
      <c r="BV770">
        <f>'Grid_Stock'!BT6</f>
        <v/>
      </c>
      <c r="BW770">
        <f>'Grid_Stock'!BU6</f>
        <v/>
      </c>
      <c r="BX770">
        <f>'Grid_Stock'!BV6</f>
        <v/>
      </c>
      <c r="BY770">
        <f>'Grid_Stock'!BW6</f>
        <v/>
      </c>
      <c r="BZ770">
        <f>'Grid_Stock'!BX6</f>
        <v/>
      </c>
      <c r="CA770">
        <f>'Grid_Stock'!BY6</f>
        <v/>
      </c>
      <c r="CB770">
        <f>'Grid_Stock'!BZ6</f>
        <v/>
      </c>
      <c r="CC770">
        <f>'Grid_Stock'!CA6</f>
        <v/>
      </c>
      <c r="CD770">
        <f>'Grid_Stock'!CB6</f>
        <v/>
      </c>
      <c r="CE770">
        <f>'Grid_Stock'!CC6</f>
        <v/>
      </c>
      <c r="CF770">
        <f>'Grid_Stock'!CD6</f>
        <v/>
      </c>
      <c r="CG770">
        <f>'Grid_Stock'!CE6</f>
        <v/>
      </c>
      <c r="CH770">
        <f>'Grid_Stock'!CF6</f>
        <v/>
      </c>
      <c r="CI770">
        <f>'Grid_Stock'!CG6</f>
        <v/>
      </c>
      <c r="CJ770">
        <f>'Grid_Stock'!CH6</f>
        <v/>
      </c>
      <c r="CK770">
        <f>'Grid_Stock'!CI6</f>
        <v/>
      </c>
      <c r="CL770">
        <f>'Grid_Stock'!CJ6</f>
        <v/>
      </c>
      <c r="CM770">
        <f>'Grid_Stock'!CK6</f>
        <v/>
      </c>
      <c r="CN770">
        <f>'Grid_Stock'!CL6</f>
        <v/>
      </c>
      <c r="CO770">
        <f>'Grid_Stock'!CM6</f>
        <v/>
      </c>
      <c r="CP770">
        <f>'Grid_Stock'!CN6</f>
        <v/>
      </c>
      <c r="CQ770">
        <f>'Grid_Stock'!CO6</f>
        <v/>
      </c>
      <c r="CR770">
        <f>'Grid_Stock'!CP6</f>
        <v/>
      </c>
      <c r="CS770">
        <f>'Grid_Stock'!CQ6</f>
        <v/>
      </c>
      <c r="CT770">
        <f>'Grid_Stock'!CR6</f>
        <v/>
      </c>
      <c r="CU770">
        <f>'Grid_Stock'!CS6</f>
        <v/>
      </c>
      <c r="CV770">
        <f>'Grid_Stock'!CT6</f>
        <v/>
      </c>
      <c r="CW770">
        <f>'Grid_Stock'!CU6</f>
        <v/>
      </c>
      <c r="CX770">
        <f>'Grid_Stock'!CV6</f>
        <v/>
      </c>
      <c r="CY770">
        <f>'Grid_Stock'!CW6</f>
        <v/>
      </c>
      <c r="CZ770">
        <f>'Grid_Stock'!CX6</f>
        <v/>
      </c>
      <c r="DA770">
        <f>'Grid_Stock'!CY6</f>
        <v/>
      </c>
      <c r="DB770">
        <f>'Grid_Stock'!CZ6</f>
        <v/>
      </c>
      <c r="DC770">
        <f>'Grid_Stock'!DA6</f>
        <v/>
      </c>
    </row>
    <row r="771">
      <c r="B771" s="16" t="inlineStr">
        <is>
          <t>（発注の目安はDashboardの基準在庫[下限/上限]と色分けを参照）</t>
        </is>
      </c>
    </row>
    <row r="773">
      <c r="A773" s="14" t="inlineStr">
        <is>
          <t>CHEM-1650</t>
        </is>
      </c>
      <c r="B773" s="14" t="inlineStr">
        <is>
          <t>DUASYN ACID BLUE AE-SF 30 LIQUID-SN</t>
        </is>
      </c>
      <c r="C773" s="15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  <c r="AA773" s="14" t="n"/>
      <c r="AB773" s="14" t="n"/>
      <c r="AC773" s="14" t="n"/>
      <c r="AD773" s="14" t="n"/>
      <c r="AE773" s="14" t="n"/>
      <c r="AF773" s="14" t="n"/>
      <c r="AG773" s="14" t="n"/>
      <c r="AH773" s="14" t="n"/>
      <c r="AI773" s="14" t="n"/>
      <c r="AJ773" s="14" t="n"/>
      <c r="AK773" s="14" t="n"/>
      <c r="AL773" s="14" t="n"/>
      <c r="AM773" s="14" t="n"/>
      <c r="AN773" s="14" t="n"/>
      <c r="AO773" s="14" t="n"/>
      <c r="AP773" s="14" t="n"/>
      <c r="AQ773" s="14" t="n"/>
      <c r="AR773" s="14" t="n"/>
      <c r="AS773" s="14" t="n"/>
      <c r="AT773" s="14" t="n"/>
      <c r="AU773" s="14" t="n"/>
      <c r="AV773" s="14" t="n"/>
      <c r="AW773" s="14" t="n"/>
      <c r="AX773" s="14" t="n"/>
      <c r="AY773" s="14" t="n"/>
      <c r="AZ773" s="14" t="n"/>
      <c r="BA773" s="14" t="n"/>
      <c r="BB773" s="14" t="n"/>
      <c r="BC773" s="14" t="n"/>
      <c r="BD773" s="14" t="n"/>
      <c r="BE773" s="14" t="n"/>
      <c r="BF773" s="14" t="n"/>
      <c r="BG773" s="14" t="n"/>
      <c r="BH773" s="14" t="n"/>
      <c r="BI773" s="14" t="n"/>
      <c r="BJ773" s="14" t="n"/>
      <c r="BK773" s="14" t="n"/>
      <c r="BL773" s="14" t="n"/>
      <c r="BM773" s="14" t="n"/>
      <c r="BN773" s="14" t="n"/>
      <c r="BO773" s="14" t="n"/>
      <c r="BP773" s="14" t="n"/>
      <c r="BQ773" s="14" t="n"/>
      <c r="BR773" s="14" t="n"/>
      <c r="BS773" s="14" t="n"/>
      <c r="BT773" s="14" t="n"/>
      <c r="BU773" s="14" t="n"/>
      <c r="BV773" s="14" t="n"/>
      <c r="BW773" s="14" t="n"/>
      <c r="BX773" s="14" t="n"/>
      <c r="BY773" s="14" t="n"/>
      <c r="BZ773" s="14" t="n"/>
      <c r="CA773" s="14" t="n"/>
      <c r="CB773" s="14" t="n"/>
      <c r="CC773" s="14" t="n"/>
      <c r="CD773" s="14" t="n"/>
      <c r="CE773" s="14" t="n"/>
      <c r="CF773" s="14" t="n"/>
      <c r="CG773" s="14" t="n"/>
      <c r="CH773" s="14" t="n"/>
      <c r="CI773" s="14" t="n"/>
      <c r="CJ773" s="14" t="n"/>
      <c r="CK773" s="14" t="n"/>
      <c r="CL773" s="14" t="n"/>
      <c r="CM773" s="14" t="n"/>
      <c r="CN773" s="14" t="n"/>
      <c r="CO773" s="14" t="n"/>
      <c r="CP773" s="14" t="n"/>
      <c r="CQ773" s="14" t="n"/>
      <c r="CR773" s="14" t="n"/>
      <c r="CS773" s="14" t="n"/>
      <c r="CT773" s="14" t="n"/>
      <c r="CU773" s="14" t="n"/>
      <c r="CV773" s="14" t="n"/>
      <c r="CW773" s="14" t="n"/>
      <c r="CX773" s="14" t="n"/>
      <c r="CY773" s="14" t="n"/>
      <c r="CZ773" s="14" t="n"/>
      <c r="DA773" s="14" t="n"/>
      <c r="DB773" s="14" t="n"/>
      <c r="DC773" s="14" t="n"/>
    </row>
    <row r="774">
      <c r="B774" t="inlineStr">
        <is>
          <t>TSP-402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Name],$A773)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TSP-403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Name],$A773)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TSP-404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Name],$A773)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TSP-405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Name],$A773)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TSP-620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Name],$A773)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TSP-623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TSP-655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TSP-903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TSP-934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TSP-935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TSP-936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TSP-937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TSP-959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TSP-1388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Name],$A773)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TSP-1448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Name],$A773)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VSP-567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Name],$A773)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Name],$A773)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VSP-605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Name],$A773)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VSP-607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Name],$A773)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VSP-738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Name],$A773)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VSP-740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Name],$A773)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VSP-746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Name],$A773)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VSP-822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7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Name],$A773)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VSP-870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7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Name],$A773)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VSP-990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7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Name],$A773)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t="inlineStr">
        <is>
          <t>VSZ-745</t>
        </is>
      </c>
      <c r="C824" t="inlineStr">
        <is>
          <t>No. of batches</t>
        </is>
      </c>
      <c r="D824">
        <f>IFERROR(INDEX(PP_Grid[#Data],$DD824,2),0)</f>
        <v/>
      </c>
      <c r="E824">
        <f>IFERROR(INDEX(PP_Grid[#Data],$DD824,3),0)</f>
        <v/>
      </c>
      <c r="F824">
        <f>IFERROR(INDEX(PP_Grid[#Data],$DD824,4),0)</f>
        <v/>
      </c>
      <c r="G824">
        <f>IFERROR(INDEX(PP_Grid[#Data],$DD824,5),0)</f>
        <v/>
      </c>
      <c r="H824">
        <f>IFERROR(INDEX(PP_Grid[#Data],$DD824,6),0)</f>
        <v/>
      </c>
      <c r="I824">
        <f>IFERROR(INDEX(PP_Grid[#Data],$DD824,7),0)</f>
        <v/>
      </c>
      <c r="J824">
        <f>IFERROR(INDEX(PP_Grid[#Data],$DD824,8),0)</f>
        <v/>
      </c>
      <c r="K824">
        <f>IFERROR(INDEX(PP_Grid[#Data],$DD824,9),0)</f>
        <v/>
      </c>
      <c r="L824">
        <f>IFERROR(INDEX(PP_Grid[#Data],$DD824,10),0)</f>
        <v/>
      </c>
      <c r="M824">
        <f>IFERROR(INDEX(PP_Grid[#Data],$DD824,11),0)</f>
        <v/>
      </c>
      <c r="N824">
        <f>IFERROR(INDEX(PP_Grid[#Data],$DD824,12),0)</f>
        <v/>
      </c>
      <c r="O824">
        <f>IFERROR(INDEX(PP_Grid[#Data],$DD824,13),0)</f>
        <v/>
      </c>
      <c r="P824">
        <f>IFERROR(INDEX(PP_Grid[#Data],$DD824,14),0)</f>
        <v/>
      </c>
      <c r="Q824">
        <f>IFERROR(INDEX(PP_Grid[#Data],$DD824,15),0)</f>
        <v/>
      </c>
      <c r="R824">
        <f>IFERROR(INDEX(PP_Grid[#Data],$DD824,16),0)</f>
        <v/>
      </c>
      <c r="S824">
        <f>IFERROR(INDEX(PP_Grid[#Data],$DD824,17),0)</f>
        <v/>
      </c>
      <c r="T824">
        <f>IFERROR(INDEX(PP_Grid[#Data],$DD824,18),0)</f>
        <v/>
      </c>
      <c r="U824">
        <f>IFERROR(INDEX(PP_Grid[#Data],$DD824,19),0)</f>
        <v/>
      </c>
      <c r="V824">
        <f>IFERROR(INDEX(PP_Grid[#Data],$DD824,20),0)</f>
        <v/>
      </c>
      <c r="W824">
        <f>IFERROR(INDEX(PP_Grid[#Data],$DD824,21),0)</f>
        <v/>
      </c>
      <c r="X824">
        <f>IFERROR(INDEX(PP_Grid[#Data],$DD824,22),0)</f>
        <v/>
      </c>
      <c r="Y824">
        <f>IFERROR(INDEX(PP_Grid[#Data],$DD824,23),0)</f>
        <v/>
      </c>
      <c r="Z824">
        <f>IFERROR(INDEX(PP_Grid[#Data],$DD824,24),0)</f>
        <v/>
      </c>
      <c r="AA824">
        <f>IFERROR(INDEX(PP_Grid[#Data],$DD824,25),0)</f>
        <v/>
      </c>
      <c r="AB824">
        <f>IFERROR(INDEX(PP_Grid[#Data],$DD824,26),0)</f>
        <v/>
      </c>
      <c r="AC824">
        <f>IFERROR(INDEX(PP_Grid[#Data],$DD824,27),0)</f>
        <v/>
      </c>
      <c r="AD824">
        <f>IFERROR(INDEX(PP_Grid[#Data],$DD824,28),0)</f>
        <v/>
      </c>
      <c r="AE824">
        <f>IFERROR(INDEX(PP_Grid[#Data],$DD824,29),0)</f>
        <v/>
      </c>
      <c r="AF824">
        <f>IFERROR(INDEX(PP_Grid[#Data],$DD824,30),0)</f>
        <v/>
      </c>
      <c r="AG824">
        <f>IFERROR(INDEX(PP_Grid[#Data],$DD824,31),0)</f>
        <v/>
      </c>
      <c r="AH824">
        <f>IFERROR(INDEX(PP_Grid[#Data],$DD824,32),0)</f>
        <v/>
      </c>
      <c r="AI824">
        <f>IFERROR(INDEX(PP_Grid[#Data],$DD824,33),0)</f>
        <v/>
      </c>
      <c r="AJ824">
        <f>IFERROR(INDEX(PP_Grid[#Data],$DD824,34),0)</f>
        <v/>
      </c>
      <c r="AK824">
        <f>IFERROR(INDEX(PP_Grid[#Data],$DD824,35),0)</f>
        <v/>
      </c>
      <c r="AL824">
        <f>IFERROR(INDEX(PP_Grid[#Data],$DD824,36),0)</f>
        <v/>
      </c>
      <c r="AM824">
        <f>IFERROR(INDEX(PP_Grid[#Data],$DD824,37),0)</f>
        <v/>
      </c>
      <c r="AN824">
        <f>IFERROR(INDEX(PP_Grid[#Data],$DD824,38),0)</f>
        <v/>
      </c>
      <c r="AO824">
        <f>IFERROR(INDEX(PP_Grid[#Data],$DD824,39),0)</f>
        <v/>
      </c>
      <c r="AP824">
        <f>IFERROR(INDEX(PP_Grid[#Data],$DD824,40),0)</f>
        <v/>
      </c>
      <c r="AQ824">
        <f>IFERROR(INDEX(PP_Grid[#Data],$DD824,41),0)</f>
        <v/>
      </c>
      <c r="AR824">
        <f>IFERROR(INDEX(PP_Grid[#Data],$DD824,42),0)</f>
        <v/>
      </c>
      <c r="AS824">
        <f>IFERROR(INDEX(PP_Grid[#Data],$DD824,43),0)</f>
        <v/>
      </c>
      <c r="AT824">
        <f>IFERROR(INDEX(PP_Grid[#Data],$DD824,44),0)</f>
        <v/>
      </c>
      <c r="AU824">
        <f>IFERROR(INDEX(PP_Grid[#Data],$DD824,45),0)</f>
        <v/>
      </c>
      <c r="AV824">
        <f>IFERROR(INDEX(PP_Grid[#Data],$DD824,46),0)</f>
        <v/>
      </c>
      <c r="AW824">
        <f>IFERROR(INDEX(PP_Grid[#Data],$DD824,47),0)</f>
        <v/>
      </c>
      <c r="AX824">
        <f>IFERROR(INDEX(PP_Grid[#Data],$DD824,48),0)</f>
        <v/>
      </c>
      <c r="AY824">
        <f>IFERROR(INDEX(PP_Grid[#Data],$DD824,49),0)</f>
        <v/>
      </c>
      <c r="AZ824">
        <f>IFERROR(INDEX(PP_Grid[#Data],$DD824,50),0)</f>
        <v/>
      </c>
      <c r="BA824">
        <f>IFERROR(INDEX(PP_Grid[#Data],$DD824,51),0)</f>
        <v/>
      </c>
      <c r="BB824">
        <f>IFERROR(INDEX(PP_Grid[#Data],$DD824,52),0)</f>
        <v/>
      </c>
      <c r="BC824">
        <f>IFERROR(INDEX(PP_Grid[#Data],$DD824,53),0)</f>
        <v/>
      </c>
      <c r="BD824">
        <f>IFERROR(INDEX(PP_Grid[#Data],$DD824,54),0)</f>
        <v/>
      </c>
      <c r="BE824">
        <f>IFERROR(INDEX(PP_Grid[#Data],$DD824,55),0)</f>
        <v/>
      </c>
      <c r="BF824">
        <f>IFERROR(INDEX(PP_Grid[#Data],$DD824,56),0)</f>
        <v/>
      </c>
      <c r="BG824">
        <f>IFERROR(INDEX(PP_Grid[#Data],$DD824,57),0)</f>
        <v/>
      </c>
      <c r="BH824">
        <f>IFERROR(INDEX(PP_Grid[#Data],$DD824,58),0)</f>
        <v/>
      </c>
      <c r="BI824">
        <f>IFERROR(INDEX(PP_Grid[#Data],$DD824,59),0)</f>
        <v/>
      </c>
      <c r="BJ824">
        <f>IFERROR(INDEX(PP_Grid[#Data],$DD824,60),0)</f>
        <v/>
      </c>
      <c r="BK824">
        <f>IFERROR(INDEX(PP_Grid[#Data],$DD824,61),0)</f>
        <v/>
      </c>
      <c r="BL824">
        <f>IFERROR(INDEX(PP_Grid[#Data],$DD824,62),0)</f>
        <v/>
      </c>
      <c r="BM824">
        <f>IFERROR(INDEX(PP_Grid[#Data],$DD824,63),0)</f>
        <v/>
      </c>
      <c r="BN824">
        <f>IFERROR(INDEX(PP_Grid[#Data],$DD824,64),0)</f>
        <v/>
      </c>
      <c r="BO824">
        <f>IFERROR(INDEX(PP_Grid[#Data],$DD824,65),0)</f>
        <v/>
      </c>
      <c r="BP824">
        <f>IFERROR(INDEX(PP_Grid[#Data],$DD824,66),0)</f>
        <v/>
      </c>
      <c r="BQ824">
        <f>IFERROR(INDEX(PP_Grid[#Data],$DD824,67),0)</f>
        <v/>
      </c>
      <c r="BR824">
        <f>IFERROR(INDEX(PP_Grid[#Data],$DD824,68),0)</f>
        <v/>
      </c>
      <c r="BS824">
        <f>IFERROR(INDEX(PP_Grid[#Data],$DD824,69),0)</f>
        <v/>
      </c>
      <c r="BT824">
        <f>IFERROR(INDEX(PP_Grid[#Data],$DD824,70),0)</f>
        <v/>
      </c>
      <c r="BU824">
        <f>IFERROR(INDEX(PP_Grid[#Data],$DD824,71),0)</f>
        <v/>
      </c>
      <c r="BV824">
        <f>IFERROR(INDEX(PP_Grid[#Data],$DD824,72),0)</f>
        <v/>
      </c>
      <c r="BW824">
        <f>IFERROR(INDEX(PP_Grid[#Data],$DD824,73),0)</f>
        <v/>
      </c>
      <c r="BX824">
        <f>IFERROR(INDEX(PP_Grid[#Data],$DD824,74),0)</f>
        <v/>
      </c>
      <c r="BY824">
        <f>IFERROR(INDEX(PP_Grid[#Data],$DD824,75),0)</f>
        <v/>
      </c>
      <c r="BZ824">
        <f>IFERROR(INDEX(PP_Grid[#Data],$DD824,76),0)</f>
        <v/>
      </c>
      <c r="CA824">
        <f>IFERROR(INDEX(PP_Grid[#Data],$DD824,77),0)</f>
        <v/>
      </c>
      <c r="CB824">
        <f>IFERROR(INDEX(PP_Grid[#Data],$DD824,78),0)</f>
        <v/>
      </c>
      <c r="CC824">
        <f>IFERROR(INDEX(PP_Grid[#Data],$DD824,79),0)</f>
        <v/>
      </c>
      <c r="CD824">
        <f>IFERROR(INDEX(PP_Grid[#Data],$DD824,80),0)</f>
        <v/>
      </c>
      <c r="CE824">
        <f>IFERROR(INDEX(PP_Grid[#Data],$DD824,81),0)</f>
        <v/>
      </c>
      <c r="CF824">
        <f>IFERROR(INDEX(PP_Grid[#Data],$DD824,82),0)</f>
        <v/>
      </c>
      <c r="CG824">
        <f>IFERROR(INDEX(PP_Grid[#Data],$DD824,83),0)</f>
        <v/>
      </c>
      <c r="CH824">
        <f>IFERROR(INDEX(PP_Grid[#Data],$DD824,84),0)</f>
        <v/>
      </c>
      <c r="CI824">
        <f>IFERROR(INDEX(PP_Grid[#Data],$DD824,85),0)</f>
        <v/>
      </c>
      <c r="CJ824">
        <f>IFERROR(INDEX(PP_Grid[#Data],$DD824,86),0)</f>
        <v/>
      </c>
      <c r="CK824">
        <f>IFERROR(INDEX(PP_Grid[#Data],$DD824,87),0)</f>
        <v/>
      </c>
      <c r="CL824">
        <f>IFERROR(INDEX(PP_Grid[#Data],$DD824,88),0)</f>
        <v/>
      </c>
      <c r="CM824">
        <f>IFERROR(INDEX(PP_Grid[#Data],$DD824,89),0)</f>
        <v/>
      </c>
      <c r="CN824">
        <f>IFERROR(INDEX(PP_Grid[#Data],$DD824,90),0)</f>
        <v/>
      </c>
      <c r="CO824">
        <f>IFERROR(INDEX(PP_Grid[#Data],$DD824,91),0)</f>
        <v/>
      </c>
      <c r="CP824">
        <f>IFERROR(INDEX(PP_Grid[#Data],$DD824,92),0)</f>
        <v/>
      </c>
      <c r="CQ824">
        <f>IFERROR(INDEX(PP_Grid[#Data],$DD824,93),0)</f>
        <v/>
      </c>
      <c r="CR824">
        <f>IFERROR(INDEX(PP_Grid[#Data],$DD824,94),0)</f>
        <v/>
      </c>
      <c r="CS824">
        <f>IFERROR(INDEX(PP_Grid[#Data],$DD824,95),0)</f>
        <v/>
      </c>
      <c r="CT824">
        <f>IFERROR(INDEX(PP_Grid[#Data],$DD824,96),0)</f>
        <v/>
      </c>
      <c r="CU824">
        <f>IFERROR(INDEX(PP_Grid[#Data],$DD824,97),0)</f>
        <v/>
      </c>
      <c r="CV824">
        <f>IFERROR(INDEX(PP_Grid[#Data],$DD824,98),0)</f>
        <v/>
      </c>
      <c r="CW824">
        <f>IFERROR(INDEX(PP_Grid[#Data],$DD824,99),0)</f>
        <v/>
      </c>
      <c r="CX824">
        <f>IFERROR(INDEX(PP_Grid[#Data],$DD824,100),0)</f>
        <v/>
      </c>
      <c r="CY824">
        <f>IFERROR(INDEX(PP_Grid[#Data],$DD824,101),0)</f>
        <v/>
      </c>
      <c r="CZ824">
        <f>IFERROR(INDEX(PP_Grid[#Data],$DD824,102),0)</f>
        <v/>
      </c>
      <c r="DA824">
        <f>IFERROR(INDEX(PP_Grid[#Data],$DD824,103),0)</f>
        <v/>
      </c>
      <c r="DB824">
        <f>IFERROR(INDEX(PP_Grid[#Data],$DD824,104),0)</f>
        <v/>
      </c>
      <c r="DC824">
        <f>IFERROR(INDEX(PP_Grid[#Data],$DD824,105),0)</f>
        <v/>
      </c>
      <c r="DD824" s="7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SUMIFS(M_BOM[RM_Qty_Per_Batch],M_BOM[Intermediate],$B824,M_BOM[Part Name],$A773)</f>
        <v/>
      </c>
      <c r="D825">
        <f>$C825*D824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IFERROR(INDEX(PP_Grid[#Data],$DD826,2),0)</f>
        <v/>
      </c>
      <c r="E826">
        <f>IFERROR(INDEX(PP_Grid[#Data],$DD826,3),0)</f>
        <v/>
      </c>
      <c r="F826">
        <f>IFERROR(INDEX(PP_Grid[#Data],$DD826,4),0)</f>
        <v/>
      </c>
      <c r="G826">
        <f>IFERROR(INDEX(PP_Grid[#Data],$DD826,5),0)</f>
        <v/>
      </c>
      <c r="H826">
        <f>IFERROR(INDEX(PP_Grid[#Data],$DD826,6),0)</f>
        <v/>
      </c>
      <c r="I826">
        <f>IFERROR(INDEX(PP_Grid[#Data],$DD826,7),0)</f>
        <v/>
      </c>
      <c r="J826">
        <f>IFERROR(INDEX(PP_Grid[#Data],$DD826,8),0)</f>
        <v/>
      </c>
      <c r="K826">
        <f>IFERROR(INDEX(PP_Grid[#Data],$DD826,9),0)</f>
        <v/>
      </c>
      <c r="L826">
        <f>IFERROR(INDEX(PP_Grid[#Data],$DD826,10),0)</f>
        <v/>
      </c>
      <c r="M826">
        <f>IFERROR(INDEX(PP_Grid[#Data],$DD826,11),0)</f>
        <v/>
      </c>
      <c r="N826">
        <f>IFERROR(INDEX(PP_Grid[#Data],$DD826,12),0)</f>
        <v/>
      </c>
      <c r="O826">
        <f>IFERROR(INDEX(PP_Grid[#Data],$DD826,13),0)</f>
        <v/>
      </c>
      <c r="P826">
        <f>IFERROR(INDEX(PP_Grid[#Data],$DD826,14),0)</f>
        <v/>
      </c>
      <c r="Q826">
        <f>IFERROR(INDEX(PP_Grid[#Data],$DD826,15),0)</f>
        <v/>
      </c>
      <c r="R826">
        <f>IFERROR(INDEX(PP_Grid[#Data],$DD826,16),0)</f>
        <v/>
      </c>
      <c r="S826">
        <f>IFERROR(INDEX(PP_Grid[#Data],$DD826,17),0)</f>
        <v/>
      </c>
      <c r="T826">
        <f>IFERROR(INDEX(PP_Grid[#Data],$DD826,18),0)</f>
        <v/>
      </c>
      <c r="U826">
        <f>IFERROR(INDEX(PP_Grid[#Data],$DD826,19),0)</f>
        <v/>
      </c>
      <c r="V826">
        <f>IFERROR(INDEX(PP_Grid[#Data],$DD826,20),0)</f>
        <v/>
      </c>
      <c r="W826">
        <f>IFERROR(INDEX(PP_Grid[#Data],$DD826,21),0)</f>
        <v/>
      </c>
      <c r="X826">
        <f>IFERROR(INDEX(PP_Grid[#Data],$DD826,22),0)</f>
        <v/>
      </c>
      <c r="Y826">
        <f>IFERROR(INDEX(PP_Grid[#Data],$DD826,23),0)</f>
        <v/>
      </c>
      <c r="Z826">
        <f>IFERROR(INDEX(PP_Grid[#Data],$DD826,24),0)</f>
        <v/>
      </c>
      <c r="AA826">
        <f>IFERROR(INDEX(PP_Grid[#Data],$DD826,25),0)</f>
        <v/>
      </c>
      <c r="AB826">
        <f>IFERROR(INDEX(PP_Grid[#Data],$DD826,26),0)</f>
        <v/>
      </c>
      <c r="AC826">
        <f>IFERROR(INDEX(PP_Grid[#Data],$DD826,27),0)</f>
        <v/>
      </c>
      <c r="AD826">
        <f>IFERROR(INDEX(PP_Grid[#Data],$DD826,28),0)</f>
        <v/>
      </c>
      <c r="AE826">
        <f>IFERROR(INDEX(PP_Grid[#Data],$DD826,29),0)</f>
        <v/>
      </c>
      <c r="AF826">
        <f>IFERROR(INDEX(PP_Grid[#Data],$DD826,30),0)</f>
        <v/>
      </c>
      <c r="AG826">
        <f>IFERROR(INDEX(PP_Grid[#Data],$DD826,31),0)</f>
        <v/>
      </c>
      <c r="AH826">
        <f>IFERROR(INDEX(PP_Grid[#Data],$DD826,32),0)</f>
        <v/>
      </c>
      <c r="AI826">
        <f>IFERROR(INDEX(PP_Grid[#Data],$DD826,33),0)</f>
        <v/>
      </c>
      <c r="AJ826">
        <f>IFERROR(INDEX(PP_Grid[#Data],$DD826,34),0)</f>
        <v/>
      </c>
      <c r="AK826">
        <f>IFERROR(INDEX(PP_Grid[#Data],$DD826,35),0)</f>
        <v/>
      </c>
      <c r="AL826">
        <f>IFERROR(INDEX(PP_Grid[#Data],$DD826,36),0)</f>
        <v/>
      </c>
      <c r="AM826">
        <f>IFERROR(INDEX(PP_Grid[#Data],$DD826,37),0)</f>
        <v/>
      </c>
      <c r="AN826">
        <f>IFERROR(INDEX(PP_Grid[#Data],$DD826,38),0)</f>
        <v/>
      </c>
      <c r="AO826">
        <f>IFERROR(INDEX(PP_Grid[#Data],$DD826,39),0)</f>
        <v/>
      </c>
      <c r="AP826">
        <f>IFERROR(INDEX(PP_Grid[#Data],$DD826,40),0)</f>
        <v/>
      </c>
      <c r="AQ826">
        <f>IFERROR(INDEX(PP_Grid[#Data],$DD826,41),0)</f>
        <v/>
      </c>
      <c r="AR826">
        <f>IFERROR(INDEX(PP_Grid[#Data],$DD826,42),0)</f>
        <v/>
      </c>
      <c r="AS826">
        <f>IFERROR(INDEX(PP_Grid[#Data],$DD826,43),0)</f>
        <v/>
      </c>
      <c r="AT826">
        <f>IFERROR(INDEX(PP_Grid[#Data],$DD826,44),0)</f>
        <v/>
      </c>
      <c r="AU826">
        <f>IFERROR(INDEX(PP_Grid[#Data],$DD826,45),0)</f>
        <v/>
      </c>
      <c r="AV826">
        <f>IFERROR(INDEX(PP_Grid[#Data],$DD826,46),0)</f>
        <v/>
      </c>
      <c r="AW826">
        <f>IFERROR(INDEX(PP_Grid[#Data],$DD826,47),0)</f>
        <v/>
      </c>
      <c r="AX826">
        <f>IFERROR(INDEX(PP_Grid[#Data],$DD826,48),0)</f>
        <v/>
      </c>
      <c r="AY826">
        <f>IFERROR(INDEX(PP_Grid[#Data],$DD826,49),0)</f>
        <v/>
      </c>
      <c r="AZ826">
        <f>IFERROR(INDEX(PP_Grid[#Data],$DD826,50),0)</f>
        <v/>
      </c>
      <c r="BA826">
        <f>IFERROR(INDEX(PP_Grid[#Data],$DD826,51),0)</f>
        <v/>
      </c>
      <c r="BB826">
        <f>IFERROR(INDEX(PP_Grid[#Data],$DD826,52),0)</f>
        <v/>
      </c>
      <c r="BC826">
        <f>IFERROR(INDEX(PP_Grid[#Data],$DD826,53),0)</f>
        <v/>
      </c>
      <c r="BD826">
        <f>IFERROR(INDEX(PP_Grid[#Data],$DD826,54),0)</f>
        <v/>
      </c>
      <c r="BE826">
        <f>IFERROR(INDEX(PP_Grid[#Data],$DD826,55),0)</f>
        <v/>
      </c>
      <c r="BF826">
        <f>IFERROR(INDEX(PP_Grid[#Data],$DD826,56),0)</f>
        <v/>
      </c>
      <c r="BG826">
        <f>IFERROR(INDEX(PP_Grid[#Data],$DD826,57),0)</f>
        <v/>
      </c>
      <c r="BH826">
        <f>IFERROR(INDEX(PP_Grid[#Data],$DD826,58),0)</f>
        <v/>
      </c>
      <c r="BI826">
        <f>IFERROR(INDEX(PP_Grid[#Data],$DD826,59),0)</f>
        <v/>
      </c>
      <c r="BJ826">
        <f>IFERROR(INDEX(PP_Grid[#Data],$DD826,60),0)</f>
        <v/>
      </c>
      <c r="BK826">
        <f>IFERROR(INDEX(PP_Grid[#Data],$DD826,61),0)</f>
        <v/>
      </c>
      <c r="BL826">
        <f>IFERROR(INDEX(PP_Grid[#Data],$DD826,62),0)</f>
        <v/>
      </c>
      <c r="BM826">
        <f>IFERROR(INDEX(PP_Grid[#Data],$DD826,63),0)</f>
        <v/>
      </c>
      <c r="BN826">
        <f>IFERROR(INDEX(PP_Grid[#Data],$DD826,64),0)</f>
        <v/>
      </c>
      <c r="BO826">
        <f>IFERROR(INDEX(PP_Grid[#Data],$DD826,65),0)</f>
        <v/>
      </c>
      <c r="BP826">
        <f>IFERROR(INDEX(PP_Grid[#Data],$DD826,66),0)</f>
        <v/>
      </c>
      <c r="BQ826">
        <f>IFERROR(INDEX(PP_Grid[#Data],$DD826,67),0)</f>
        <v/>
      </c>
      <c r="BR826">
        <f>IFERROR(INDEX(PP_Grid[#Data],$DD826,68),0)</f>
        <v/>
      </c>
      <c r="BS826">
        <f>IFERROR(INDEX(PP_Grid[#Data],$DD826,69),0)</f>
        <v/>
      </c>
      <c r="BT826">
        <f>IFERROR(INDEX(PP_Grid[#Data],$DD826,70),0)</f>
        <v/>
      </c>
      <c r="BU826">
        <f>IFERROR(INDEX(PP_Grid[#Data],$DD826,71),0)</f>
        <v/>
      </c>
      <c r="BV826">
        <f>IFERROR(INDEX(PP_Grid[#Data],$DD826,72),0)</f>
        <v/>
      </c>
      <c r="BW826">
        <f>IFERROR(INDEX(PP_Grid[#Data],$DD826,73),0)</f>
        <v/>
      </c>
      <c r="BX826">
        <f>IFERROR(INDEX(PP_Grid[#Data],$DD826,74),0)</f>
        <v/>
      </c>
      <c r="BY826">
        <f>IFERROR(INDEX(PP_Grid[#Data],$DD826,75),0)</f>
        <v/>
      </c>
      <c r="BZ826">
        <f>IFERROR(INDEX(PP_Grid[#Data],$DD826,76),0)</f>
        <v/>
      </c>
      <c r="CA826">
        <f>IFERROR(INDEX(PP_Grid[#Data],$DD826,77),0)</f>
        <v/>
      </c>
      <c r="CB826">
        <f>IFERROR(INDEX(PP_Grid[#Data],$DD826,78),0)</f>
        <v/>
      </c>
      <c r="CC826">
        <f>IFERROR(INDEX(PP_Grid[#Data],$DD826,79),0)</f>
        <v/>
      </c>
      <c r="CD826">
        <f>IFERROR(INDEX(PP_Grid[#Data],$DD826,80),0)</f>
        <v/>
      </c>
      <c r="CE826">
        <f>IFERROR(INDEX(PP_Grid[#Data],$DD826,81),0)</f>
        <v/>
      </c>
      <c r="CF826">
        <f>IFERROR(INDEX(PP_Grid[#Data],$DD826,82),0)</f>
        <v/>
      </c>
      <c r="CG826">
        <f>IFERROR(INDEX(PP_Grid[#Data],$DD826,83),0)</f>
        <v/>
      </c>
      <c r="CH826">
        <f>IFERROR(INDEX(PP_Grid[#Data],$DD826,84),0)</f>
        <v/>
      </c>
      <c r="CI826">
        <f>IFERROR(INDEX(PP_Grid[#Data],$DD826,85),0)</f>
        <v/>
      </c>
      <c r="CJ826">
        <f>IFERROR(INDEX(PP_Grid[#Data],$DD826,86),0)</f>
        <v/>
      </c>
      <c r="CK826">
        <f>IFERROR(INDEX(PP_Grid[#Data],$DD826,87),0)</f>
        <v/>
      </c>
      <c r="CL826">
        <f>IFERROR(INDEX(PP_Grid[#Data],$DD826,88),0)</f>
        <v/>
      </c>
      <c r="CM826">
        <f>IFERROR(INDEX(PP_Grid[#Data],$DD826,89),0)</f>
        <v/>
      </c>
      <c r="CN826">
        <f>IFERROR(INDEX(PP_Grid[#Data],$DD826,90),0)</f>
        <v/>
      </c>
      <c r="CO826">
        <f>IFERROR(INDEX(PP_Grid[#Data],$DD826,91),0)</f>
        <v/>
      </c>
      <c r="CP826">
        <f>IFERROR(INDEX(PP_Grid[#Data],$DD826,92),0)</f>
        <v/>
      </c>
      <c r="CQ826">
        <f>IFERROR(INDEX(PP_Grid[#Data],$DD826,93),0)</f>
        <v/>
      </c>
      <c r="CR826">
        <f>IFERROR(INDEX(PP_Grid[#Data],$DD826,94),0)</f>
        <v/>
      </c>
      <c r="CS826">
        <f>IFERROR(INDEX(PP_Grid[#Data],$DD826,95),0)</f>
        <v/>
      </c>
      <c r="CT826">
        <f>IFERROR(INDEX(PP_Grid[#Data],$DD826,96),0)</f>
        <v/>
      </c>
      <c r="CU826">
        <f>IFERROR(INDEX(PP_Grid[#Data],$DD826,97),0)</f>
        <v/>
      </c>
      <c r="CV826">
        <f>IFERROR(INDEX(PP_Grid[#Data],$DD826,98),0)</f>
        <v/>
      </c>
      <c r="CW826">
        <f>IFERROR(INDEX(PP_Grid[#Data],$DD826,99),0)</f>
        <v/>
      </c>
      <c r="CX826">
        <f>IFERROR(INDEX(PP_Grid[#Data],$DD826,100),0)</f>
        <v/>
      </c>
      <c r="CY826">
        <f>IFERROR(INDEX(PP_Grid[#Data],$DD826,101),0)</f>
        <v/>
      </c>
      <c r="CZ826">
        <f>IFERROR(INDEX(PP_Grid[#Data],$DD826,102),0)</f>
        <v/>
      </c>
      <c r="DA826">
        <f>IFERROR(INDEX(PP_Grid[#Data],$DD826,103),0)</f>
        <v/>
      </c>
      <c r="DB826">
        <f>IFERROR(INDEX(PP_Grid[#Data],$DD826,104),0)</f>
        <v/>
      </c>
      <c r="DC826">
        <f>IFERROR(INDEX(PP_Grid[#Data],$DD826,105),0)</f>
        <v/>
      </c>
      <c r="DD826" s="7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SUMIFS(M_BOM[RM_Qty_Per_Batch],M_BOM[Intermediate],$B826,M_BOM[Part Name],$A773)</f>
        <v/>
      </c>
      <c r="D827">
        <f>$C827*D826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</row>
    <row r="828">
      <c r="B828" s="4" t="inlineStr">
        <is>
          <t>合計使用量(kg)/週</t>
        </is>
      </c>
      <c r="D828">
        <f>'Grid_Requirement'!B17</f>
        <v/>
      </c>
      <c r="E828">
        <f>'Grid_Requirement'!C17</f>
        <v/>
      </c>
      <c r="F828">
        <f>'Grid_Requirement'!D17</f>
        <v/>
      </c>
      <c r="G828">
        <f>'Grid_Requirement'!E17</f>
        <v/>
      </c>
      <c r="H828">
        <f>'Grid_Requirement'!F17</f>
        <v/>
      </c>
      <c r="I828">
        <f>'Grid_Requirement'!G17</f>
        <v/>
      </c>
      <c r="J828">
        <f>'Grid_Requirement'!H17</f>
        <v/>
      </c>
      <c r="K828">
        <f>'Grid_Requirement'!I17</f>
        <v/>
      </c>
      <c r="L828">
        <f>'Grid_Requirement'!J17</f>
        <v/>
      </c>
      <c r="M828">
        <f>'Grid_Requirement'!K17</f>
        <v/>
      </c>
      <c r="N828">
        <f>'Grid_Requirement'!L17</f>
        <v/>
      </c>
      <c r="O828">
        <f>'Grid_Requirement'!M17</f>
        <v/>
      </c>
      <c r="P828">
        <f>'Grid_Requirement'!N17</f>
        <v/>
      </c>
      <c r="Q828">
        <f>'Grid_Requirement'!O17</f>
        <v/>
      </c>
      <c r="R828">
        <f>'Grid_Requirement'!P17</f>
        <v/>
      </c>
      <c r="S828">
        <f>'Grid_Requirement'!Q17</f>
        <v/>
      </c>
      <c r="T828">
        <f>'Grid_Requirement'!R17</f>
        <v/>
      </c>
      <c r="U828">
        <f>'Grid_Requirement'!S17</f>
        <v/>
      </c>
      <c r="V828">
        <f>'Grid_Requirement'!T17</f>
        <v/>
      </c>
      <c r="W828">
        <f>'Grid_Requirement'!U17</f>
        <v/>
      </c>
      <c r="X828">
        <f>'Grid_Requirement'!V17</f>
        <v/>
      </c>
      <c r="Y828">
        <f>'Grid_Requirement'!W17</f>
        <v/>
      </c>
      <c r="Z828">
        <f>'Grid_Requirement'!X17</f>
        <v/>
      </c>
      <c r="AA828">
        <f>'Grid_Requirement'!Y17</f>
        <v/>
      </c>
      <c r="AB828">
        <f>'Grid_Requirement'!Z17</f>
        <v/>
      </c>
      <c r="AC828">
        <f>'Grid_Requirement'!AA17</f>
        <v/>
      </c>
      <c r="AD828">
        <f>'Grid_Requirement'!AB17</f>
        <v/>
      </c>
      <c r="AE828">
        <f>'Grid_Requirement'!AC17</f>
        <v/>
      </c>
      <c r="AF828">
        <f>'Grid_Requirement'!AD17</f>
        <v/>
      </c>
      <c r="AG828">
        <f>'Grid_Requirement'!AE17</f>
        <v/>
      </c>
      <c r="AH828">
        <f>'Grid_Requirement'!AF17</f>
        <v/>
      </c>
      <c r="AI828">
        <f>'Grid_Requirement'!AG17</f>
        <v/>
      </c>
      <c r="AJ828">
        <f>'Grid_Requirement'!AH17</f>
        <v/>
      </c>
      <c r="AK828">
        <f>'Grid_Requirement'!AI17</f>
        <v/>
      </c>
      <c r="AL828">
        <f>'Grid_Requirement'!AJ17</f>
        <v/>
      </c>
      <c r="AM828">
        <f>'Grid_Requirement'!AK17</f>
        <v/>
      </c>
      <c r="AN828">
        <f>'Grid_Requirement'!AL17</f>
        <v/>
      </c>
      <c r="AO828">
        <f>'Grid_Requirement'!AM17</f>
        <v/>
      </c>
      <c r="AP828">
        <f>'Grid_Requirement'!AN17</f>
        <v/>
      </c>
      <c r="AQ828">
        <f>'Grid_Requirement'!AO17</f>
        <v/>
      </c>
      <c r="AR828">
        <f>'Grid_Requirement'!AP17</f>
        <v/>
      </c>
      <c r="AS828">
        <f>'Grid_Requirement'!AQ17</f>
        <v/>
      </c>
      <c r="AT828">
        <f>'Grid_Requirement'!AR17</f>
        <v/>
      </c>
      <c r="AU828">
        <f>'Grid_Requirement'!AS17</f>
        <v/>
      </c>
      <c r="AV828">
        <f>'Grid_Requirement'!AT17</f>
        <v/>
      </c>
      <c r="AW828">
        <f>'Grid_Requirement'!AU17</f>
        <v/>
      </c>
      <c r="AX828">
        <f>'Grid_Requirement'!AV17</f>
        <v/>
      </c>
      <c r="AY828">
        <f>'Grid_Requirement'!AW17</f>
        <v/>
      </c>
      <c r="AZ828">
        <f>'Grid_Requirement'!AX17</f>
        <v/>
      </c>
      <c r="BA828">
        <f>'Grid_Requirement'!AY17</f>
        <v/>
      </c>
      <c r="BB828">
        <f>'Grid_Requirement'!AZ17</f>
        <v/>
      </c>
      <c r="BC828">
        <f>'Grid_Requirement'!BA17</f>
        <v/>
      </c>
      <c r="BD828">
        <f>'Grid_Requirement'!BB17</f>
        <v/>
      </c>
      <c r="BE828">
        <f>'Grid_Requirement'!BC17</f>
        <v/>
      </c>
      <c r="BF828">
        <f>'Grid_Requirement'!BD17</f>
        <v/>
      </c>
      <c r="BG828">
        <f>'Grid_Requirement'!BE17</f>
        <v/>
      </c>
      <c r="BH828">
        <f>'Grid_Requirement'!BF17</f>
        <v/>
      </c>
      <c r="BI828">
        <f>'Grid_Requirement'!BG17</f>
        <v/>
      </c>
      <c r="BJ828">
        <f>'Grid_Requirement'!BH17</f>
        <v/>
      </c>
      <c r="BK828">
        <f>'Grid_Requirement'!BI17</f>
        <v/>
      </c>
      <c r="BL828">
        <f>'Grid_Requirement'!BJ17</f>
        <v/>
      </c>
      <c r="BM828">
        <f>'Grid_Requirement'!BK17</f>
        <v/>
      </c>
      <c r="BN828">
        <f>'Grid_Requirement'!BL17</f>
        <v/>
      </c>
      <c r="BO828">
        <f>'Grid_Requirement'!BM17</f>
        <v/>
      </c>
      <c r="BP828">
        <f>'Grid_Requirement'!BN17</f>
        <v/>
      </c>
      <c r="BQ828">
        <f>'Grid_Requirement'!BO17</f>
        <v/>
      </c>
      <c r="BR828">
        <f>'Grid_Requirement'!BP17</f>
        <v/>
      </c>
      <c r="BS828">
        <f>'Grid_Requirement'!BQ17</f>
        <v/>
      </c>
      <c r="BT828">
        <f>'Grid_Requirement'!BR17</f>
        <v/>
      </c>
      <c r="BU828">
        <f>'Grid_Requirement'!BS17</f>
        <v/>
      </c>
      <c r="BV828">
        <f>'Grid_Requirement'!BT17</f>
        <v/>
      </c>
      <c r="BW828">
        <f>'Grid_Requirement'!BU17</f>
        <v/>
      </c>
      <c r="BX828">
        <f>'Grid_Requirement'!BV17</f>
        <v/>
      </c>
      <c r="BY828">
        <f>'Grid_Requirement'!BW17</f>
        <v/>
      </c>
      <c r="BZ828">
        <f>'Grid_Requirement'!BX17</f>
        <v/>
      </c>
      <c r="CA828">
        <f>'Grid_Requirement'!BY17</f>
        <v/>
      </c>
      <c r="CB828">
        <f>'Grid_Requirement'!BZ17</f>
        <v/>
      </c>
      <c r="CC828">
        <f>'Grid_Requirement'!CA17</f>
        <v/>
      </c>
      <c r="CD828">
        <f>'Grid_Requirement'!CB17</f>
        <v/>
      </c>
      <c r="CE828">
        <f>'Grid_Requirement'!CC17</f>
        <v/>
      </c>
      <c r="CF828">
        <f>'Grid_Requirement'!CD17</f>
        <v/>
      </c>
      <c r="CG828">
        <f>'Grid_Requirement'!CE17</f>
        <v/>
      </c>
      <c r="CH828">
        <f>'Grid_Requirement'!CF17</f>
        <v/>
      </c>
      <c r="CI828">
        <f>'Grid_Requirement'!CG17</f>
        <v/>
      </c>
      <c r="CJ828">
        <f>'Grid_Requirement'!CH17</f>
        <v/>
      </c>
      <c r="CK828">
        <f>'Grid_Requirement'!CI17</f>
        <v/>
      </c>
      <c r="CL828">
        <f>'Grid_Requirement'!CJ17</f>
        <v/>
      </c>
      <c r="CM828">
        <f>'Grid_Requirement'!CK17</f>
        <v/>
      </c>
      <c r="CN828">
        <f>'Grid_Requirement'!CL17</f>
        <v/>
      </c>
      <c r="CO828">
        <f>'Grid_Requirement'!CM17</f>
        <v/>
      </c>
      <c r="CP828">
        <f>'Grid_Requirement'!CN17</f>
        <v/>
      </c>
      <c r="CQ828">
        <f>'Grid_Requirement'!CO17</f>
        <v/>
      </c>
      <c r="CR828">
        <f>'Grid_Requirement'!CP17</f>
        <v/>
      </c>
      <c r="CS828">
        <f>'Grid_Requirement'!CQ17</f>
        <v/>
      </c>
      <c r="CT828">
        <f>'Grid_Requirement'!CR17</f>
        <v/>
      </c>
      <c r="CU828">
        <f>'Grid_Requirement'!CS17</f>
        <v/>
      </c>
      <c r="CV828">
        <f>'Grid_Requirement'!CT17</f>
        <v/>
      </c>
      <c r="CW828">
        <f>'Grid_Requirement'!CU17</f>
        <v/>
      </c>
      <c r="CX828">
        <f>'Grid_Requirement'!CV17</f>
        <v/>
      </c>
      <c r="CY828">
        <f>'Grid_Requirement'!CW17</f>
        <v/>
      </c>
      <c r="CZ828">
        <f>'Grid_Requirement'!CX17</f>
        <v/>
      </c>
      <c r="DA828">
        <f>'Grid_Requirement'!CY17</f>
        <v/>
      </c>
      <c r="DB828">
        <f>'Grid_Requirement'!CZ17</f>
        <v/>
      </c>
      <c r="DC828">
        <f>'Grid_Requirement'!DA17</f>
        <v/>
      </c>
    </row>
    <row r="829">
      <c r="B829" t="inlineStr">
        <is>
          <t>TTAF在庫(実績,kg)</t>
        </is>
      </c>
      <c r="D829">
        <f>'T_TTAFStock'!B21</f>
        <v/>
      </c>
      <c r="E829">
        <f>'T_TTAFStock'!C21</f>
        <v/>
      </c>
      <c r="F829">
        <f>'T_TTAFStock'!D21</f>
        <v/>
      </c>
      <c r="G829">
        <f>'T_TTAFStock'!E21</f>
        <v/>
      </c>
      <c r="H829">
        <f>'T_TTAFStock'!F21</f>
        <v/>
      </c>
      <c r="I829">
        <f>'T_TTAFStock'!G21</f>
        <v/>
      </c>
      <c r="J829">
        <f>'T_TTAFStock'!H21</f>
        <v/>
      </c>
      <c r="K829">
        <f>'T_TTAFStock'!I21</f>
        <v/>
      </c>
      <c r="L829">
        <f>'T_TTAFStock'!J21</f>
        <v/>
      </c>
      <c r="M829">
        <f>'T_TTAFStock'!K21</f>
        <v/>
      </c>
      <c r="N829">
        <f>'T_TTAFStock'!L21</f>
        <v/>
      </c>
      <c r="O829">
        <f>'T_TTAFStock'!M21</f>
        <v/>
      </c>
      <c r="P829">
        <f>'T_TTAFStock'!N21</f>
        <v/>
      </c>
      <c r="Q829">
        <f>'T_TTAFStock'!O21</f>
        <v/>
      </c>
      <c r="R829">
        <f>'T_TTAFStock'!P21</f>
        <v/>
      </c>
      <c r="S829">
        <f>'T_TTAFStock'!Q21</f>
        <v/>
      </c>
      <c r="T829">
        <f>'T_TTAFStock'!R21</f>
        <v/>
      </c>
      <c r="U829">
        <f>'T_TTAFStock'!S21</f>
        <v/>
      </c>
      <c r="V829">
        <f>'T_TTAFStock'!T21</f>
        <v/>
      </c>
      <c r="W829">
        <f>'T_TTAFStock'!U21</f>
        <v/>
      </c>
      <c r="X829">
        <f>'T_TTAFStock'!V21</f>
        <v/>
      </c>
      <c r="Y829">
        <f>'T_TTAFStock'!W21</f>
        <v/>
      </c>
      <c r="Z829">
        <f>'T_TTAFStock'!X21</f>
        <v/>
      </c>
      <c r="AA829">
        <f>'T_TTAFStock'!Y21</f>
        <v/>
      </c>
      <c r="AB829">
        <f>'T_TTAFStock'!Z21</f>
        <v/>
      </c>
      <c r="AC829">
        <f>'T_TTAFStock'!AA21</f>
        <v/>
      </c>
      <c r="AD829">
        <f>'T_TTAFStock'!AB21</f>
        <v/>
      </c>
      <c r="AE829">
        <f>'T_TTAFStock'!AC21</f>
        <v/>
      </c>
      <c r="AF829">
        <f>'T_TTAFStock'!AD21</f>
        <v/>
      </c>
      <c r="AG829">
        <f>'T_TTAFStock'!AE21</f>
        <v/>
      </c>
      <c r="AH829">
        <f>'T_TTAFStock'!AF21</f>
        <v/>
      </c>
      <c r="AI829">
        <f>'T_TTAFStock'!AG21</f>
        <v/>
      </c>
      <c r="AJ829">
        <f>'T_TTAFStock'!AH21</f>
        <v/>
      </c>
      <c r="AK829">
        <f>'T_TTAFStock'!AI21</f>
        <v/>
      </c>
      <c r="AL829">
        <f>'T_TTAFStock'!AJ21</f>
        <v/>
      </c>
      <c r="AM829">
        <f>'T_TTAFStock'!AK21</f>
        <v/>
      </c>
      <c r="AN829">
        <f>'T_TTAFStock'!AL21</f>
        <v/>
      </c>
      <c r="AO829">
        <f>'T_TTAFStock'!AM21</f>
        <v/>
      </c>
      <c r="AP829">
        <f>'T_TTAFStock'!AN21</f>
        <v/>
      </c>
      <c r="AQ829">
        <f>'T_TTAFStock'!AO21</f>
        <v/>
      </c>
      <c r="AR829">
        <f>'T_TTAFStock'!AP21</f>
        <v/>
      </c>
      <c r="AS829">
        <f>'T_TTAFStock'!AQ21</f>
        <v/>
      </c>
      <c r="AT829">
        <f>'T_TTAFStock'!AR21</f>
        <v/>
      </c>
      <c r="AU829">
        <f>'T_TTAFStock'!AS21</f>
        <v/>
      </c>
      <c r="AV829">
        <f>'T_TTAFStock'!AT21</f>
        <v/>
      </c>
      <c r="AW829">
        <f>'T_TTAFStock'!AU21</f>
        <v/>
      </c>
      <c r="AX829">
        <f>'T_TTAFStock'!AV21</f>
        <v/>
      </c>
      <c r="AY829">
        <f>'T_TTAFStock'!AW21</f>
        <v/>
      </c>
      <c r="AZ829">
        <f>'T_TTAFStock'!AX21</f>
        <v/>
      </c>
      <c r="BA829">
        <f>'T_TTAFStock'!AY21</f>
        <v/>
      </c>
      <c r="BB829">
        <f>'T_TTAFStock'!AZ21</f>
        <v/>
      </c>
      <c r="BC829">
        <f>'T_TTAFStock'!BA21</f>
        <v/>
      </c>
      <c r="BD829">
        <f>'T_TTAFStock'!BB21</f>
        <v/>
      </c>
      <c r="BE829">
        <f>'T_TTAFStock'!BC21</f>
        <v/>
      </c>
      <c r="BF829">
        <f>'T_TTAFStock'!BD21</f>
        <v/>
      </c>
      <c r="BG829">
        <f>'T_TTAFStock'!BE21</f>
        <v/>
      </c>
      <c r="BH829">
        <f>'T_TTAFStock'!BF21</f>
        <v/>
      </c>
      <c r="BI829">
        <f>'T_TTAFStock'!BG21</f>
        <v/>
      </c>
      <c r="BJ829">
        <f>'T_TTAFStock'!BH21</f>
        <v/>
      </c>
      <c r="BK829">
        <f>'T_TTAFStock'!BI21</f>
        <v/>
      </c>
      <c r="BL829">
        <f>'T_TTAFStock'!BJ21</f>
        <v/>
      </c>
      <c r="BM829">
        <f>'T_TTAFStock'!BK21</f>
        <v/>
      </c>
      <c r="BN829">
        <f>'T_TTAFStock'!BL21</f>
        <v/>
      </c>
      <c r="BO829">
        <f>'T_TTAFStock'!BM21</f>
        <v/>
      </c>
      <c r="BP829">
        <f>'T_TTAFStock'!BN21</f>
        <v/>
      </c>
      <c r="BQ829">
        <f>'T_TTAFStock'!BO21</f>
        <v/>
      </c>
      <c r="BR829">
        <f>'T_TTAFStock'!BP21</f>
        <v/>
      </c>
      <c r="BS829">
        <f>'T_TTAFStock'!BQ21</f>
        <v/>
      </c>
      <c r="BT829">
        <f>'T_TTAFStock'!BR21</f>
        <v/>
      </c>
      <c r="BU829">
        <f>'T_TTAFStock'!BS21</f>
        <v/>
      </c>
      <c r="BV829">
        <f>'T_TTAFStock'!BT21</f>
        <v/>
      </c>
      <c r="BW829">
        <f>'T_TTAFStock'!BU21</f>
        <v/>
      </c>
      <c r="BX829">
        <f>'T_TTAFStock'!BV21</f>
        <v/>
      </c>
      <c r="BY829">
        <f>'T_TTAFStock'!BW21</f>
        <v/>
      </c>
      <c r="BZ829">
        <f>'T_TTAFStock'!BX21</f>
        <v/>
      </c>
      <c r="CA829">
        <f>'T_TTAFStock'!BY21</f>
        <v/>
      </c>
      <c r="CB829">
        <f>'T_TTAFStock'!BZ21</f>
        <v/>
      </c>
      <c r="CC829">
        <f>'T_TTAFStock'!CA21</f>
        <v/>
      </c>
      <c r="CD829">
        <f>'T_TTAFStock'!CB21</f>
        <v/>
      </c>
      <c r="CE829">
        <f>'T_TTAFStock'!CC21</f>
        <v/>
      </c>
      <c r="CF829">
        <f>'T_TTAFStock'!CD21</f>
        <v/>
      </c>
      <c r="CG829">
        <f>'T_TTAFStock'!CE21</f>
        <v/>
      </c>
      <c r="CH829">
        <f>'T_TTAFStock'!CF21</f>
        <v/>
      </c>
      <c r="CI829">
        <f>'T_TTAFStock'!CG21</f>
        <v/>
      </c>
      <c r="CJ829">
        <f>'T_TTAFStock'!CH21</f>
        <v/>
      </c>
      <c r="CK829">
        <f>'T_TTAFStock'!CI21</f>
        <v/>
      </c>
      <c r="CL829">
        <f>'T_TTAFStock'!CJ21</f>
        <v/>
      </c>
      <c r="CM829">
        <f>'T_TTAFStock'!CK21</f>
        <v/>
      </c>
      <c r="CN829">
        <f>'T_TTAFStock'!CL21</f>
        <v/>
      </c>
      <c r="CO829">
        <f>'T_TTAFStock'!CM21</f>
        <v/>
      </c>
      <c r="CP829">
        <f>'T_TTAFStock'!CN21</f>
        <v/>
      </c>
      <c r="CQ829">
        <f>'T_TTAFStock'!CO21</f>
        <v/>
      </c>
      <c r="CR829">
        <f>'T_TTAFStock'!CP21</f>
        <v/>
      </c>
      <c r="CS829">
        <f>'T_TTAFStock'!CQ21</f>
        <v/>
      </c>
      <c r="CT829">
        <f>'T_TTAFStock'!CR21</f>
        <v/>
      </c>
      <c r="CU829">
        <f>'T_TTAFStock'!CS21</f>
        <v/>
      </c>
      <c r="CV829">
        <f>'T_TTAFStock'!CT21</f>
        <v/>
      </c>
      <c r="CW829">
        <f>'T_TTAFStock'!CU21</f>
        <v/>
      </c>
      <c r="CX829">
        <f>'T_TTAFStock'!CV21</f>
        <v/>
      </c>
      <c r="CY829">
        <f>'T_TTAFStock'!CW21</f>
        <v/>
      </c>
      <c r="CZ829">
        <f>'T_TTAFStock'!CX21</f>
        <v/>
      </c>
      <c r="DA829">
        <f>'T_TTAFStock'!CY21</f>
        <v/>
      </c>
      <c r="DB829">
        <f>'T_TTAFStock'!CZ21</f>
        <v/>
      </c>
      <c r="DC829">
        <f>'T_TTAFStock'!DA21</f>
        <v/>
      </c>
    </row>
    <row r="830">
      <c r="B830" t="inlineStr">
        <is>
          <t>自社在庫(実績,kg)</t>
        </is>
      </c>
      <c r="D830">
        <f>'T_SelfStock'!B21</f>
        <v/>
      </c>
      <c r="E830">
        <f>'T_SelfStock'!C21</f>
        <v/>
      </c>
      <c r="F830">
        <f>'T_SelfStock'!D21</f>
        <v/>
      </c>
      <c r="G830">
        <f>'T_SelfStock'!E21</f>
        <v/>
      </c>
      <c r="H830">
        <f>'T_SelfStock'!F21</f>
        <v/>
      </c>
      <c r="I830">
        <f>'T_SelfStock'!G21</f>
        <v/>
      </c>
      <c r="J830">
        <f>'T_SelfStock'!H21</f>
        <v/>
      </c>
      <c r="K830">
        <f>'T_SelfStock'!I21</f>
        <v/>
      </c>
      <c r="L830">
        <f>'T_SelfStock'!J21</f>
        <v/>
      </c>
      <c r="M830">
        <f>'T_SelfStock'!K21</f>
        <v/>
      </c>
      <c r="N830">
        <f>'T_SelfStock'!L21</f>
        <v/>
      </c>
      <c r="O830">
        <f>'T_SelfStock'!M21</f>
        <v/>
      </c>
      <c r="P830">
        <f>'T_SelfStock'!N21</f>
        <v/>
      </c>
      <c r="Q830">
        <f>'T_SelfStock'!O21</f>
        <v/>
      </c>
      <c r="R830">
        <f>'T_SelfStock'!P21</f>
        <v/>
      </c>
      <c r="S830">
        <f>'T_SelfStock'!Q21</f>
        <v/>
      </c>
      <c r="T830">
        <f>'T_SelfStock'!R21</f>
        <v/>
      </c>
      <c r="U830">
        <f>'T_SelfStock'!S21</f>
        <v/>
      </c>
      <c r="V830">
        <f>'T_SelfStock'!T21</f>
        <v/>
      </c>
      <c r="W830">
        <f>'T_SelfStock'!U21</f>
        <v/>
      </c>
      <c r="X830">
        <f>'T_SelfStock'!V21</f>
        <v/>
      </c>
      <c r="Y830">
        <f>'T_SelfStock'!W21</f>
        <v/>
      </c>
      <c r="Z830">
        <f>'T_SelfStock'!X21</f>
        <v/>
      </c>
      <c r="AA830">
        <f>'T_SelfStock'!Y21</f>
        <v/>
      </c>
      <c r="AB830">
        <f>'T_SelfStock'!Z21</f>
        <v/>
      </c>
      <c r="AC830">
        <f>'T_SelfStock'!AA21</f>
        <v/>
      </c>
      <c r="AD830">
        <f>'T_SelfStock'!AB21</f>
        <v/>
      </c>
      <c r="AE830">
        <f>'T_SelfStock'!AC21</f>
        <v/>
      </c>
      <c r="AF830">
        <f>'T_SelfStock'!AD21</f>
        <v/>
      </c>
      <c r="AG830">
        <f>'T_SelfStock'!AE21</f>
        <v/>
      </c>
      <c r="AH830">
        <f>'T_SelfStock'!AF21</f>
        <v/>
      </c>
      <c r="AI830">
        <f>'T_SelfStock'!AG21</f>
        <v/>
      </c>
      <c r="AJ830">
        <f>'T_SelfStock'!AH21</f>
        <v/>
      </c>
      <c r="AK830">
        <f>'T_SelfStock'!AI21</f>
        <v/>
      </c>
      <c r="AL830">
        <f>'T_SelfStock'!AJ21</f>
        <v/>
      </c>
      <c r="AM830">
        <f>'T_SelfStock'!AK21</f>
        <v/>
      </c>
      <c r="AN830">
        <f>'T_SelfStock'!AL21</f>
        <v/>
      </c>
      <c r="AO830">
        <f>'T_SelfStock'!AM21</f>
        <v/>
      </c>
      <c r="AP830">
        <f>'T_SelfStock'!AN21</f>
        <v/>
      </c>
      <c r="AQ830">
        <f>'T_SelfStock'!AO21</f>
        <v/>
      </c>
      <c r="AR830">
        <f>'T_SelfStock'!AP21</f>
        <v/>
      </c>
      <c r="AS830">
        <f>'T_SelfStock'!AQ21</f>
        <v/>
      </c>
      <c r="AT830">
        <f>'T_SelfStock'!AR21</f>
        <v/>
      </c>
      <c r="AU830">
        <f>'T_SelfStock'!AS21</f>
        <v/>
      </c>
      <c r="AV830">
        <f>'T_SelfStock'!AT21</f>
        <v/>
      </c>
      <c r="AW830">
        <f>'T_SelfStock'!AU21</f>
        <v/>
      </c>
      <c r="AX830">
        <f>'T_SelfStock'!AV21</f>
        <v/>
      </c>
      <c r="AY830">
        <f>'T_SelfStock'!AW21</f>
        <v/>
      </c>
      <c r="AZ830">
        <f>'T_SelfStock'!AX21</f>
        <v/>
      </c>
      <c r="BA830">
        <f>'T_SelfStock'!AY21</f>
        <v/>
      </c>
      <c r="BB830">
        <f>'T_SelfStock'!AZ21</f>
        <v/>
      </c>
      <c r="BC830">
        <f>'T_SelfStock'!BA21</f>
        <v/>
      </c>
      <c r="BD830">
        <f>'T_SelfStock'!BB21</f>
        <v/>
      </c>
      <c r="BE830">
        <f>'T_SelfStock'!BC21</f>
        <v/>
      </c>
      <c r="BF830">
        <f>'T_SelfStock'!BD21</f>
        <v/>
      </c>
      <c r="BG830">
        <f>'T_SelfStock'!BE21</f>
        <v/>
      </c>
      <c r="BH830">
        <f>'T_SelfStock'!BF21</f>
        <v/>
      </c>
      <c r="BI830">
        <f>'T_SelfStock'!BG21</f>
        <v/>
      </c>
      <c r="BJ830">
        <f>'T_SelfStock'!BH21</f>
        <v/>
      </c>
      <c r="BK830">
        <f>'T_SelfStock'!BI21</f>
        <v/>
      </c>
      <c r="BL830">
        <f>'T_SelfStock'!BJ21</f>
        <v/>
      </c>
      <c r="BM830">
        <f>'T_SelfStock'!BK21</f>
        <v/>
      </c>
      <c r="BN830">
        <f>'T_SelfStock'!BL21</f>
        <v/>
      </c>
      <c r="BO830">
        <f>'T_SelfStock'!BM21</f>
        <v/>
      </c>
      <c r="BP830">
        <f>'T_SelfStock'!BN21</f>
        <v/>
      </c>
      <c r="BQ830">
        <f>'T_SelfStock'!BO21</f>
        <v/>
      </c>
      <c r="BR830">
        <f>'T_SelfStock'!BP21</f>
        <v/>
      </c>
      <c r="BS830">
        <f>'T_SelfStock'!BQ21</f>
        <v/>
      </c>
      <c r="BT830">
        <f>'T_SelfStock'!BR21</f>
        <v/>
      </c>
      <c r="BU830">
        <f>'T_SelfStock'!BS21</f>
        <v/>
      </c>
      <c r="BV830">
        <f>'T_SelfStock'!BT21</f>
        <v/>
      </c>
      <c r="BW830">
        <f>'T_SelfStock'!BU21</f>
        <v/>
      </c>
      <c r="BX830">
        <f>'T_SelfStock'!BV21</f>
        <v/>
      </c>
      <c r="BY830">
        <f>'T_SelfStock'!BW21</f>
        <v/>
      </c>
      <c r="BZ830">
        <f>'T_SelfStock'!BX21</f>
        <v/>
      </c>
      <c r="CA830">
        <f>'T_SelfStock'!BY21</f>
        <v/>
      </c>
      <c r="CB830">
        <f>'T_SelfStock'!BZ21</f>
        <v/>
      </c>
      <c r="CC830">
        <f>'T_SelfStock'!CA21</f>
        <v/>
      </c>
      <c r="CD830">
        <f>'T_SelfStock'!CB21</f>
        <v/>
      </c>
      <c r="CE830">
        <f>'T_SelfStock'!CC21</f>
        <v/>
      </c>
      <c r="CF830">
        <f>'T_SelfStock'!CD21</f>
        <v/>
      </c>
      <c r="CG830">
        <f>'T_SelfStock'!CE21</f>
        <v/>
      </c>
      <c r="CH830">
        <f>'T_SelfStock'!CF21</f>
        <v/>
      </c>
      <c r="CI830">
        <f>'T_SelfStock'!CG21</f>
        <v/>
      </c>
      <c r="CJ830">
        <f>'T_SelfStock'!CH21</f>
        <v/>
      </c>
      <c r="CK830">
        <f>'T_SelfStock'!CI21</f>
        <v/>
      </c>
      <c r="CL830">
        <f>'T_SelfStock'!CJ21</f>
        <v/>
      </c>
      <c r="CM830">
        <f>'T_SelfStock'!CK21</f>
        <v/>
      </c>
      <c r="CN830">
        <f>'T_SelfStock'!CL21</f>
        <v/>
      </c>
      <c r="CO830">
        <f>'T_SelfStock'!CM21</f>
        <v/>
      </c>
      <c r="CP830">
        <f>'T_SelfStock'!CN21</f>
        <v/>
      </c>
      <c r="CQ830">
        <f>'T_SelfStock'!CO21</f>
        <v/>
      </c>
      <c r="CR830">
        <f>'T_SelfStock'!CP21</f>
        <v/>
      </c>
      <c r="CS830">
        <f>'T_SelfStock'!CQ21</f>
        <v/>
      </c>
      <c r="CT830">
        <f>'T_SelfStock'!CR21</f>
        <v/>
      </c>
      <c r="CU830">
        <f>'T_SelfStock'!CS21</f>
        <v/>
      </c>
      <c r="CV830">
        <f>'T_SelfStock'!CT21</f>
        <v/>
      </c>
      <c r="CW830">
        <f>'T_SelfStock'!CU21</f>
        <v/>
      </c>
      <c r="CX830">
        <f>'T_SelfStock'!CV21</f>
        <v/>
      </c>
      <c r="CY830">
        <f>'T_SelfStock'!CW21</f>
        <v/>
      </c>
      <c r="CZ830">
        <f>'T_SelfStock'!CX21</f>
        <v/>
      </c>
      <c r="DA830">
        <f>'T_SelfStock'!CY21</f>
        <v/>
      </c>
      <c r="DB830">
        <f>'T_SelfStock'!CZ21</f>
        <v/>
      </c>
      <c r="DC830">
        <f>'T_SelfStock'!DA21</f>
        <v/>
      </c>
    </row>
    <row r="831">
      <c r="B831" t="inlineStr">
        <is>
          <t>Order(発注予定,kg)</t>
        </is>
      </c>
      <c r="D831">
        <f>IF(SUMIFS(T_PlannedOrders[EffectiveQty],T_PlannedOrders[Part Name],$A773,T_PlannedOrders[WeekIndex],1)=0,"",SUMIFS(T_PlannedOrders[EffectiveQty],T_PlannedOrders[Part Name],$A773,T_PlannedOrders[WeekIndex],1)&amp;" ("&amp;TEXT(SUMPRODUCT(MAX((T_PlannedOrders[Part Name]=$A773)*(T_PlannedOrders[WeekIndex]=1)*(T_PlannedOrders[EffectiveQty]&gt;0)*T_PlannedOrders[Order_Month])),"m月")&amp;"発注)")</f>
        <v/>
      </c>
      <c r="E831">
        <f>IF(SUMIFS(T_PlannedOrders[EffectiveQty],T_PlannedOrders[Part Name],$A773,T_PlannedOrders[WeekIndex],2)=0,"",SUMIFS(T_PlannedOrders[EffectiveQty],T_PlannedOrders[Part Name],$A773,T_PlannedOrders[WeekIndex],2)&amp;" ("&amp;TEXT(SUMPRODUCT(MAX((T_PlannedOrders[Part Name]=$A773)*(T_PlannedOrders[WeekIndex]=2)*(T_PlannedOrders[EffectiveQty]&gt;0)*T_PlannedOrders[Order_Month])),"m月")&amp;"発注)")</f>
        <v/>
      </c>
      <c r="F831">
        <f>IF(SUMIFS(T_PlannedOrders[EffectiveQty],T_PlannedOrders[Part Name],$A773,T_PlannedOrders[WeekIndex],3)=0,"",SUMIFS(T_PlannedOrders[EffectiveQty],T_PlannedOrders[Part Name],$A773,T_PlannedOrders[WeekIndex],3)&amp;" ("&amp;TEXT(SUMPRODUCT(MAX((T_PlannedOrders[Part Name]=$A773)*(T_PlannedOrders[WeekIndex]=3)*(T_PlannedOrders[EffectiveQty]&gt;0)*T_PlannedOrders[Order_Month])),"m月")&amp;"発注)")</f>
        <v/>
      </c>
      <c r="G831">
        <f>IF(SUMIFS(T_PlannedOrders[EffectiveQty],T_PlannedOrders[Part Name],$A773,T_PlannedOrders[WeekIndex],4)=0,"",SUMIFS(T_PlannedOrders[EffectiveQty],T_PlannedOrders[Part Name],$A773,T_PlannedOrders[WeekIndex],4)&amp;" ("&amp;TEXT(SUMPRODUCT(MAX((T_PlannedOrders[Part Name]=$A773)*(T_PlannedOrders[WeekIndex]=4)*(T_PlannedOrders[EffectiveQty]&gt;0)*T_PlannedOrders[Order_Month])),"m月")&amp;"発注)")</f>
        <v/>
      </c>
      <c r="H831">
        <f>IF(SUMIFS(T_PlannedOrders[EffectiveQty],T_PlannedOrders[Part Name],$A773,T_PlannedOrders[WeekIndex],5)=0,"",SUMIFS(T_PlannedOrders[EffectiveQty],T_PlannedOrders[Part Name],$A773,T_PlannedOrders[WeekIndex],5)&amp;" ("&amp;TEXT(SUMPRODUCT(MAX((T_PlannedOrders[Part Name]=$A773)*(T_PlannedOrders[WeekIndex]=5)*(T_PlannedOrders[EffectiveQty]&gt;0)*T_PlannedOrders[Order_Month])),"m月")&amp;"発注)")</f>
        <v/>
      </c>
      <c r="I831">
        <f>IF(SUMIFS(T_PlannedOrders[EffectiveQty],T_PlannedOrders[Part Name],$A773,T_PlannedOrders[WeekIndex],6)=0,"",SUMIFS(T_PlannedOrders[EffectiveQty],T_PlannedOrders[Part Name],$A773,T_PlannedOrders[WeekIndex],6)&amp;" ("&amp;TEXT(SUMPRODUCT(MAX((T_PlannedOrders[Part Name]=$A773)*(T_PlannedOrders[WeekIndex]=6)*(T_PlannedOrders[EffectiveQty]&gt;0)*T_PlannedOrders[Order_Month])),"m月")&amp;"発注)")</f>
        <v/>
      </c>
      <c r="J831">
        <f>IF(SUMIFS(T_PlannedOrders[EffectiveQty],T_PlannedOrders[Part Name],$A773,T_PlannedOrders[WeekIndex],7)=0,"",SUMIFS(T_PlannedOrders[EffectiveQty],T_PlannedOrders[Part Name],$A773,T_PlannedOrders[WeekIndex],7)&amp;" ("&amp;TEXT(SUMPRODUCT(MAX((T_PlannedOrders[Part Name]=$A773)*(T_PlannedOrders[WeekIndex]=7)*(T_PlannedOrders[EffectiveQty]&gt;0)*T_PlannedOrders[Order_Month])),"m月")&amp;"発注)")</f>
        <v/>
      </c>
      <c r="K831">
        <f>IF(SUMIFS(T_PlannedOrders[EffectiveQty],T_PlannedOrders[Part Name],$A773,T_PlannedOrders[WeekIndex],8)=0,"",SUMIFS(T_PlannedOrders[EffectiveQty],T_PlannedOrders[Part Name],$A773,T_PlannedOrders[WeekIndex],8)&amp;" ("&amp;TEXT(SUMPRODUCT(MAX((T_PlannedOrders[Part Name]=$A773)*(T_PlannedOrders[WeekIndex]=8)*(T_PlannedOrders[EffectiveQty]&gt;0)*T_PlannedOrders[Order_Month])),"m月")&amp;"発注)")</f>
        <v/>
      </c>
      <c r="L831">
        <f>IF(SUMIFS(T_PlannedOrders[EffectiveQty],T_PlannedOrders[Part Name],$A773,T_PlannedOrders[WeekIndex],9)=0,"",SUMIFS(T_PlannedOrders[EffectiveQty],T_PlannedOrders[Part Name],$A773,T_PlannedOrders[WeekIndex],9)&amp;" ("&amp;TEXT(SUMPRODUCT(MAX((T_PlannedOrders[Part Name]=$A773)*(T_PlannedOrders[WeekIndex]=9)*(T_PlannedOrders[EffectiveQty]&gt;0)*T_PlannedOrders[Order_Month])),"m月")&amp;"発注)")</f>
        <v/>
      </c>
      <c r="M831">
        <f>IF(SUMIFS(T_PlannedOrders[EffectiveQty],T_PlannedOrders[Part Name],$A773,T_PlannedOrders[WeekIndex],10)=0,"",SUMIFS(T_PlannedOrders[EffectiveQty],T_PlannedOrders[Part Name],$A773,T_PlannedOrders[WeekIndex],10)&amp;" ("&amp;TEXT(SUMPRODUCT(MAX((T_PlannedOrders[Part Name]=$A773)*(T_PlannedOrders[WeekIndex]=10)*(T_PlannedOrders[EffectiveQty]&gt;0)*T_PlannedOrders[Order_Month])),"m月")&amp;"発注)")</f>
        <v/>
      </c>
      <c r="N831">
        <f>IF(SUMIFS(T_PlannedOrders[EffectiveQty],T_PlannedOrders[Part Name],$A773,T_PlannedOrders[WeekIndex],11)=0,"",SUMIFS(T_PlannedOrders[EffectiveQty],T_PlannedOrders[Part Name],$A773,T_PlannedOrders[WeekIndex],11)&amp;" ("&amp;TEXT(SUMPRODUCT(MAX((T_PlannedOrders[Part Name]=$A773)*(T_PlannedOrders[WeekIndex]=11)*(T_PlannedOrders[EffectiveQty]&gt;0)*T_PlannedOrders[Order_Month])),"m月")&amp;"発注)")</f>
        <v/>
      </c>
      <c r="O831">
        <f>IF(SUMIFS(T_PlannedOrders[EffectiveQty],T_PlannedOrders[Part Name],$A773,T_PlannedOrders[WeekIndex],12)=0,"",SUMIFS(T_PlannedOrders[EffectiveQty],T_PlannedOrders[Part Name],$A773,T_PlannedOrders[WeekIndex],12)&amp;" ("&amp;TEXT(SUMPRODUCT(MAX((T_PlannedOrders[Part Name]=$A773)*(T_PlannedOrders[WeekIndex]=12)*(T_PlannedOrders[EffectiveQty]&gt;0)*T_PlannedOrders[Order_Month])),"m月")&amp;"発注)")</f>
        <v/>
      </c>
      <c r="P831">
        <f>IF(SUMIFS(T_PlannedOrders[EffectiveQty],T_PlannedOrders[Part Name],$A773,T_PlannedOrders[WeekIndex],13)=0,"",SUMIFS(T_PlannedOrders[EffectiveQty],T_PlannedOrders[Part Name],$A773,T_PlannedOrders[WeekIndex],13)&amp;" ("&amp;TEXT(SUMPRODUCT(MAX((T_PlannedOrders[Part Name]=$A773)*(T_PlannedOrders[WeekIndex]=13)*(T_PlannedOrders[EffectiveQty]&gt;0)*T_PlannedOrders[Order_Month])),"m月")&amp;"発注)")</f>
        <v/>
      </c>
      <c r="Q831">
        <f>IF(SUMIFS(T_PlannedOrders[EffectiveQty],T_PlannedOrders[Part Name],$A773,T_PlannedOrders[WeekIndex],14)=0,"",SUMIFS(T_PlannedOrders[EffectiveQty],T_PlannedOrders[Part Name],$A773,T_PlannedOrders[WeekIndex],14)&amp;" ("&amp;TEXT(SUMPRODUCT(MAX((T_PlannedOrders[Part Name]=$A773)*(T_PlannedOrders[WeekIndex]=14)*(T_PlannedOrders[EffectiveQty]&gt;0)*T_PlannedOrders[Order_Month])),"m月")&amp;"発注)")</f>
        <v/>
      </c>
      <c r="R831">
        <f>IF(SUMIFS(T_PlannedOrders[EffectiveQty],T_PlannedOrders[Part Name],$A773,T_PlannedOrders[WeekIndex],15)=0,"",SUMIFS(T_PlannedOrders[EffectiveQty],T_PlannedOrders[Part Name],$A773,T_PlannedOrders[WeekIndex],15)&amp;" ("&amp;TEXT(SUMPRODUCT(MAX((T_PlannedOrders[Part Name]=$A773)*(T_PlannedOrders[WeekIndex]=15)*(T_PlannedOrders[EffectiveQty]&gt;0)*T_PlannedOrders[Order_Month])),"m月")&amp;"発注)")</f>
        <v/>
      </c>
      <c r="S831">
        <f>IF(SUMIFS(T_PlannedOrders[EffectiveQty],T_PlannedOrders[Part Name],$A773,T_PlannedOrders[WeekIndex],16)=0,"",SUMIFS(T_PlannedOrders[EffectiveQty],T_PlannedOrders[Part Name],$A773,T_PlannedOrders[WeekIndex],16)&amp;" ("&amp;TEXT(SUMPRODUCT(MAX((T_PlannedOrders[Part Name]=$A773)*(T_PlannedOrders[WeekIndex]=16)*(T_PlannedOrders[EffectiveQty]&gt;0)*T_PlannedOrders[Order_Month])),"m月")&amp;"発注)")</f>
        <v/>
      </c>
      <c r="T831">
        <f>IF(SUMIFS(T_PlannedOrders[EffectiveQty],T_PlannedOrders[Part Name],$A773,T_PlannedOrders[WeekIndex],17)=0,"",SUMIFS(T_PlannedOrders[EffectiveQty],T_PlannedOrders[Part Name],$A773,T_PlannedOrders[WeekIndex],17)&amp;" ("&amp;TEXT(SUMPRODUCT(MAX((T_PlannedOrders[Part Name]=$A773)*(T_PlannedOrders[WeekIndex]=17)*(T_PlannedOrders[EffectiveQty]&gt;0)*T_PlannedOrders[Order_Month])),"m月")&amp;"発注)")</f>
        <v/>
      </c>
      <c r="U831">
        <f>IF(SUMIFS(T_PlannedOrders[EffectiveQty],T_PlannedOrders[Part Name],$A773,T_PlannedOrders[WeekIndex],18)=0,"",SUMIFS(T_PlannedOrders[EffectiveQty],T_PlannedOrders[Part Name],$A773,T_PlannedOrders[WeekIndex],18)&amp;" ("&amp;TEXT(SUMPRODUCT(MAX((T_PlannedOrders[Part Name]=$A773)*(T_PlannedOrders[WeekIndex]=18)*(T_PlannedOrders[EffectiveQty]&gt;0)*T_PlannedOrders[Order_Month])),"m月")&amp;"発注)")</f>
        <v/>
      </c>
      <c r="V831">
        <f>IF(SUMIFS(T_PlannedOrders[EffectiveQty],T_PlannedOrders[Part Name],$A773,T_PlannedOrders[WeekIndex],19)=0,"",SUMIFS(T_PlannedOrders[EffectiveQty],T_PlannedOrders[Part Name],$A773,T_PlannedOrders[WeekIndex],19)&amp;" ("&amp;TEXT(SUMPRODUCT(MAX((T_PlannedOrders[Part Name]=$A773)*(T_PlannedOrders[WeekIndex]=19)*(T_PlannedOrders[EffectiveQty]&gt;0)*T_PlannedOrders[Order_Month])),"m月")&amp;"発注)")</f>
        <v/>
      </c>
      <c r="W831">
        <f>IF(SUMIFS(T_PlannedOrders[EffectiveQty],T_PlannedOrders[Part Name],$A773,T_PlannedOrders[WeekIndex],20)=0,"",SUMIFS(T_PlannedOrders[EffectiveQty],T_PlannedOrders[Part Name],$A773,T_PlannedOrders[WeekIndex],20)&amp;" ("&amp;TEXT(SUMPRODUCT(MAX((T_PlannedOrders[Part Name]=$A773)*(T_PlannedOrders[WeekIndex]=20)*(T_PlannedOrders[EffectiveQty]&gt;0)*T_PlannedOrders[Order_Month])),"m月")&amp;"発注)")</f>
        <v/>
      </c>
      <c r="X831">
        <f>IF(SUMIFS(T_PlannedOrders[EffectiveQty],T_PlannedOrders[Part Name],$A773,T_PlannedOrders[WeekIndex],21)=0,"",SUMIFS(T_PlannedOrders[EffectiveQty],T_PlannedOrders[Part Name],$A773,T_PlannedOrders[WeekIndex],21)&amp;" ("&amp;TEXT(SUMPRODUCT(MAX((T_PlannedOrders[Part Name]=$A773)*(T_PlannedOrders[WeekIndex]=21)*(T_PlannedOrders[EffectiveQty]&gt;0)*T_PlannedOrders[Order_Month])),"m月")&amp;"発注)")</f>
        <v/>
      </c>
      <c r="Y831">
        <f>IF(SUMIFS(T_PlannedOrders[EffectiveQty],T_PlannedOrders[Part Name],$A773,T_PlannedOrders[WeekIndex],22)=0,"",SUMIFS(T_PlannedOrders[EffectiveQty],T_PlannedOrders[Part Name],$A773,T_PlannedOrders[WeekIndex],22)&amp;" ("&amp;TEXT(SUMPRODUCT(MAX((T_PlannedOrders[Part Name]=$A773)*(T_PlannedOrders[WeekIndex]=22)*(T_PlannedOrders[EffectiveQty]&gt;0)*T_PlannedOrders[Order_Month])),"m月")&amp;"発注)")</f>
        <v/>
      </c>
      <c r="Z831">
        <f>IF(SUMIFS(T_PlannedOrders[EffectiveQty],T_PlannedOrders[Part Name],$A773,T_PlannedOrders[WeekIndex],23)=0,"",SUMIFS(T_PlannedOrders[EffectiveQty],T_PlannedOrders[Part Name],$A773,T_PlannedOrders[WeekIndex],23)&amp;" ("&amp;TEXT(SUMPRODUCT(MAX((T_PlannedOrders[Part Name]=$A773)*(T_PlannedOrders[WeekIndex]=23)*(T_PlannedOrders[EffectiveQty]&gt;0)*T_PlannedOrders[Order_Month])),"m月")&amp;"発注)")</f>
        <v/>
      </c>
      <c r="AA831">
        <f>IF(SUMIFS(T_PlannedOrders[EffectiveQty],T_PlannedOrders[Part Name],$A773,T_PlannedOrders[WeekIndex],24)=0,"",SUMIFS(T_PlannedOrders[EffectiveQty],T_PlannedOrders[Part Name],$A773,T_PlannedOrders[WeekIndex],24)&amp;" ("&amp;TEXT(SUMPRODUCT(MAX((T_PlannedOrders[Part Name]=$A773)*(T_PlannedOrders[WeekIndex]=24)*(T_PlannedOrders[EffectiveQty]&gt;0)*T_PlannedOrders[Order_Month])),"m月")&amp;"発注)")</f>
        <v/>
      </c>
      <c r="AB831">
        <f>IF(SUMIFS(T_PlannedOrders[EffectiveQty],T_PlannedOrders[Part Name],$A773,T_PlannedOrders[WeekIndex],25)=0,"",SUMIFS(T_PlannedOrders[EffectiveQty],T_PlannedOrders[Part Name],$A773,T_PlannedOrders[WeekIndex],25)&amp;" ("&amp;TEXT(SUMPRODUCT(MAX((T_PlannedOrders[Part Name]=$A773)*(T_PlannedOrders[WeekIndex]=25)*(T_PlannedOrders[EffectiveQty]&gt;0)*T_PlannedOrders[Order_Month])),"m月")&amp;"発注)")</f>
        <v/>
      </c>
      <c r="AC831">
        <f>IF(SUMIFS(T_PlannedOrders[EffectiveQty],T_PlannedOrders[Part Name],$A773,T_PlannedOrders[WeekIndex],26)=0,"",SUMIFS(T_PlannedOrders[EffectiveQty],T_PlannedOrders[Part Name],$A773,T_PlannedOrders[WeekIndex],26)&amp;" ("&amp;TEXT(SUMPRODUCT(MAX((T_PlannedOrders[Part Name]=$A773)*(T_PlannedOrders[WeekIndex]=26)*(T_PlannedOrders[EffectiveQty]&gt;0)*T_PlannedOrders[Order_Month])),"m月")&amp;"発注)")</f>
        <v/>
      </c>
      <c r="AD831">
        <f>IF(SUMIFS(T_PlannedOrders[EffectiveQty],T_PlannedOrders[Part Name],$A773,T_PlannedOrders[WeekIndex],27)=0,"",SUMIFS(T_PlannedOrders[EffectiveQty],T_PlannedOrders[Part Name],$A773,T_PlannedOrders[WeekIndex],27)&amp;" ("&amp;TEXT(SUMPRODUCT(MAX((T_PlannedOrders[Part Name]=$A773)*(T_PlannedOrders[WeekIndex]=27)*(T_PlannedOrders[EffectiveQty]&gt;0)*T_PlannedOrders[Order_Month])),"m月")&amp;"発注)")</f>
        <v/>
      </c>
      <c r="AE831">
        <f>IF(SUMIFS(T_PlannedOrders[EffectiveQty],T_PlannedOrders[Part Name],$A773,T_PlannedOrders[WeekIndex],28)=0,"",SUMIFS(T_PlannedOrders[EffectiveQty],T_PlannedOrders[Part Name],$A773,T_PlannedOrders[WeekIndex],28)&amp;" ("&amp;TEXT(SUMPRODUCT(MAX((T_PlannedOrders[Part Name]=$A773)*(T_PlannedOrders[WeekIndex]=28)*(T_PlannedOrders[EffectiveQty]&gt;0)*T_PlannedOrders[Order_Month])),"m月")&amp;"発注)")</f>
        <v/>
      </c>
      <c r="AF831">
        <f>IF(SUMIFS(T_PlannedOrders[EffectiveQty],T_PlannedOrders[Part Name],$A773,T_PlannedOrders[WeekIndex],29)=0,"",SUMIFS(T_PlannedOrders[EffectiveQty],T_PlannedOrders[Part Name],$A773,T_PlannedOrders[WeekIndex],29)&amp;" ("&amp;TEXT(SUMPRODUCT(MAX((T_PlannedOrders[Part Name]=$A773)*(T_PlannedOrders[WeekIndex]=29)*(T_PlannedOrders[EffectiveQty]&gt;0)*T_PlannedOrders[Order_Month])),"m月")&amp;"発注)")</f>
        <v/>
      </c>
      <c r="AG831">
        <f>IF(SUMIFS(T_PlannedOrders[EffectiveQty],T_PlannedOrders[Part Name],$A773,T_PlannedOrders[WeekIndex],30)=0,"",SUMIFS(T_PlannedOrders[EffectiveQty],T_PlannedOrders[Part Name],$A773,T_PlannedOrders[WeekIndex],30)&amp;" ("&amp;TEXT(SUMPRODUCT(MAX((T_PlannedOrders[Part Name]=$A773)*(T_PlannedOrders[WeekIndex]=30)*(T_PlannedOrders[EffectiveQty]&gt;0)*T_PlannedOrders[Order_Month])),"m月")&amp;"発注)")</f>
        <v/>
      </c>
      <c r="AH831">
        <f>IF(SUMIFS(T_PlannedOrders[EffectiveQty],T_PlannedOrders[Part Name],$A773,T_PlannedOrders[WeekIndex],31)=0,"",SUMIFS(T_PlannedOrders[EffectiveQty],T_PlannedOrders[Part Name],$A773,T_PlannedOrders[WeekIndex],31)&amp;" ("&amp;TEXT(SUMPRODUCT(MAX((T_PlannedOrders[Part Name]=$A773)*(T_PlannedOrders[WeekIndex]=31)*(T_PlannedOrders[EffectiveQty]&gt;0)*T_PlannedOrders[Order_Month])),"m月")&amp;"発注)")</f>
        <v/>
      </c>
      <c r="AI831">
        <f>IF(SUMIFS(T_PlannedOrders[EffectiveQty],T_PlannedOrders[Part Name],$A773,T_PlannedOrders[WeekIndex],32)=0,"",SUMIFS(T_PlannedOrders[EffectiveQty],T_PlannedOrders[Part Name],$A773,T_PlannedOrders[WeekIndex],32)&amp;" ("&amp;TEXT(SUMPRODUCT(MAX((T_PlannedOrders[Part Name]=$A773)*(T_PlannedOrders[WeekIndex]=32)*(T_PlannedOrders[EffectiveQty]&gt;0)*T_PlannedOrders[Order_Month])),"m月")&amp;"発注)")</f>
        <v/>
      </c>
      <c r="AJ831">
        <f>IF(SUMIFS(T_PlannedOrders[EffectiveQty],T_PlannedOrders[Part Name],$A773,T_PlannedOrders[WeekIndex],33)=0,"",SUMIFS(T_PlannedOrders[EffectiveQty],T_PlannedOrders[Part Name],$A773,T_PlannedOrders[WeekIndex],33)&amp;" ("&amp;TEXT(SUMPRODUCT(MAX((T_PlannedOrders[Part Name]=$A773)*(T_PlannedOrders[WeekIndex]=33)*(T_PlannedOrders[EffectiveQty]&gt;0)*T_PlannedOrders[Order_Month])),"m月")&amp;"発注)")</f>
        <v/>
      </c>
      <c r="AK831">
        <f>IF(SUMIFS(T_PlannedOrders[EffectiveQty],T_PlannedOrders[Part Name],$A773,T_PlannedOrders[WeekIndex],34)=0,"",SUMIFS(T_PlannedOrders[EffectiveQty],T_PlannedOrders[Part Name],$A773,T_PlannedOrders[WeekIndex],34)&amp;" ("&amp;TEXT(SUMPRODUCT(MAX((T_PlannedOrders[Part Name]=$A773)*(T_PlannedOrders[WeekIndex]=34)*(T_PlannedOrders[EffectiveQty]&gt;0)*T_PlannedOrders[Order_Month])),"m月")&amp;"発注)")</f>
        <v/>
      </c>
      <c r="AL831">
        <f>IF(SUMIFS(T_PlannedOrders[EffectiveQty],T_PlannedOrders[Part Name],$A773,T_PlannedOrders[WeekIndex],35)=0,"",SUMIFS(T_PlannedOrders[EffectiveQty],T_PlannedOrders[Part Name],$A773,T_PlannedOrders[WeekIndex],35)&amp;" ("&amp;TEXT(SUMPRODUCT(MAX((T_PlannedOrders[Part Name]=$A773)*(T_PlannedOrders[WeekIndex]=35)*(T_PlannedOrders[EffectiveQty]&gt;0)*T_PlannedOrders[Order_Month])),"m月")&amp;"発注)")</f>
        <v/>
      </c>
      <c r="AM831">
        <f>IF(SUMIFS(T_PlannedOrders[EffectiveQty],T_PlannedOrders[Part Name],$A773,T_PlannedOrders[WeekIndex],36)=0,"",SUMIFS(T_PlannedOrders[EffectiveQty],T_PlannedOrders[Part Name],$A773,T_PlannedOrders[WeekIndex],36)&amp;" ("&amp;TEXT(SUMPRODUCT(MAX((T_PlannedOrders[Part Name]=$A773)*(T_PlannedOrders[WeekIndex]=36)*(T_PlannedOrders[EffectiveQty]&gt;0)*T_PlannedOrders[Order_Month])),"m月")&amp;"発注)")</f>
        <v/>
      </c>
      <c r="AN831">
        <f>IF(SUMIFS(T_PlannedOrders[EffectiveQty],T_PlannedOrders[Part Name],$A773,T_PlannedOrders[WeekIndex],37)=0,"",SUMIFS(T_PlannedOrders[EffectiveQty],T_PlannedOrders[Part Name],$A773,T_PlannedOrders[WeekIndex],37)&amp;" ("&amp;TEXT(SUMPRODUCT(MAX((T_PlannedOrders[Part Name]=$A773)*(T_PlannedOrders[WeekIndex]=37)*(T_PlannedOrders[EffectiveQty]&gt;0)*T_PlannedOrders[Order_Month])),"m月")&amp;"発注)")</f>
        <v/>
      </c>
      <c r="AO831">
        <f>IF(SUMIFS(T_PlannedOrders[EffectiveQty],T_PlannedOrders[Part Name],$A773,T_PlannedOrders[WeekIndex],38)=0,"",SUMIFS(T_PlannedOrders[EffectiveQty],T_PlannedOrders[Part Name],$A773,T_PlannedOrders[WeekIndex],38)&amp;" ("&amp;TEXT(SUMPRODUCT(MAX((T_PlannedOrders[Part Name]=$A773)*(T_PlannedOrders[WeekIndex]=38)*(T_PlannedOrders[EffectiveQty]&gt;0)*T_PlannedOrders[Order_Month])),"m月")&amp;"発注)")</f>
        <v/>
      </c>
      <c r="AP831">
        <f>IF(SUMIFS(T_PlannedOrders[EffectiveQty],T_PlannedOrders[Part Name],$A773,T_PlannedOrders[WeekIndex],39)=0,"",SUMIFS(T_PlannedOrders[EffectiveQty],T_PlannedOrders[Part Name],$A773,T_PlannedOrders[WeekIndex],39)&amp;" ("&amp;TEXT(SUMPRODUCT(MAX((T_PlannedOrders[Part Name]=$A773)*(T_PlannedOrders[WeekIndex]=39)*(T_PlannedOrders[EffectiveQty]&gt;0)*T_PlannedOrders[Order_Month])),"m月")&amp;"発注)")</f>
        <v/>
      </c>
      <c r="AQ831">
        <f>IF(SUMIFS(T_PlannedOrders[EffectiveQty],T_PlannedOrders[Part Name],$A773,T_PlannedOrders[WeekIndex],40)=0,"",SUMIFS(T_PlannedOrders[EffectiveQty],T_PlannedOrders[Part Name],$A773,T_PlannedOrders[WeekIndex],40)&amp;" ("&amp;TEXT(SUMPRODUCT(MAX((T_PlannedOrders[Part Name]=$A773)*(T_PlannedOrders[WeekIndex]=40)*(T_PlannedOrders[EffectiveQty]&gt;0)*T_PlannedOrders[Order_Month])),"m月")&amp;"発注)")</f>
        <v/>
      </c>
      <c r="AR831">
        <f>IF(SUMIFS(T_PlannedOrders[EffectiveQty],T_PlannedOrders[Part Name],$A773,T_PlannedOrders[WeekIndex],41)=0,"",SUMIFS(T_PlannedOrders[EffectiveQty],T_PlannedOrders[Part Name],$A773,T_PlannedOrders[WeekIndex],41)&amp;" ("&amp;TEXT(SUMPRODUCT(MAX((T_PlannedOrders[Part Name]=$A773)*(T_PlannedOrders[WeekIndex]=41)*(T_PlannedOrders[EffectiveQty]&gt;0)*T_PlannedOrders[Order_Month])),"m月")&amp;"発注)")</f>
        <v/>
      </c>
      <c r="AS831">
        <f>IF(SUMIFS(T_PlannedOrders[EffectiveQty],T_PlannedOrders[Part Name],$A773,T_PlannedOrders[WeekIndex],42)=0,"",SUMIFS(T_PlannedOrders[EffectiveQty],T_PlannedOrders[Part Name],$A773,T_PlannedOrders[WeekIndex],42)&amp;" ("&amp;TEXT(SUMPRODUCT(MAX((T_PlannedOrders[Part Name]=$A773)*(T_PlannedOrders[WeekIndex]=42)*(T_PlannedOrders[EffectiveQty]&gt;0)*T_PlannedOrders[Order_Month])),"m月")&amp;"発注)")</f>
        <v/>
      </c>
      <c r="AT831">
        <f>IF(SUMIFS(T_PlannedOrders[EffectiveQty],T_PlannedOrders[Part Name],$A773,T_PlannedOrders[WeekIndex],43)=0,"",SUMIFS(T_PlannedOrders[EffectiveQty],T_PlannedOrders[Part Name],$A773,T_PlannedOrders[WeekIndex],43)&amp;" ("&amp;TEXT(SUMPRODUCT(MAX((T_PlannedOrders[Part Name]=$A773)*(T_PlannedOrders[WeekIndex]=43)*(T_PlannedOrders[EffectiveQty]&gt;0)*T_PlannedOrders[Order_Month])),"m月")&amp;"発注)")</f>
        <v/>
      </c>
      <c r="AU831">
        <f>IF(SUMIFS(T_PlannedOrders[EffectiveQty],T_PlannedOrders[Part Name],$A773,T_PlannedOrders[WeekIndex],44)=0,"",SUMIFS(T_PlannedOrders[EffectiveQty],T_PlannedOrders[Part Name],$A773,T_PlannedOrders[WeekIndex],44)&amp;" ("&amp;TEXT(SUMPRODUCT(MAX((T_PlannedOrders[Part Name]=$A773)*(T_PlannedOrders[WeekIndex]=44)*(T_PlannedOrders[EffectiveQty]&gt;0)*T_PlannedOrders[Order_Month])),"m月")&amp;"発注)")</f>
        <v/>
      </c>
      <c r="AV831">
        <f>IF(SUMIFS(T_PlannedOrders[EffectiveQty],T_PlannedOrders[Part Name],$A773,T_PlannedOrders[WeekIndex],45)=0,"",SUMIFS(T_PlannedOrders[EffectiveQty],T_PlannedOrders[Part Name],$A773,T_PlannedOrders[WeekIndex],45)&amp;" ("&amp;TEXT(SUMPRODUCT(MAX((T_PlannedOrders[Part Name]=$A773)*(T_PlannedOrders[WeekIndex]=45)*(T_PlannedOrders[EffectiveQty]&gt;0)*T_PlannedOrders[Order_Month])),"m月")&amp;"発注)")</f>
        <v/>
      </c>
      <c r="AW831">
        <f>IF(SUMIFS(T_PlannedOrders[EffectiveQty],T_PlannedOrders[Part Name],$A773,T_PlannedOrders[WeekIndex],46)=0,"",SUMIFS(T_PlannedOrders[EffectiveQty],T_PlannedOrders[Part Name],$A773,T_PlannedOrders[WeekIndex],46)&amp;" ("&amp;TEXT(SUMPRODUCT(MAX((T_PlannedOrders[Part Name]=$A773)*(T_PlannedOrders[WeekIndex]=46)*(T_PlannedOrders[EffectiveQty]&gt;0)*T_PlannedOrders[Order_Month])),"m月")&amp;"発注)")</f>
        <v/>
      </c>
      <c r="AX831">
        <f>IF(SUMIFS(T_PlannedOrders[EffectiveQty],T_PlannedOrders[Part Name],$A773,T_PlannedOrders[WeekIndex],47)=0,"",SUMIFS(T_PlannedOrders[EffectiveQty],T_PlannedOrders[Part Name],$A773,T_PlannedOrders[WeekIndex],47)&amp;" ("&amp;TEXT(SUMPRODUCT(MAX((T_PlannedOrders[Part Name]=$A773)*(T_PlannedOrders[WeekIndex]=47)*(T_PlannedOrders[EffectiveQty]&gt;0)*T_PlannedOrders[Order_Month])),"m月")&amp;"発注)")</f>
        <v/>
      </c>
      <c r="AY831">
        <f>IF(SUMIFS(T_PlannedOrders[EffectiveQty],T_PlannedOrders[Part Name],$A773,T_PlannedOrders[WeekIndex],48)=0,"",SUMIFS(T_PlannedOrders[EffectiveQty],T_PlannedOrders[Part Name],$A773,T_PlannedOrders[WeekIndex],48)&amp;" ("&amp;TEXT(SUMPRODUCT(MAX((T_PlannedOrders[Part Name]=$A773)*(T_PlannedOrders[WeekIndex]=48)*(T_PlannedOrders[EffectiveQty]&gt;0)*T_PlannedOrders[Order_Month])),"m月")&amp;"発注)")</f>
        <v/>
      </c>
      <c r="AZ831">
        <f>IF(SUMIFS(T_PlannedOrders[EffectiveQty],T_PlannedOrders[Part Name],$A773,T_PlannedOrders[WeekIndex],49)=0,"",SUMIFS(T_PlannedOrders[EffectiveQty],T_PlannedOrders[Part Name],$A773,T_PlannedOrders[WeekIndex],49)&amp;" ("&amp;TEXT(SUMPRODUCT(MAX((T_PlannedOrders[Part Name]=$A773)*(T_PlannedOrders[WeekIndex]=49)*(T_PlannedOrders[EffectiveQty]&gt;0)*T_PlannedOrders[Order_Month])),"m月")&amp;"発注)")</f>
        <v/>
      </c>
      <c r="BA831">
        <f>IF(SUMIFS(T_PlannedOrders[EffectiveQty],T_PlannedOrders[Part Name],$A773,T_PlannedOrders[WeekIndex],50)=0,"",SUMIFS(T_PlannedOrders[EffectiveQty],T_PlannedOrders[Part Name],$A773,T_PlannedOrders[WeekIndex],50)&amp;" ("&amp;TEXT(SUMPRODUCT(MAX((T_PlannedOrders[Part Name]=$A773)*(T_PlannedOrders[WeekIndex]=50)*(T_PlannedOrders[EffectiveQty]&gt;0)*T_PlannedOrders[Order_Month])),"m月")&amp;"発注)")</f>
        <v/>
      </c>
      <c r="BB831">
        <f>IF(SUMIFS(T_PlannedOrders[EffectiveQty],T_PlannedOrders[Part Name],$A773,T_PlannedOrders[WeekIndex],51)=0,"",SUMIFS(T_PlannedOrders[EffectiveQty],T_PlannedOrders[Part Name],$A773,T_PlannedOrders[WeekIndex],51)&amp;" ("&amp;TEXT(SUMPRODUCT(MAX((T_PlannedOrders[Part Name]=$A773)*(T_PlannedOrders[WeekIndex]=51)*(T_PlannedOrders[EffectiveQty]&gt;0)*T_PlannedOrders[Order_Month])),"m月")&amp;"発注)")</f>
        <v/>
      </c>
      <c r="BC831">
        <f>IF(SUMIFS(T_PlannedOrders[EffectiveQty],T_PlannedOrders[Part Name],$A773,T_PlannedOrders[WeekIndex],52)=0,"",SUMIFS(T_PlannedOrders[EffectiveQty],T_PlannedOrders[Part Name],$A773,T_PlannedOrders[WeekIndex],52)&amp;" ("&amp;TEXT(SUMPRODUCT(MAX((T_PlannedOrders[Part Name]=$A773)*(T_PlannedOrders[WeekIndex]=52)*(T_PlannedOrders[EffectiveQty]&gt;0)*T_PlannedOrders[Order_Month])),"m月")&amp;"発注)")</f>
        <v/>
      </c>
      <c r="BD831">
        <f>IF(SUMIFS(T_PlannedOrders[EffectiveQty],T_PlannedOrders[Part Name],$A773,T_PlannedOrders[WeekIndex],53)=0,"",SUMIFS(T_PlannedOrders[EffectiveQty],T_PlannedOrders[Part Name],$A773,T_PlannedOrders[WeekIndex],53)&amp;" ("&amp;TEXT(SUMPRODUCT(MAX((T_PlannedOrders[Part Name]=$A773)*(T_PlannedOrders[WeekIndex]=53)*(T_PlannedOrders[EffectiveQty]&gt;0)*T_PlannedOrders[Order_Month])),"m月")&amp;"発注)")</f>
        <v/>
      </c>
      <c r="BE831">
        <f>IF(SUMIFS(T_PlannedOrders[EffectiveQty],T_PlannedOrders[Part Name],$A773,T_PlannedOrders[WeekIndex],54)=0,"",SUMIFS(T_PlannedOrders[EffectiveQty],T_PlannedOrders[Part Name],$A773,T_PlannedOrders[WeekIndex],54)&amp;" ("&amp;TEXT(SUMPRODUCT(MAX((T_PlannedOrders[Part Name]=$A773)*(T_PlannedOrders[WeekIndex]=54)*(T_PlannedOrders[EffectiveQty]&gt;0)*T_PlannedOrders[Order_Month])),"m月")&amp;"発注)")</f>
        <v/>
      </c>
      <c r="BF831">
        <f>IF(SUMIFS(T_PlannedOrders[EffectiveQty],T_PlannedOrders[Part Name],$A773,T_PlannedOrders[WeekIndex],55)=0,"",SUMIFS(T_PlannedOrders[EffectiveQty],T_PlannedOrders[Part Name],$A773,T_PlannedOrders[WeekIndex],55)&amp;" ("&amp;TEXT(SUMPRODUCT(MAX((T_PlannedOrders[Part Name]=$A773)*(T_PlannedOrders[WeekIndex]=55)*(T_PlannedOrders[EffectiveQty]&gt;0)*T_PlannedOrders[Order_Month])),"m月")&amp;"発注)")</f>
        <v/>
      </c>
      <c r="BG831">
        <f>IF(SUMIFS(T_PlannedOrders[EffectiveQty],T_PlannedOrders[Part Name],$A773,T_PlannedOrders[WeekIndex],56)=0,"",SUMIFS(T_PlannedOrders[EffectiveQty],T_PlannedOrders[Part Name],$A773,T_PlannedOrders[WeekIndex],56)&amp;" ("&amp;TEXT(SUMPRODUCT(MAX((T_PlannedOrders[Part Name]=$A773)*(T_PlannedOrders[WeekIndex]=56)*(T_PlannedOrders[EffectiveQty]&gt;0)*T_PlannedOrders[Order_Month])),"m月")&amp;"発注)")</f>
        <v/>
      </c>
      <c r="BH831">
        <f>IF(SUMIFS(T_PlannedOrders[EffectiveQty],T_PlannedOrders[Part Name],$A773,T_PlannedOrders[WeekIndex],57)=0,"",SUMIFS(T_PlannedOrders[EffectiveQty],T_PlannedOrders[Part Name],$A773,T_PlannedOrders[WeekIndex],57)&amp;" ("&amp;TEXT(SUMPRODUCT(MAX((T_PlannedOrders[Part Name]=$A773)*(T_PlannedOrders[WeekIndex]=57)*(T_PlannedOrders[EffectiveQty]&gt;0)*T_PlannedOrders[Order_Month])),"m月")&amp;"発注)")</f>
        <v/>
      </c>
      <c r="BI831">
        <f>IF(SUMIFS(T_PlannedOrders[EffectiveQty],T_PlannedOrders[Part Name],$A773,T_PlannedOrders[WeekIndex],58)=0,"",SUMIFS(T_PlannedOrders[EffectiveQty],T_PlannedOrders[Part Name],$A773,T_PlannedOrders[WeekIndex],58)&amp;" ("&amp;TEXT(SUMPRODUCT(MAX((T_PlannedOrders[Part Name]=$A773)*(T_PlannedOrders[WeekIndex]=58)*(T_PlannedOrders[EffectiveQty]&gt;0)*T_PlannedOrders[Order_Month])),"m月")&amp;"発注)")</f>
        <v/>
      </c>
      <c r="BJ831">
        <f>IF(SUMIFS(T_PlannedOrders[EffectiveQty],T_PlannedOrders[Part Name],$A773,T_PlannedOrders[WeekIndex],59)=0,"",SUMIFS(T_PlannedOrders[EffectiveQty],T_PlannedOrders[Part Name],$A773,T_PlannedOrders[WeekIndex],59)&amp;" ("&amp;TEXT(SUMPRODUCT(MAX((T_PlannedOrders[Part Name]=$A773)*(T_PlannedOrders[WeekIndex]=59)*(T_PlannedOrders[EffectiveQty]&gt;0)*T_PlannedOrders[Order_Month])),"m月")&amp;"発注)")</f>
        <v/>
      </c>
      <c r="BK831">
        <f>IF(SUMIFS(T_PlannedOrders[EffectiveQty],T_PlannedOrders[Part Name],$A773,T_PlannedOrders[WeekIndex],60)=0,"",SUMIFS(T_PlannedOrders[EffectiveQty],T_PlannedOrders[Part Name],$A773,T_PlannedOrders[WeekIndex],60)&amp;" ("&amp;TEXT(SUMPRODUCT(MAX((T_PlannedOrders[Part Name]=$A773)*(T_PlannedOrders[WeekIndex]=60)*(T_PlannedOrders[EffectiveQty]&gt;0)*T_PlannedOrders[Order_Month])),"m月")&amp;"発注)")</f>
        <v/>
      </c>
      <c r="BL831">
        <f>IF(SUMIFS(T_PlannedOrders[EffectiveQty],T_PlannedOrders[Part Name],$A773,T_PlannedOrders[WeekIndex],61)=0,"",SUMIFS(T_PlannedOrders[EffectiveQty],T_PlannedOrders[Part Name],$A773,T_PlannedOrders[WeekIndex],61)&amp;" ("&amp;TEXT(SUMPRODUCT(MAX((T_PlannedOrders[Part Name]=$A773)*(T_PlannedOrders[WeekIndex]=61)*(T_PlannedOrders[EffectiveQty]&gt;0)*T_PlannedOrders[Order_Month])),"m月")&amp;"発注)")</f>
        <v/>
      </c>
      <c r="BM831">
        <f>IF(SUMIFS(T_PlannedOrders[EffectiveQty],T_PlannedOrders[Part Name],$A773,T_PlannedOrders[WeekIndex],62)=0,"",SUMIFS(T_PlannedOrders[EffectiveQty],T_PlannedOrders[Part Name],$A773,T_PlannedOrders[WeekIndex],62)&amp;" ("&amp;TEXT(SUMPRODUCT(MAX((T_PlannedOrders[Part Name]=$A773)*(T_PlannedOrders[WeekIndex]=62)*(T_PlannedOrders[EffectiveQty]&gt;0)*T_PlannedOrders[Order_Month])),"m月")&amp;"発注)")</f>
        <v/>
      </c>
      <c r="BN831">
        <f>IF(SUMIFS(T_PlannedOrders[EffectiveQty],T_PlannedOrders[Part Name],$A773,T_PlannedOrders[WeekIndex],63)=0,"",SUMIFS(T_PlannedOrders[EffectiveQty],T_PlannedOrders[Part Name],$A773,T_PlannedOrders[WeekIndex],63)&amp;" ("&amp;TEXT(SUMPRODUCT(MAX((T_PlannedOrders[Part Name]=$A773)*(T_PlannedOrders[WeekIndex]=63)*(T_PlannedOrders[EffectiveQty]&gt;0)*T_PlannedOrders[Order_Month])),"m月")&amp;"発注)")</f>
        <v/>
      </c>
      <c r="BO831">
        <f>IF(SUMIFS(T_PlannedOrders[EffectiveQty],T_PlannedOrders[Part Name],$A773,T_PlannedOrders[WeekIndex],64)=0,"",SUMIFS(T_PlannedOrders[EffectiveQty],T_PlannedOrders[Part Name],$A773,T_PlannedOrders[WeekIndex],64)&amp;" ("&amp;TEXT(SUMPRODUCT(MAX((T_PlannedOrders[Part Name]=$A773)*(T_PlannedOrders[WeekIndex]=64)*(T_PlannedOrders[EffectiveQty]&gt;0)*T_PlannedOrders[Order_Month])),"m月")&amp;"発注)")</f>
        <v/>
      </c>
      <c r="BP831">
        <f>IF(SUMIFS(T_PlannedOrders[EffectiveQty],T_PlannedOrders[Part Name],$A773,T_PlannedOrders[WeekIndex],65)=0,"",SUMIFS(T_PlannedOrders[EffectiveQty],T_PlannedOrders[Part Name],$A773,T_PlannedOrders[WeekIndex],65)&amp;" ("&amp;TEXT(SUMPRODUCT(MAX((T_PlannedOrders[Part Name]=$A773)*(T_PlannedOrders[WeekIndex]=65)*(T_PlannedOrders[EffectiveQty]&gt;0)*T_PlannedOrders[Order_Month])),"m月")&amp;"発注)")</f>
        <v/>
      </c>
      <c r="BQ831">
        <f>IF(SUMIFS(T_PlannedOrders[EffectiveQty],T_PlannedOrders[Part Name],$A773,T_PlannedOrders[WeekIndex],66)=0,"",SUMIFS(T_PlannedOrders[EffectiveQty],T_PlannedOrders[Part Name],$A773,T_PlannedOrders[WeekIndex],66)&amp;" ("&amp;TEXT(SUMPRODUCT(MAX((T_PlannedOrders[Part Name]=$A773)*(T_PlannedOrders[WeekIndex]=66)*(T_PlannedOrders[EffectiveQty]&gt;0)*T_PlannedOrders[Order_Month])),"m月")&amp;"発注)")</f>
        <v/>
      </c>
      <c r="BR831">
        <f>IF(SUMIFS(T_PlannedOrders[EffectiveQty],T_PlannedOrders[Part Name],$A773,T_PlannedOrders[WeekIndex],67)=0,"",SUMIFS(T_PlannedOrders[EffectiveQty],T_PlannedOrders[Part Name],$A773,T_PlannedOrders[WeekIndex],67)&amp;" ("&amp;TEXT(SUMPRODUCT(MAX((T_PlannedOrders[Part Name]=$A773)*(T_PlannedOrders[WeekIndex]=67)*(T_PlannedOrders[EffectiveQty]&gt;0)*T_PlannedOrders[Order_Month])),"m月")&amp;"発注)")</f>
        <v/>
      </c>
      <c r="BS831">
        <f>IF(SUMIFS(T_PlannedOrders[EffectiveQty],T_PlannedOrders[Part Name],$A773,T_PlannedOrders[WeekIndex],68)=0,"",SUMIFS(T_PlannedOrders[EffectiveQty],T_PlannedOrders[Part Name],$A773,T_PlannedOrders[WeekIndex],68)&amp;" ("&amp;TEXT(SUMPRODUCT(MAX((T_PlannedOrders[Part Name]=$A773)*(T_PlannedOrders[WeekIndex]=68)*(T_PlannedOrders[EffectiveQty]&gt;0)*T_PlannedOrders[Order_Month])),"m月")&amp;"発注)")</f>
        <v/>
      </c>
      <c r="BT831">
        <f>IF(SUMIFS(T_PlannedOrders[EffectiveQty],T_PlannedOrders[Part Name],$A773,T_PlannedOrders[WeekIndex],69)=0,"",SUMIFS(T_PlannedOrders[EffectiveQty],T_PlannedOrders[Part Name],$A773,T_PlannedOrders[WeekIndex],69)&amp;" ("&amp;TEXT(SUMPRODUCT(MAX((T_PlannedOrders[Part Name]=$A773)*(T_PlannedOrders[WeekIndex]=69)*(T_PlannedOrders[EffectiveQty]&gt;0)*T_PlannedOrders[Order_Month])),"m月")&amp;"発注)")</f>
        <v/>
      </c>
      <c r="BU831">
        <f>IF(SUMIFS(T_PlannedOrders[EffectiveQty],T_PlannedOrders[Part Name],$A773,T_PlannedOrders[WeekIndex],70)=0,"",SUMIFS(T_PlannedOrders[EffectiveQty],T_PlannedOrders[Part Name],$A773,T_PlannedOrders[WeekIndex],70)&amp;" ("&amp;TEXT(SUMPRODUCT(MAX((T_PlannedOrders[Part Name]=$A773)*(T_PlannedOrders[WeekIndex]=70)*(T_PlannedOrders[EffectiveQty]&gt;0)*T_PlannedOrders[Order_Month])),"m月")&amp;"発注)")</f>
        <v/>
      </c>
      <c r="BV831">
        <f>IF(SUMIFS(T_PlannedOrders[EffectiveQty],T_PlannedOrders[Part Name],$A773,T_PlannedOrders[WeekIndex],71)=0,"",SUMIFS(T_PlannedOrders[EffectiveQty],T_PlannedOrders[Part Name],$A773,T_PlannedOrders[WeekIndex],71)&amp;" ("&amp;TEXT(SUMPRODUCT(MAX((T_PlannedOrders[Part Name]=$A773)*(T_PlannedOrders[WeekIndex]=71)*(T_PlannedOrders[EffectiveQty]&gt;0)*T_PlannedOrders[Order_Month])),"m月")&amp;"発注)")</f>
        <v/>
      </c>
      <c r="BW831">
        <f>IF(SUMIFS(T_PlannedOrders[EffectiveQty],T_PlannedOrders[Part Name],$A773,T_PlannedOrders[WeekIndex],72)=0,"",SUMIFS(T_PlannedOrders[EffectiveQty],T_PlannedOrders[Part Name],$A773,T_PlannedOrders[WeekIndex],72)&amp;" ("&amp;TEXT(SUMPRODUCT(MAX((T_PlannedOrders[Part Name]=$A773)*(T_PlannedOrders[WeekIndex]=72)*(T_PlannedOrders[EffectiveQty]&gt;0)*T_PlannedOrders[Order_Month])),"m月")&amp;"発注)")</f>
        <v/>
      </c>
      <c r="BX831">
        <f>IF(SUMIFS(T_PlannedOrders[EffectiveQty],T_PlannedOrders[Part Name],$A773,T_PlannedOrders[WeekIndex],73)=0,"",SUMIFS(T_PlannedOrders[EffectiveQty],T_PlannedOrders[Part Name],$A773,T_PlannedOrders[WeekIndex],73)&amp;" ("&amp;TEXT(SUMPRODUCT(MAX((T_PlannedOrders[Part Name]=$A773)*(T_PlannedOrders[WeekIndex]=73)*(T_PlannedOrders[EffectiveQty]&gt;0)*T_PlannedOrders[Order_Month])),"m月")&amp;"発注)")</f>
        <v/>
      </c>
      <c r="BY831">
        <f>IF(SUMIFS(T_PlannedOrders[EffectiveQty],T_PlannedOrders[Part Name],$A773,T_PlannedOrders[WeekIndex],74)=0,"",SUMIFS(T_PlannedOrders[EffectiveQty],T_PlannedOrders[Part Name],$A773,T_PlannedOrders[WeekIndex],74)&amp;" ("&amp;TEXT(SUMPRODUCT(MAX((T_PlannedOrders[Part Name]=$A773)*(T_PlannedOrders[WeekIndex]=74)*(T_PlannedOrders[EffectiveQty]&gt;0)*T_PlannedOrders[Order_Month])),"m月")&amp;"発注)")</f>
        <v/>
      </c>
      <c r="BZ831">
        <f>IF(SUMIFS(T_PlannedOrders[EffectiveQty],T_PlannedOrders[Part Name],$A773,T_PlannedOrders[WeekIndex],75)=0,"",SUMIFS(T_PlannedOrders[EffectiveQty],T_PlannedOrders[Part Name],$A773,T_PlannedOrders[WeekIndex],75)&amp;" ("&amp;TEXT(SUMPRODUCT(MAX((T_PlannedOrders[Part Name]=$A773)*(T_PlannedOrders[WeekIndex]=75)*(T_PlannedOrders[EffectiveQty]&gt;0)*T_PlannedOrders[Order_Month])),"m月")&amp;"発注)")</f>
        <v/>
      </c>
      <c r="CA831">
        <f>IF(SUMIFS(T_PlannedOrders[EffectiveQty],T_PlannedOrders[Part Name],$A773,T_PlannedOrders[WeekIndex],76)=0,"",SUMIFS(T_PlannedOrders[EffectiveQty],T_PlannedOrders[Part Name],$A773,T_PlannedOrders[WeekIndex],76)&amp;" ("&amp;TEXT(SUMPRODUCT(MAX((T_PlannedOrders[Part Name]=$A773)*(T_PlannedOrders[WeekIndex]=76)*(T_PlannedOrders[EffectiveQty]&gt;0)*T_PlannedOrders[Order_Month])),"m月")&amp;"発注)")</f>
        <v/>
      </c>
      <c r="CB831">
        <f>IF(SUMIFS(T_PlannedOrders[EffectiveQty],T_PlannedOrders[Part Name],$A773,T_PlannedOrders[WeekIndex],77)=0,"",SUMIFS(T_PlannedOrders[EffectiveQty],T_PlannedOrders[Part Name],$A773,T_PlannedOrders[WeekIndex],77)&amp;" ("&amp;TEXT(SUMPRODUCT(MAX((T_PlannedOrders[Part Name]=$A773)*(T_PlannedOrders[WeekIndex]=77)*(T_PlannedOrders[EffectiveQty]&gt;0)*T_PlannedOrders[Order_Month])),"m月")&amp;"発注)")</f>
        <v/>
      </c>
      <c r="CC831">
        <f>IF(SUMIFS(T_PlannedOrders[EffectiveQty],T_PlannedOrders[Part Name],$A773,T_PlannedOrders[WeekIndex],78)=0,"",SUMIFS(T_PlannedOrders[EffectiveQty],T_PlannedOrders[Part Name],$A773,T_PlannedOrders[WeekIndex],78)&amp;" ("&amp;TEXT(SUMPRODUCT(MAX((T_PlannedOrders[Part Name]=$A773)*(T_PlannedOrders[WeekIndex]=78)*(T_PlannedOrders[EffectiveQty]&gt;0)*T_PlannedOrders[Order_Month])),"m月")&amp;"発注)")</f>
        <v/>
      </c>
      <c r="CD831">
        <f>IF(SUMIFS(T_PlannedOrders[EffectiveQty],T_PlannedOrders[Part Name],$A773,T_PlannedOrders[WeekIndex],79)=0,"",SUMIFS(T_PlannedOrders[EffectiveQty],T_PlannedOrders[Part Name],$A773,T_PlannedOrders[WeekIndex],79)&amp;" ("&amp;TEXT(SUMPRODUCT(MAX((T_PlannedOrders[Part Name]=$A773)*(T_PlannedOrders[WeekIndex]=79)*(T_PlannedOrders[EffectiveQty]&gt;0)*T_PlannedOrders[Order_Month])),"m月")&amp;"発注)")</f>
        <v/>
      </c>
      <c r="CE831">
        <f>IF(SUMIFS(T_PlannedOrders[EffectiveQty],T_PlannedOrders[Part Name],$A773,T_PlannedOrders[WeekIndex],80)=0,"",SUMIFS(T_PlannedOrders[EffectiveQty],T_PlannedOrders[Part Name],$A773,T_PlannedOrders[WeekIndex],80)&amp;" ("&amp;TEXT(SUMPRODUCT(MAX((T_PlannedOrders[Part Name]=$A773)*(T_PlannedOrders[WeekIndex]=80)*(T_PlannedOrders[EffectiveQty]&gt;0)*T_PlannedOrders[Order_Month])),"m月")&amp;"発注)")</f>
        <v/>
      </c>
      <c r="CF831">
        <f>IF(SUMIFS(T_PlannedOrders[EffectiveQty],T_PlannedOrders[Part Name],$A773,T_PlannedOrders[WeekIndex],81)=0,"",SUMIFS(T_PlannedOrders[EffectiveQty],T_PlannedOrders[Part Name],$A773,T_PlannedOrders[WeekIndex],81)&amp;" ("&amp;TEXT(SUMPRODUCT(MAX((T_PlannedOrders[Part Name]=$A773)*(T_PlannedOrders[WeekIndex]=81)*(T_PlannedOrders[EffectiveQty]&gt;0)*T_PlannedOrders[Order_Month])),"m月")&amp;"発注)")</f>
        <v/>
      </c>
      <c r="CG831">
        <f>IF(SUMIFS(T_PlannedOrders[EffectiveQty],T_PlannedOrders[Part Name],$A773,T_PlannedOrders[WeekIndex],82)=0,"",SUMIFS(T_PlannedOrders[EffectiveQty],T_PlannedOrders[Part Name],$A773,T_PlannedOrders[WeekIndex],82)&amp;" ("&amp;TEXT(SUMPRODUCT(MAX((T_PlannedOrders[Part Name]=$A773)*(T_PlannedOrders[WeekIndex]=82)*(T_PlannedOrders[EffectiveQty]&gt;0)*T_PlannedOrders[Order_Month])),"m月")&amp;"発注)")</f>
        <v/>
      </c>
      <c r="CH831">
        <f>IF(SUMIFS(T_PlannedOrders[EffectiveQty],T_PlannedOrders[Part Name],$A773,T_PlannedOrders[WeekIndex],83)=0,"",SUMIFS(T_PlannedOrders[EffectiveQty],T_PlannedOrders[Part Name],$A773,T_PlannedOrders[WeekIndex],83)&amp;" ("&amp;TEXT(SUMPRODUCT(MAX((T_PlannedOrders[Part Name]=$A773)*(T_PlannedOrders[WeekIndex]=83)*(T_PlannedOrders[EffectiveQty]&gt;0)*T_PlannedOrders[Order_Month])),"m月")&amp;"発注)")</f>
        <v/>
      </c>
      <c r="CI831">
        <f>IF(SUMIFS(T_PlannedOrders[EffectiveQty],T_PlannedOrders[Part Name],$A773,T_PlannedOrders[WeekIndex],84)=0,"",SUMIFS(T_PlannedOrders[EffectiveQty],T_PlannedOrders[Part Name],$A773,T_PlannedOrders[WeekIndex],84)&amp;" ("&amp;TEXT(SUMPRODUCT(MAX((T_PlannedOrders[Part Name]=$A773)*(T_PlannedOrders[WeekIndex]=84)*(T_PlannedOrders[EffectiveQty]&gt;0)*T_PlannedOrders[Order_Month])),"m月")&amp;"発注)")</f>
        <v/>
      </c>
      <c r="CJ831">
        <f>IF(SUMIFS(T_PlannedOrders[EffectiveQty],T_PlannedOrders[Part Name],$A773,T_PlannedOrders[WeekIndex],85)=0,"",SUMIFS(T_PlannedOrders[EffectiveQty],T_PlannedOrders[Part Name],$A773,T_PlannedOrders[WeekIndex],85)&amp;" ("&amp;TEXT(SUMPRODUCT(MAX((T_PlannedOrders[Part Name]=$A773)*(T_PlannedOrders[WeekIndex]=85)*(T_PlannedOrders[EffectiveQty]&gt;0)*T_PlannedOrders[Order_Month])),"m月")&amp;"発注)")</f>
        <v/>
      </c>
      <c r="CK831">
        <f>IF(SUMIFS(T_PlannedOrders[EffectiveQty],T_PlannedOrders[Part Name],$A773,T_PlannedOrders[WeekIndex],86)=0,"",SUMIFS(T_PlannedOrders[EffectiveQty],T_PlannedOrders[Part Name],$A773,T_PlannedOrders[WeekIndex],86)&amp;" ("&amp;TEXT(SUMPRODUCT(MAX((T_PlannedOrders[Part Name]=$A773)*(T_PlannedOrders[WeekIndex]=86)*(T_PlannedOrders[EffectiveQty]&gt;0)*T_PlannedOrders[Order_Month])),"m月")&amp;"発注)")</f>
        <v/>
      </c>
      <c r="CL831">
        <f>IF(SUMIFS(T_PlannedOrders[EffectiveQty],T_PlannedOrders[Part Name],$A773,T_PlannedOrders[WeekIndex],87)=0,"",SUMIFS(T_PlannedOrders[EffectiveQty],T_PlannedOrders[Part Name],$A773,T_PlannedOrders[WeekIndex],87)&amp;" ("&amp;TEXT(SUMPRODUCT(MAX((T_PlannedOrders[Part Name]=$A773)*(T_PlannedOrders[WeekIndex]=87)*(T_PlannedOrders[EffectiveQty]&gt;0)*T_PlannedOrders[Order_Month])),"m月")&amp;"発注)")</f>
        <v/>
      </c>
      <c r="CM831">
        <f>IF(SUMIFS(T_PlannedOrders[EffectiveQty],T_PlannedOrders[Part Name],$A773,T_PlannedOrders[WeekIndex],88)=0,"",SUMIFS(T_PlannedOrders[EffectiveQty],T_PlannedOrders[Part Name],$A773,T_PlannedOrders[WeekIndex],88)&amp;" ("&amp;TEXT(SUMPRODUCT(MAX((T_PlannedOrders[Part Name]=$A773)*(T_PlannedOrders[WeekIndex]=88)*(T_PlannedOrders[EffectiveQty]&gt;0)*T_PlannedOrders[Order_Month])),"m月")&amp;"発注)")</f>
        <v/>
      </c>
      <c r="CN831">
        <f>IF(SUMIFS(T_PlannedOrders[EffectiveQty],T_PlannedOrders[Part Name],$A773,T_PlannedOrders[WeekIndex],89)=0,"",SUMIFS(T_PlannedOrders[EffectiveQty],T_PlannedOrders[Part Name],$A773,T_PlannedOrders[WeekIndex],89)&amp;" ("&amp;TEXT(SUMPRODUCT(MAX((T_PlannedOrders[Part Name]=$A773)*(T_PlannedOrders[WeekIndex]=89)*(T_PlannedOrders[EffectiveQty]&gt;0)*T_PlannedOrders[Order_Month])),"m月")&amp;"発注)")</f>
        <v/>
      </c>
      <c r="CO831">
        <f>IF(SUMIFS(T_PlannedOrders[EffectiveQty],T_PlannedOrders[Part Name],$A773,T_PlannedOrders[WeekIndex],90)=0,"",SUMIFS(T_PlannedOrders[EffectiveQty],T_PlannedOrders[Part Name],$A773,T_PlannedOrders[WeekIndex],90)&amp;" ("&amp;TEXT(SUMPRODUCT(MAX((T_PlannedOrders[Part Name]=$A773)*(T_PlannedOrders[WeekIndex]=90)*(T_PlannedOrders[EffectiveQty]&gt;0)*T_PlannedOrders[Order_Month])),"m月")&amp;"発注)")</f>
        <v/>
      </c>
      <c r="CP831">
        <f>IF(SUMIFS(T_PlannedOrders[EffectiveQty],T_PlannedOrders[Part Name],$A773,T_PlannedOrders[WeekIndex],91)=0,"",SUMIFS(T_PlannedOrders[EffectiveQty],T_PlannedOrders[Part Name],$A773,T_PlannedOrders[WeekIndex],91)&amp;" ("&amp;TEXT(SUMPRODUCT(MAX((T_PlannedOrders[Part Name]=$A773)*(T_PlannedOrders[WeekIndex]=91)*(T_PlannedOrders[EffectiveQty]&gt;0)*T_PlannedOrders[Order_Month])),"m月")&amp;"発注)")</f>
        <v/>
      </c>
      <c r="CQ831">
        <f>IF(SUMIFS(T_PlannedOrders[EffectiveQty],T_PlannedOrders[Part Name],$A773,T_PlannedOrders[WeekIndex],92)=0,"",SUMIFS(T_PlannedOrders[EffectiveQty],T_PlannedOrders[Part Name],$A773,T_PlannedOrders[WeekIndex],92)&amp;" ("&amp;TEXT(SUMPRODUCT(MAX((T_PlannedOrders[Part Name]=$A773)*(T_PlannedOrders[WeekIndex]=92)*(T_PlannedOrders[EffectiveQty]&gt;0)*T_PlannedOrders[Order_Month])),"m月")&amp;"発注)")</f>
        <v/>
      </c>
      <c r="CR831">
        <f>IF(SUMIFS(T_PlannedOrders[EffectiveQty],T_PlannedOrders[Part Name],$A773,T_PlannedOrders[WeekIndex],93)=0,"",SUMIFS(T_PlannedOrders[EffectiveQty],T_PlannedOrders[Part Name],$A773,T_PlannedOrders[WeekIndex],93)&amp;" ("&amp;TEXT(SUMPRODUCT(MAX((T_PlannedOrders[Part Name]=$A773)*(T_PlannedOrders[WeekIndex]=93)*(T_PlannedOrders[EffectiveQty]&gt;0)*T_PlannedOrders[Order_Month])),"m月")&amp;"発注)")</f>
        <v/>
      </c>
      <c r="CS831">
        <f>IF(SUMIFS(T_PlannedOrders[EffectiveQty],T_PlannedOrders[Part Name],$A773,T_PlannedOrders[WeekIndex],94)=0,"",SUMIFS(T_PlannedOrders[EffectiveQty],T_PlannedOrders[Part Name],$A773,T_PlannedOrders[WeekIndex],94)&amp;" ("&amp;TEXT(SUMPRODUCT(MAX((T_PlannedOrders[Part Name]=$A773)*(T_PlannedOrders[WeekIndex]=94)*(T_PlannedOrders[EffectiveQty]&gt;0)*T_PlannedOrders[Order_Month])),"m月")&amp;"発注)")</f>
        <v/>
      </c>
      <c r="CT831">
        <f>IF(SUMIFS(T_PlannedOrders[EffectiveQty],T_PlannedOrders[Part Name],$A773,T_PlannedOrders[WeekIndex],95)=0,"",SUMIFS(T_PlannedOrders[EffectiveQty],T_PlannedOrders[Part Name],$A773,T_PlannedOrders[WeekIndex],95)&amp;" ("&amp;TEXT(SUMPRODUCT(MAX((T_PlannedOrders[Part Name]=$A773)*(T_PlannedOrders[WeekIndex]=95)*(T_PlannedOrders[EffectiveQty]&gt;0)*T_PlannedOrders[Order_Month])),"m月")&amp;"発注)")</f>
        <v/>
      </c>
      <c r="CU831">
        <f>IF(SUMIFS(T_PlannedOrders[EffectiveQty],T_PlannedOrders[Part Name],$A773,T_PlannedOrders[WeekIndex],96)=0,"",SUMIFS(T_PlannedOrders[EffectiveQty],T_PlannedOrders[Part Name],$A773,T_PlannedOrders[WeekIndex],96)&amp;" ("&amp;TEXT(SUMPRODUCT(MAX((T_PlannedOrders[Part Name]=$A773)*(T_PlannedOrders[WeekIndex]=96)*(T_PlannedOrders[EffectiveQty]&gt;0)*T_PlannedOrders[Order_Month])),"m月")&amp;"発注)")</f>
        <v/>
      </c>
      <c r="CV831">
        <f>IF(SUMIFS(T_PlannedOrders[EffectiveQty],T_PlannedOrders[Part Name],$A773,T_PlannedOrders[WeekIndex],97)=0,"",SUMIFS(T_PlannedOrders[EffectiveQty],T_PlannedOrders[Part Name],$A773,T_PlannedOrders[WeekIndex],97)&amp;" ("&amp;TEXT(SUMPRODUCT(MAX((T_PlannedOrders[Part Name]=$A773)*(T_PlannedOrders[WeekIndex]=97)*(T_PlannedOrders[EffectiveQty]&gt;0)*T_PlannedOrders[Order_Month])),"m月")&amp;"発注)")</f>
        <v/>
      </c>
      <c r="CW831">
        <f>IF(SUMIFS(T_PlannedOrders[EffectiveQty],T_PlannedOrders[Part Name],$A773,T_PlannedOrders[WeekIndex],98)=0,"",SUMIFS(T_PlannedOrders[EffectiveQty],T_PlannedOrders[Part Name],$A773,T_PlannedOrders[WeekIndex],98)&amp;" ("&amp;TEXT(SUMPRODUCT(MAX((T_PlannedOrders[Part Name]=$A773)*(T_PlannedOrders[WeekIndex]=98)*(T_PlannedOrders[EffectiveQty]&gt;0)*T_PlannedOrders[Order_Month])),"m月")&amp;"発注)")</f>
        <v/>
      </c>
      <c r="CX831">
        <f>IF(SUMIFS(T_PlannedOrders[EffectiveQty],T_PlannedOrders[Part Name],$A773,T_PlannedOrders[WeekIndex],99)=0,"",SUMIFS(T_PlannedOrders[EffectiveQty],T_PlannedOrders[Part Name],$A773,T_PlannedOrders[WeekIndex],99)&amp;" ("&amp;TEXT(SUMPRODUCT(MAX((T_PlannedOrders[Part Name]=$A773)*(T_PlannedOrders[WeekIndex]=99)*(T_PlannedOrders[EffectiveQty]&gt;0)*T_PlannedOrders[Order_Month])),"m月")&amp;"発注)")</f>
        <v/>
      </c>
      <c r="CY831">
        <f>IF(SUMIFS(T_PlannedOrders[EffectiveQty],T_PlannedOrders[Part Name],$A773,T_PlannedOrders[WeekIndex],100)=0,"",SUMIFS(T_PlannedOrders[EffectiveQty],T_PlannedOrders[Part Name],$A773,T_PlannedOrders[WeekIndex],100)&amp;" ("&amp;TEXT(SUMPRODUCT(MAX((T_PlannedOrders[Part Name]=$A773)*(T_PlannedOrders[WeekIndex]=100)*(T_PlannedOrders[EffectiveQty]&gt;0)*T_PlannedOrders[Order_Month])),"m月")&amp;"発注)")</f>
        <v/>
      </c>
      <c r="CZ831">
        <f>IF(SUMIFS(T_PlannedOrders[EffectiveQty],T_PlannedOrders[Part Name],$A773,T_PlannedOrders[WeekIndex],101)=0,"",SUMIFS(T_PlannedOrders[EffectiveQty],T_PlannedOrders[Part Name],$A773,T_PlannedOrders[WeekIndex],101)&amp;" ("&amp;TEXT(SUMPRODUCT(MAX((T_PlannedOrders[Part Name]=$A773)*(T_PlannedOrders[WeekIndex]=101)*(T_PlannedOrders[EffectiveQty]&gt;0)*T_PlannedOrders[Order_Month])),"m月")&amp;"発注)")</f>
        <v/>
      </c>
      <c r="DA831">
        <f>IF(SUMIFS(T_PlannedOrders[EffectiveQty],T_PlannedOrders[Part Name],$A773,T_PlannedOrders[WeekIndex],102)=0,"",SUMIFS(T_PlannedOrders[EffectiveQty],T_PlannedOrders[Part Name],$A773,T_PlannedOrders[WeekIndex],102)&amp;" ("&amp;TEXT(SUMPRODUCT(MAX((T_PlannedOrders[Part Name]=$A773)*(T_PlannedOrders[WeekIndex]=102)*(T_PlannedOrders[EffectiveQty]&gt;0)*T_PlannedOrders[Order_Month])),"m月")&amp;"発注)")</f>
        <v/>
      </c>
      <c r="DB831">
        <f>IF(SUMIFS(T_PlannedOrders[EffectiveQty],T_PlannedOrders[Part Name],$A773,T_PlannedOrders[WeekIndex],103)=0,"",SUMIFS(T_PlannedOrders[EffectiveQty],T_PlannedOrders[Part Name],$A773,T_PlannedOrders[WeekIndex],103)&amp;" ("&amp;TEXT(SUMPRODUCT(MAX((T_PlannedOrders[Part Name]=$A773)*(T_PlannedOrders[WeekIndex]=103)*(T_PlannedOrders[EffectiveQty]&gt;0)*T_PlannedOrders[Order_Month])),"m月")&amp;"発注)")</f>
        <v/>
      </c>
      <c r="DC831">
        <f>IF(SUMIFS(T_PlannedOrders[EffectiveQty],T_PlannedOrders[Part Name],$A773,T_PlannedOrders[WeekIndex],104)=0,"",SUMIFS(T_PlannedOrders[EffectiveQty],T_PlannedOrders[Part Name],$A773,T_PlannedOrders[WeekIndex],104)&amp;" ("&amp;TEXT(SUMPRODUCT(MAX((T_PlannedOrders[Part Name]=$A773)*(T_PlannedOrders[WeekIndex]=104)*(T_PlannedOrders[EffectiveQty]&gt;0)*T_PlannedOrders[Order_Month])),"m月")&amp;"発注)")</f>
        <v/>
      </c>
    </row>
    <row r="832">
      <c r="B832" s="4" t="inlineStr">
        <is>
          <t>合計在庫(週末時点,kg)</t>
        </is>
      </c>
      <c r="D832">
        <f>'Grid_Stock'!B17</f>
        <v/>
      </c>
      <c r="E832">
        <f>'Grid_Stock'!C17</f>
        <v/>
      </c>
      <c r="F832">
        <f>'Grid_Stock'!D17</f>
        <v/>
      </c>
      <c r="G832">
        <f>'Grid_Stock'!E17</f>
        <v/>
      </c>
      <c r="H832">
        <f>'Grid_Stock'!F17</f>
        <v/>
      </c>
      <c r="I832">
        <f>'Grid_Stock'!G17</f>
        <v/>
      </c>
      <c r="J832">
        <f>'Grid_Stock'!H17</f>
        <v/>
      </c>
      <c r="K832">
        <f>'Grid_Stock'!I17</f>
        <v/>
      </c>
      <c r="L832">
        <f>'Grid_Stock'!J17</f>
        <v/>
      </c>
      <c r="M832">
        <f>'Grid_Stock'!K17</f>
        <v/>
      </c>
      <c r="N832">
        <f>'Grid_Stock'!L17</f>
        <v/>
      </c>
      <c r="O832">
        <f>'Grid_Stock'!M17</f>
        <v/>
      </c>
      <c r="P832">
        <f>'Grid_Stock'!N17</f>
        <v/>
      </c>
      <c r="Q832">
        <f>'Grid_Stock'!O17</f>
        <v/>
      </c>
      <c r="R832">
        <f>'Grid_Stock'!P17</f>
        <v/>
      </c>
      <c r="S832">
        <f>'Grid_Stock'!Q17</f>
        <v/>
      </c>
      <c r="T832">
        <f>'Grid_Stock'!R17</f>
        <v/>
      </c>
      <c r="U832">
        <f>'Grid_Stock'!S17</f>
        <v/>
      </c>
      <c r="V832">
        <f>'Grid_Stock'!T17</f>
        <v/>
      </c>
      <c r="W832">
        <f>'Grid_Stock'!U17</f>
        <v/>
      </c>
      <c r="X832">
        <f>'Grid_Stock'!V17</f>
        <v/>
      </c>
      <c r="Y832">
        <f>'Grid_Stock'!W17</f>
        <v/>
      </c>
      <c r="Z832">
        <f>'Grid_Stock'!X17</f>
        <v/>
      </c>
      <c r="AA832">
        <f>'Grid_Stock'!Y17</f>
        <v/>
      </c>
      <c r="AB832">
        <f>'Grid_Stock'!Z17</f>
        <v/>
      </c>
      <c r="AC832">
        <f>'Grid_Stock'!AA17</f>
        <v/>
      </c>
      <c r="AD832">
        <f>'Grid_Stock'!AB17</f>
        <v/>
      </c>
      <c r="AE832">
        <f>'Grid_Stock'!AC17</f>
        <v/>
      </c>
      <c r="AF832">
        <f>'Grid_Stock'!AD17</f>
        <v/>
      </c>
      <c r="AG832">
        <f>'Grid_Stock'!AE17</f>
        <v/>
      </c>
      <c r="AH832">
        <f>'Grid_Stock'!AF17</f>
        <v/>
      </c>
      <c r="AI832">
        <f>'Grid_Stock'!AG17</f>
        <v/>
      </c>
      <c r="AJ832">
        <f>'Grid_Stock'!AH17</f>
        <v/>
      </c>
      <c r="AK832">
        <f>'Grid_Stock'!AI17</f>
        <v/>
      </c>
      <c r="AL832">
        <f>'Grid_Stock'!AJ17</f>
        <v/>
      </c>
      <c r="AM832">
        <f>'Grid_Stock'!AK17</f>
        <v/>
      </c>
      <c r="AN832">
        <f>'Grid_Stock'!AL17</f>
        <v/>
      </c>
      <c r="AO832">
        <f>'Grid_Stock'!AM17</f>
        <v/>
      </c>
      <c r="AP832">
        <f>'Grid_Stock'!AN17</f>
        <v/>
      </c>
      <c r="AQ832">
        <f>'Grid_Stock'!AO17</f>
        <v/>
      </c>
      <c r="AR832">
        <f>'Grid_Stock'!AP17</f>
        <v/>
      </c>
      <c r="AS832">
        <f>'Grid_Stock'!AQ17</f>
        <v/>
      </c>
      <c r="AT832">
        <f>'Grid_Stock'!AR17</f>
        <v/>
      </c>
      <c r="AU832">
        <f>'Grid_Stock'!AS17</f>
        <v/>
      </c>
      <c r="AV832">
        <f>'Grid_Stock'!AT17</f>
        <v/>
      </c>
      <c r="AW832">
        <f>'Grid_Stock'!AU17</f>
        <v/>
      </c>
      <c r="AX832">
        <f>'Grid_Stock'!AV17</f>
        <v/>
      </c>
      <c r="AY832">
        <f>'Grid_Stock'!AW17</f>
        <v/>
      </c>
      <c r="AZ832">
        <f>'Grid_Stock'!AX17</f>
        <v/>
      </c>
      <c r="BA832">
        <f>'Grid_Stock'!AY17</f>
        <v/>
      </c>
      <c r="BB832">
        <f>'Grid_Stock'!AZ17</f>
        <v/>
      </c>
      <c r="BC832">
        <f>'Grid_Stock'!BA17</f>
        <v/>
      </c>
      <c r="BD832">
        <f>'Grid_Stock'!BB17</f>
        <v/>
      </c>
      <c r="BE832">
        <f>'Grid_Stock'!BC17</f>
        <v/>
      </c>
      <c r="BF832">
        <f>'Grid_Stock'!BD17</f>
        <v/>
      </c>
      <c r="BG832">
        <f>'Grid_Stock'!BE17</f>
        <v/>
      </c>
      <c r="BH832">
        <f>'Grid_Stock'!BF17</f>
        <v/>
      </c>
      <c r="BI832">
        <f>'Grid_Stock'!BG17</f>
        <v/>
      </c>
      <c r="BJ832">
        <f>'Grid_Stock'!BH17</f>
        <v/>
      </c>
      <c r="BK832">
        <f>'Grid_Stock'!BI17</f>
        <v/>
      </c>
      <c r="BL832">
        <f>'Grid_Stock'!BJ17</f>
        <v/>
      </c>
      <c r="BM832">
        <f>'Grid_Stock'!BK17</f>
        <v/>
      </c>
      <c r="BN832">
        <f>'Grid_Stock'!BL17</f>
        <v/>
      </c>
      <c r="BO832">
        <f>'Grid_Stock'!BM17</f>
        <v/>
      </c>
      <c r="BP832">
        <f>'Grid_Stock'!BN17</f>
        <v/>
      </c>
      <c r="BQ832">
        <f>'Grid_Stock'!BO17</f>
        <v/>
      </c>
      <c r="BR832">
        <f>'Grid_Stock'!BP17</f>
        <v/>
      </c>
      <c r="BS832">
        <f>'Grid_Stock'!BQ17</f>
        <v/>
      </c>
      <c r="BT832">
        <f>'Grid_Stock'!BR17</f>
        <v/>
      </c>
      <c r="BU832">
        <f>'Grid_Stock'!BS17</f>
        <v/>
      </c>
      <c r="BV832">
        <f>'Grid_Stock'!BT17</f>
        <v/>
      </c>
      <c r="BW832">
        <f>'Grid_Stock'!BU17</f>
        <v/>
      </c>
      <c r="BX832">
        <f>'Grid_Stock'!BV17</f>
        <v/>
      </c>
      <c r="BY832">
        <f>'Grid_Stock'!BW17</f>
        <v/>
      </c>
      <c r="BZ832">
        <f>'Grid_Stock'!BX17</f>
        <v/>
      </c>
      <c r="CA832">
        <f>'Grid_Stock'!BY17</f>
        <v/>
      </c>
      <c r="CB832">
        <f>'Grid_Stock'!BZ17</f>
        <v/>
      </c>
      <c r="CC832">
        <f>'Grid_Stock'!CA17</f>
        <v/>
      </c>
      <c r="CD832">
        <f>'Grid_Stock'!CB17</f>
        <v/>
      </c>
      <c r="CE832">
        <f>'Grid_Stock'!CC17</f>
        <v/>
      </c>
      <c r="CF832">
        <f>'Grid_Stock'!CD17</f>
        <v/>
      </c>
      <c r="CG832">
        <f>'Grid_Stock'!CE17</f>
        <v/>
      </c>
      <c r="CH832">
        <f>'Grid_Stock'!CF17</f>
        <v/>
      </c>
      <c r="CI832">
        <f>'Grid_Stock'!CG17</f>
        <v/>
      </c>
      <c r="CJ832">
        <f>'Grid_Stock'!CH17</f>
        <v/>
      </c>
      <c r="CK832">
        <f>'Grid_Stock'!CI17</f>
        <v/>
      </c>
      <c r="CL832">
        <f>'Grid_Stock'!CJ17</f>
        <v/>
      </c>
      <c r="CM832">
        <f>'Grid_Stock'!CK17</f>
        <v/>
      </c>
      <c r="CN832">
        <f>'Grid_Stock'!CL17</f>
        <v/>
      </c>
      <c r="CO832">
        <f>'Grid_Stock'!CM17</f>
        <v/>
      </c>
      <c r="CP832">
        <f>'Grid_Stock'!CN17</f>
        <v/>
      </c>
      <c r="CQ832">
        <f>'Grid_Stock'!CO17</f>
        <v/>
      </c>
      <c r="CR832">
        <f>'Grid_Stock'!CP17</f>
        <v/>
      </c>
      <c r="CS832">
        <f>'Grid_Stock'!CQ17</f>
        <v/>
      </c>
      <c r="CT832">
        <f>'Grid_Stock'!CR17</f>
        <v/>
      </c>
      <c r="CU832">
        <f>'Grid_Stock'!CS17</f>
        <v/>
      </c>
      <c r="CV832">
        <f>'Grid_Stock'!CT17</f>
        <v/>
      </c>
      <c r="CW832">
        <f>'Grid_Stock'!CU17</f>
        <v/>
      </c>
      <c r="CX832">
        <f>'Grid_Stock'!CV17</f>
        <v/>
      </c>
      <c r="CY832">
        <f>'Grid_Stock'!CW17</f>
        <v/>
      </c>
      <c r="CZ832">
        <f>'Grid_Stock'!CX17</f>
        <v/>
      </c>
      <c r="DA832">
        <f>'Grid_Stock'!CY17</f>
        <v/>
      </c>
      <c r="DB832">
        <f>'Grid_Stock'!CZ17</f>
        <v/>
      </c>
      <c r="DC832">
        <f>'Grid_Stock'!DA17</f>
        <v/>
      </c>
    </row>
    <row r="833">
      <c r="B833" s="16" t="inlineStr">
        <is>
          <t>（発注の目安はDashboardの基準在庫[下限/上限]と色分けを参照）</t>
        </is>
      </c>
    </row>
    <row r="835">
      <c r="A835" s="14" t="inlineStr">
        <is>
          <t>CHEM-1690</t>
        </is>
      </c>
      <c r="B835" s="14" t="inlineStr">
        <is>
          <t>TPZ-560</t>
        </is>
      </c>
      <c r="C835" s="15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  <c r="AA835" s="14" t="n"/>
      <c r="AB835" s="14" t="n"/>
      <c r="AC835" s="14" t="n"/>
      <c r="AD835" s="14" t="n"/>
      <c r="AE835" s="14" t="n"/>
      <c r="AF835" s="14" t="n"/>
      <c r="AG835" s="14" t="n"/>
      <c r="AH835" s="14" t="n"/>
      <c r="AI835" s="14" t="n"/>
      <c r="AJ835" s="14" t="n"/>
      <c r="AK835" s="14" t="n"/>
      <c r="AL835" s="14" t="n"/>
      <c r="AM835" s="14" t="n"/>
      <c r="AN835" s="14" t="n"/>
      <c r="AO835" s="14" t="n"/>
      <c r="AP835" s="14" t="n"/>
      <c r="AQ835" s="14" t="n"/>
      <c r="AR835" s="14" t="n"/>
      <c r="AS835" s="14" t="n"/>
      <c r="AT835" s="14" t="n"/>
      <c r="AU835" s="14" t="n"/>
      <c r="AV835" s="14" t="n"/>
      <c r="AW835" s="14" t="n"/>
      <c r="AX835" s="14" t="n"/>
      <c r="AY835" s="14" t="n"/>
      <c r="AZ835" s="14" t="n"/>
      <c r="BA835" s="14" t="n"/>
      <c r="BB835" s="14" t="n"/>
      <c r="BC835" s="14" t="n"/>
      <c r="BD835" s="14" t="n"/>
      <c r="BE835" s="14" t="n"/>
      <c r="BF835" s="14" t="n"/>
      <c r="BG835" s="14" t="n"/>
      <c r="BH835" s="14" t="n"/>
      <c r="BI835" s="14" t="n"/>
      <c r="BJ835" s="14" t="n"/>
      <c r="BK835" s="14" t="n"/>
      <c r="BL835" s="14" t="n"/>
      <c r="BM835" s="14" t="n"/>
      <c r="BN835" s="14" t="n"/>
      <c r="BO835" s="14" t="n"/>
      <c r="BP835" s="14" t="n"/>
      <c r="BQ835" s="14" t="n"/>
      <c r="BR835" s="14" t="n"/>
      <c r="BS835" s="14" t="n"/>
      <c r="BT835" s="14" t="n"/>
      <c r="BU835" s="14" t="n"/>
      <c r="BV835" s="14" t="n"/>
      <c r="BW835" s="14" t="n"/>
      <c r="BX835" s="14" t="n"/>
      <c r="BY835" s="14" t="n"/>
      <c r="BZ835" s="14" t="n"/>
      <c r="CA835" s="14" t="n"/>
      <c r="CB835" s="14" t="n"/>
      <c r="CC835" s="14" t="n"/>
      <c r="CD835" s="14" t="n"/>
      <c r="CE835" s="14" t="n"/>
      <c r="CF835" s="14" t="n"/>
      <c r="CG835" s="14" t="n"/>
      <c r="CH835" s="14" t="n"/>
      <c r="CI835" s="14" t="n"/>
      <c r="CJ835" s="14" t="n"/>
      <c r="CK835" s="14" t="n"/>
      <c r="CL835" s="14" t="n"/>
      <c r="CM835" s="14" t="n"/>
      <c r="CN835" s="14" t="n"/>
      <c r="CO835" s="14" t="n"/>
      <c r="CP835" s="14" t="n"/>
      <c r="CQ835" s="14" t="n"/>
      <c r="CR835" s="14" t="n"/>
      <c r="CS835" s="14" t="n"/>
      <c r="CT835" s="14" t="n"/>
      <c r="CU835" s="14" t="n"/>
      <c r="CV835" s="14" t="n"/>
      <c r="CW835" s="14" t="n"/>
      <c r="CX835" s="14" t="n"/>
      <c r="CY835" s="14" t="n"/>
      <c r="CZ835" s="14" t="n"/>
      <c r="DA835" s="14" t="n"/>
      <c r="DB835" s="14" t="n"/>
      <c r="DC835" s="14" t="n"/>
    </row>
    <row r="836">
      <c r="B836" t="inlineStr">
        <is>
          <t>TSP-618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Name],$A835)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TSP-903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Name],$A835)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TSP-966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Name],$A835)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s="4" t="inlineStr">
        <is>
          <t>合計使用量(kg)/週</t>
        </is>
      </c>
      <c r="D842">
        <f>'Grid_Requirement'!B8</f>
        <v/>
      </c>
      <c r="E842">
        <f>'Grid_Requirement'!C8</f>
        <v/>
      </c>
      <c r="F842">
        <f>'Grid_Requirement'!D8</f>
        <v/>
      </c>
      <c r="G842">
        <f>'Grid_Requirement'!E8</f>
        <v/>
      </c>
      <c r="H842">
        <f>'Grid_Requirement'!F8</f>
        <v/>
      </c>
      <c r="I842">
        <f>'Grid_Requirement'!G8</f>
        <v/>
      </c>
      <c r="J842">
        <f>'Grid_Requirement'!H8</f>
        <v/>
      </c>
      <c r="K842">
        <f>'Grid_Requirement'!I8</f>
        <v/>
      </c>
      <c r="L842">
        <f>'Grid_Requirement'!J8</f>
        <v/>
      </c>
      <c r="M842">
        <f>'Grid_Requirement'!K8</f>
        <v/>
      </c>
      <c r="N842">
        <f>'Grid_Requirement'!L8</f>
        <v/>
      </c>
      <c r="O842">
        <f>'Grid_Requirement'!M8</f>
        <v/>
      </c>
      <c r="P842">
        <f>'Grid_Requirement'!N8</f>
        <v/>
      </c>
      <c r="Q842">
        <f>'Grid_Requirement'!O8</f>
        <v/>
      </c>
      <c r="R842">
        <f>'Grid_Requirement'!P8</f>
        <v/>
      </c>
      <c r="S842">
        <f>'Grid_Requirement'!Q8</f>
        <v/>
      </c>
      <c r="T842">
        <f>'Grid_Requirement'!R8</f>
        <v/>
      </c>
      <c r="U842">
        <f>'Grid_Requirement'!S8</f>
        <v/>
      </c>
      <c r="V842">
        <f>'Grid_Requirement'!T8</f>
        <v/>
      </c>
      <c r="W842">
        <f>'Grid_Requirement'!U8</f>
        <v/>
      </c>
      <c r="X842">
        <f>'Grid_Requirement'!V8</f>
        <v/>
      </c>
      <c r="Y842">
        <f>'Grid_Requirement'!W8</f>
        <v/>
      </c>
      <c r="Z842">
        <f>'Grid_Requirement'!X8</f>
        <v/>
      </c>
      <c r="AA842">
        <f>'Grid_Requirement'!Y8</f>
        <v/>
      </c>
      <c r="AB842">
        <f>'Grid_Requirement'!Z8</f>
        <v/>
      </c>
      <c r="AC842">
        <f>'Grid_Requirement'!AA8</f>
        <v/>
      </c>
      <c r="AD842">
        <f>'Grid_Requirement'!AB8</f>
        <v/>
      </c>
      <c r="AE842">
        <f>'Grid_Requirement'!AC8</f>
        <v/>
      </c>
      <c r="AF842">
        <f>'Grid_Requirement'!AD8</f>
        <v/>
      </c>
      <c r="AG842">
        <f>'Grid_Requirement'!AE8</f>
        <v/>
      </c>
      <c r="AH842">
        <f>'Grid_Requirement'!AF8</f>
        <v/>
      </c>
      <c r="AI842">
        <f>'Grid_Requirement'!AG8</f>
        <v/>
      </c>
      <c r="AJ842">
        <f>'Grid_Requirement'!AH8</f>
        <v/>
      </c>
      <c r="AK842">
        <f>'Grid_Requirement'!AI8</f>
        <v/>
      </c>
      <c r="AL842">
        <f>'Grid_Requirement'!AJ8</f>
        <v/>
      </c>
      <c r="AM842">
        <f>'Grid_Requirement'!AK8</f>
        <v/>
      </c>
      <c r="AN842">
        <f>'Grid_Requirement'!AL8</f>
        <v/>
      </c>
      <c r="AO842">
        <f>'Grid_Requirement'!AM8</f>
        <v/>
      </c>
      <c r="AP842">
        <f>'Grid_Requirement'!AN8</f>
        <v/>
      </c>
      <c r="AQ842">
        <f>'Grid_Requirement'!AO8</f>
        <v/>
      </c>
      <c r="AR842">
        <f>'Grid_Requirement'!AP8</f>
        <v/>
      </c>
      <c r="AS842">
        <f>'Grid_Requirement'!AQ8</f>
        <v/>
      </c>
      <c r="AT842">
        <f>'Grid_Requirement'!AR8</f>
        <v/>
      </c>
      <c r="AU842">
        <f>'Grid_Requirement'!AS8</f>
        <v/>
      </c>
      <c r="AV842">
        <f>'Grid_Requirement'!AT8</f>
        <v/>
      </c>
      <c r="AW842">
        <f>'Grid_Requirement'!AU8</f>
        <v/>
      </c>
      <c r="AX842">
        <f>'Grid_Requirement'!AV8</f>
        <v/>
      </c>
      <c r="AY842">
        <f>'Grid_Requirement'!AW8</f>
        <v/>
      </c>
      <c r="AZ842">
        <f>'Grid_Requirement'!AX8</f>
        <v/>
      </c>
      <c r="BA842">
        <f>'Grid_Requirement'!AY8</f>
        <v/>
      </c>
      <c r="BB842">
        <f>'Grid_Requirement'!AZ8</f>
        <v/>
      </c>
      <c r="BC842">
        <f>'Grid_Requirement'!BA8</f>
        <v/>
      </c>
      <c r="BD842">
        <f>'Grid_Requirement'!BB8</f>
        <v/>
      </c>
      <c r="BE842">
        <f>'Grid_Requirement'!BC8</f>
        <v/>
      </c>
      <c r="BF842">
        <f>'Grid_Requirement'!BD8</f>
        <v/>
      </c>
      <c r="BG842">
        <f>'Grid_Requirement'!BE8</f>
        <v/>
      </c>
      <c r="BH842">
        <f>'Grid_Requirement'!BF8</f>
        <v/>
      </c>
      <c r="BI842">
        <f>'Grid_Requirement'!BG8</f>
        <v/>
      </c>
      <c r="BJ842">
        <f>'Grid_Requirement'!BH8</f>
        <v/>
      </c>
      <c r="BK842">
        <f>'Grid_Requirement'!BI8</f>
        <v/>
      </c>
      <c r="BL842">
        <f>'Grid_Requirement'!BJ8</f>
        <v/>
      </c>
      <c r="BM842">
        <f>'Grid_Requirement'!BK8</f>
        <v/>
      </c>
      <c r="BN842">
        <f>'Grid_Requirement'!BL8</f>
        <v/>
      </c>
      <c r="BO842">
        <f>'Grid_Requirement'!BM8</f>
        <v/>
      </c>
      <c r="BP842">
        <f>'Grid_Requirement'!BN8</f>
        <v/>
      </c>
      <c r="BQ842">
        <f>'Grid_Requirement'!BO8</f>
        <v/>
      </c>
      <c r="BR842">
        <f>'Grid_Requirement'!BP8</f>
        <v/>
      </c>
      <c r="BS842">
        <f>'Grid_Requirement'!BQ8</f>
        <v/>
      </c>
      <c r="BT842">
        <f>'Grid_Requirement'!BR8</f>
        <v/>
      </c>
      <c r="BU842">
        <f>'Grid_Requirement'!BS8</f>
        <v/>
      </c>
      <c r="BV842">
        <f>'Grid_Requirement'!BT8</f>
        <v/>
      </c>
      <c r="BW842">
        <f>'Grid_Requirement'!BU8</f>
        <v/>
      </c>
      <c r="BX842">
        <f>'Grid_Requirement'!BV8</f>
        <v/>
      </c>
      <c r="BY842">
        <f>'Grid_Requirement'!BW8</f>
        <v/>
      </c>
      <c r="BZ842">
        <f>'Grid_Requirement'!BX8</f>
        <v/>
      </c>
      <c r="CA842">
        <f>'Grid_Requirement'!BY8</f>
        <v/>
      </c>
      <c r="CB842">
        <f>'Grid_Requirement'!BZ8</f>
        <v/>
      </c>
      <c r="CC842">
        <f>'Grid_Requirement'!CA8</f>
        <v/>
      </c>
      <c r="CD842">
        <f>'Grid_Requirement'!CB8</f>
        <v/>
      </c>
      <c r="CE842">
        <f>'Grid_Requirement'!CC8</f>
        <v/>
      </c>
      <c r="CF842">
        <f>'Grid_Requirement'!CD8</f>
        <v/>
      </c>
      <c r="CG842">
        <f>'Grid_Requirement'!CE8</f>
        <v/>
      </c>
      <c r="CH842">
        <f>'Grid_Requirement'!CF8</f>
        <v/>
      </c>
      <c r="CI842">
        <f>'Grid_Requirement'!CG8</f>
        <v/>
      </c>
      <c r="CJ842">
        <f>'Grid_Requirement'!CH8</f>
        <v/>
      </c>
      <c r="CK842">
        <f>'Grid_Requirement'!CI8</f>
        <v/>
      </c>
      <c r="CL842">
        <f>'Grid_Requirement'!CJ8</f>
        <v/>
      </c>
      <c r="CM842">
        <f>'Grid_Requirement'!CK8</f>
        <v/>
      </c>
      <c r="CN842">
        <f>'Grid_Requirement'!CL8</f>
        <v/>
      </c>
      <c r="CO842">
        <f>'Grid_Requirement'!CM8</f>
        <v/>
      </c>
      <c r="CP842">
        <f>'Grid_Requirement'!CN8</f>
        <v/>
      </c>
      <c r="CQ842">
        <f>'Grid_Requirement'!CO8</f>
        <v/>
      </c>
      <c r="CR842">
        <f>'Grid_Requirement'!CP8</f>
        <v/>
      </c>
      <c r="CS842">
        <f>'Grid_Requirement'!CQ8</f>
        <v/>
      </c>
      <c r="CT842">
        <f>'Grid_Requirement'!CR8</f>
        <v/>
      </c>
      <c r="CU842">
        <f>'Grid_Requirement'!CS8</f>
        <v/>
      </c>
      <c r="CV842">
        <f>'Grid_Requirement'!CT8</f>
        <v/>
      </c>
      <c r="CW842">
        <f>'Grid_Requirement'!CU8</f>
        <v/>
      </c>
      <c r="CX842">
        <f>'Grid_Requirement'!CV8</f>
        <v/>
      </c>
      <c r="CY842">
        <f>'Grid_Requirement'!CW8</f>
        <v/>
      </c>
      <c r="CZ842">
        <f>'Grid_Requirement'!CX8</f>
        <v/>
      </c>
      <c r="DA842">
        <f>'Grid_Requirement'!CY8</f>
        <v/>
      </c>
      <c r="DB842">
        <f>'Grid_Requirement'!CZ8</f>
        <v/>
      </c>
      <c r="DC842">
        <f>'Grid_Requirement'!DA8</f>
        <v/>
      </c>
    </row>
    <row r="843">
      <c r="B843" t="inlineStr">
        <is>
          <t>TTAF在庫(実績,kg)</t>
        </is>
      </c>
      <c r="D843">
        <f>'T_TTAFStock'!B12</f>
        <v/>
      </c>
      <c r="E843">
        <f>'T_TTAFStock'!C12</f>
        <v/>
      </c>
      <c r="F843">
        <f>'T_TTAFStock'!D12</f>
        <v/>
      </c>
      <c r="G843">
        <f>'T_TTAFStock'!E12</f>
        <v/>
      </c>
      <c r="H843">
        <f>'T_TTAFStock'!F12</f>
        <v/>
      </c>
      <c r="I843">
        <f>'T_TTAFStock'!G12</f>
        <v/>
      </c>
      <c r="J843">
        <f>'T_TTAFStock'!H12</f>
        <v/>
      </c>
      <c r="K843">
        <f>'T_TTAFStock'!I12</f>
        <v/>
      </c>
      <c r="L843">
        <f>'T_TTAFStock'!J12</f>
        <v/>
      </c>
      <c r="M843">
        <f>'T_TTAFStock'!K12</f>
        <v/>
      </c>
      <c r="N843">
        <f>'T_TTAFStock'!L12</f>
        <v/>
      </c>
      <c r="O843">
        <f>'T_TTAFStock'!M12</f>
        <v/>
      </c>
      <c r="P843">
        <f>'T_TTAFStock'!N12</f>
        <v/>
      </c>
      <c r="Q843">
        <f>'T_TTAFStock'!O12</f>
        <v/>
      </c>
      <c r="R843">
        <f>'T_TTAFStock'!P12</f>
        <v/>
      </c>
      <c r="S843">
        <f>'T_TTAFStock'!Q12</f>
        <v/>
      </c>
      <c r="T843">
        <f>'T_TTAFStock'!R12</f>
        <v/>
      </c>
      <c r="U843">
        <f>'T_TTAFStock'!S12</f>
        <v/>
      </c>
      <c r="V843">
        <f>'T_TTAFStock'!T12</f>
        <v/>
      </c>
      <c r="W843">
        <f>'T_TTAFStock'!U12</f>
        <v/>
      </c>
      <c r="X843">
        <f>'T_TTAFStock'!V12</f>
        <v/>
      </c>
      <c r="Y843">
        <f>'T_TTAFStock'!W12</f>
        <v/>
      </c>
      <c r="Z843">
        <f>'T_TTAFStock'!X12</f>
        <v/>
      </c>
      <c r="AA843">
        <f>'T_TTAFStock'!Y12</f>
        <v/>
      </c>
      <c r="AB843">
        <f>'T_TTAFStock'!Z12</f>
        <v/>
      </c>
      <c r="AC843">
        <f>'T_TTAFStock'!AA12</f>
        <v/>
      </c>
      <c r="AD843">
        <f>'T_TTAFStock'!AB12</f>
        <v/>
      </c>
      <c r="AE843">
        <f>'T_TTAFStock'!AC12</f>
        <v/>
      </c>
      <c r="AF843">
        <f>'T_TTAFStock'!AD12</f>
        <v/>
      </c>
      <c r="AG843">
        <f>'T_TTAFStock'!AE12</f>
        <v/>
      </c>
      <c r="AH843">
        <f>'T_TTAFStock'!AF12</f>
        <v/>
      </c>
      <c r="AI843">
        <f>'T_TTAFStock'!AG12</f>
        <v/>
      </c>
      <c r="AJ843">
        <f>'T_TTAFStock'!AH12</f>
        <v/>
      </c>
      <c r="AK843">
        <f>'T_TTAFStock'!AI12</f>
        <v/>
      </c>
      <c r="AL843">
        <f>'T_TTAFStock'!AJ12</f>
        <v/>
      </c>
      <c r="AM843">
        <f>'T_TTAFStock'!AK12</f>
        <v/>
      </c>
      <c r="AN843">
        <f>'T_TTAFStock'!AL12</f>
        <v/>
      </c>
      <c r="AO843">
        <f>'T_TTAFStock'!AM12</f>
        <v/>
      </c>
      <c r="AP843">
        <f>'T_TTAFStock'!AN12</f>
        <v/>
      </c>
      <c r="AQ843">
        <f>'T_TTAFStock'!AO12</f>
        <v/>
      </c>
      <c r="AR843">
        <f>'T_TTAFStock'!AP12</f>
        <v/>
      </c>
      <c r="AS843">
        <f>'T_TTAFStock'!AQ12</f>
        <v/>
      </c>
      <c r="AT843">
        <f>'T_TTAFStock'!AR12</f>
        <v/>
      </c>
      <c r="AU843">
        <f>'T_TTAFStock'!AS12</f>
        <v/>
      </c>
      <c r="AV843">
        <f>'T_TTAFStock'!AT12</f>
        <v/>
      </c>
      <c r="AW843">
        <f>'T_TTAFStock'!AU12</f>
        <v/>
      </c>
      <c r="AX843">
        <f>'T_TTAFStock'!AV12</f>
        <v/>
      </c>
      <c r="AY843">
        <f>'T_TTAFStock'!AW12</f>
        <v/>
      </c>
      <c r="AZ843">
        <f>'T_TTAFStock'!AX12</f>
        <v/>
      </c>
      <c r="BA843">
        <f>'T_TTAFStock'!AY12</f>
        <v/>
      </c>
      <c r="BB843">
        <f>'T_TTAFStock'!AZ12</f>
        <v/>
      </c>
      <c r="BC843">
        <f>'T_TTAFStock'!BA12</f>
        <v/>
      </c>
      <c r="BD843">
        <f>'T_TTAFStock'!BB12</f>
        <v/>
      </c>
      <c r="BE843">
        <f>'T_TTAFStock'!BC12</f>
        <v/>
      </c>
      <c r="BF843">
        <f>'T_TTAFStock'!BD12</f>
        <v/>
      </c>
      <c r="BG843">
        <f>'T_TTAFStock'!BE12</f>
        <v/>
      </c>
      <c r="BH843">
        <f>'T_TTAFStock'!BF12</f>
        <v/>
      </c>
      <c r="BI843">
        <f>'T_TTAFStock'!BG12</f>
        <v/>
      </c>
      <c r="BJ843">
        <f>'T_TTAFStock'!BH12</f>
        <v/>
      </c>
      <c r="BK843">
        <f>'T_TTAFStock'!BI12</f>
        <v/>
      </c>
      <c r="BL843">
        <f>'T_TTAFStock'!BJ12</f>
        <v/>
      </c>
      <c r="BM843">
        <f>'T_TTAFStock'!BK12</f>
        <v/>
      </c>
      <c r="BN843">
        <f>'T_TTAFStock'!BL12</f>
        <v/>
      </c>
      <c r="BO843">
        <f>'T_TTAFStock'!BM12</f>
        <v/>
      </c>
      <c r="BP843">
        <f>'T_TTAFStock'!BN12</f>
        <v/>
      </c>
      <c r="BQ843">
        <f>'T_TTAFStock'!BO12</f>
        <v/>
      </c>
      <c r="BR843">
        <f>'T_TTAFStock'!BP12</f>
        <v/>
      </c>
      <c r="BS843">
        <f>'T_TTAFStock'!BQ12</f>
        <v/>
      </c>
      <c r="BT843">
        <f>'T_TTAFStock'!BR12</f>
        <v/>
      </c>
      <c r="BU843">
        <f>'T_TTAFStock'!BS12</f>
        <v/>
      </c>
      <c r="BV843">
        <f>'T_TTAFStock'!BT12</f>
        <v/>
      </c>
      <c r="BW843">
        <f>'T_TTAFStock'!BU12</f>
        <v/>
      </c>
      <c r="BX843">
        <f>'T_TTAFStock'!BV12</f>
        <v/>
      </c>
      <c r="BY843">
        <f>'T_TTAFStock'!BW12</f>
        <v/>
      </c>
      <c r="BZ843">
        <f>'T_TTAFStock'!BX12</f>
        <v/>
      </c>
      <c r="CA843">
        <f>'T_TTAFStock'!BY12</f>
        <v/>
      </c>
      <c r="CB843">
        <f>'T_TTAFStock'!BZ12</f>
        <v/>
      </c>
      <c r="CC843">
        <f>'T_TTAFStock'!CA12</f>
        <v/>
      </c>
      <c r="CD843">
        <f>'T_TTAFStock'!CB12</f>
        <v/>
      </c>
      <c r="CE843">
        <f>'T_TTAFStock'!CC12</f>
        <v/>
      </c>
      <c r="CF843">
        <f>'T_TTAFStock'!CD12</f>
        <v/>
      </c>
      <c r="CG843">
        <f>'T_TTAFStock'!CE12</f>
        <v/>
      </c>
      <c r="CH843">
        <f>'T_TTAFStock'!CF12</f>
        <v/>
      </c>
      <c r="CI843">
        <f>'T_TTAFStock'!CG12</f>
        <v/>
      </c>
      <c r="CJ843">
        <f>'T_TTAFStock'!CH12</f>
        <v/>
      </c>
      <c r="CK843">
        <f>'T_TTAFStock'!CI12</f>
        <v/>
      </c>
      <c r="CL843">
        <f>'T_TTAFStock'!CJ12</f>
        <v/>
      </c>
      <c r="CM843">
        <f>'T_TTAFStock'!CK12</f>
        <v/>
      </c>
      <c r="CN843">
        <f>'T_TTAFStock'!CL12</f>
        <v/>
      </c>
      <c r="CO843">
        <f>'T_TTAFStock'!CM12</f>
        <v/>
      </c>
      <c r="CP843">
        <f>'T_TTAFStock'!CN12</f>
        <v/>
      </c>
      <c r="CQ843">
        <f>'T_TTAFStock'!CO12</f>
        <v/>
      </c>
      <c r="CR843">
        <f>'T_TTAFStock'!CP12</f>
        <v/>
      </c>
      <c r="CS843">
        <f>'T_TTAFStock'!CQ12</f>
        <v/>
      </c>
      <c r="CT843">
        <f>'T_TTAFStock'!CR12</f>
        <v/>
      </c>
      <c r="CU843">
        <f>'T_TTAFStock'!CS12</f>
        <v/>
      </c>
      <c r="CV843">
        <f>'T_TTAFStock'!CT12</f>
        <v/>
      </c>
      <c r="CW843">
        <f>'T_TTAFStock'!CU12</f>
        <v/>
      </c>
      <c r="CX843">
        <f>'T_TTAFStock'!CV12</f>
        <v/>
      </c>
      <c r="CY843">
        <f>'T_TTAFStock'!CW12</f>
        <v/>
      </c>
      <c r="CZ843">
        <f>'T_TTAFStock'!CX12</f>
        <v/>
      </c>
      <c r="DA843">
        <f>'T_TTAFStock'!CY12</f>
        <v/>
      </c>
      <c r="DB843">
        <f>'T_TTAFStock'!CZ12</f>
        <v/>
      </c>
      <c r="DC843">
        <f>'T_TTAFStock'!DA12</f>
        <v/>
      </c>
    </row>
    <row r="844">
      <c r="B844" t="inlineStr">
        <is>
          <t>自社在庫(実績,kg)</t>
        </is>
      </c>
      <c r="D844">
        <f>'T_SelfStock'!B12</f>
        <v/>
      </c>
      <c r="E844">
        <f>'T_SelfStock'!C12</f>
        <v/>
      </c>
      <c r="F844">
        <f>'T_SelfStock'!D12</f>
        <v/>
      </c>
      <c r="G844">
        <f>'T_SelfStock'!E12</f>
        <v/>
      </c>
      <c r="H844">
        <f>'T_SelfStock'!F12</f>
        <v/>
      </c>
      <c r="I844">
        <f>'T_SelfStock'!G12</f>
        <v/>
      </c>
      <c r="J844">
        <f>'T_SelfStock'!H12</f>
        <v/>
      </c>
      <c r="K844">
        <f>'T_SelfStock'!I12</f>
        <v/>
      </c>
      <c r="L844">
        <f>'T_SelfStock'!J12</f>
        <v/>
      </c>
      <c r="M844">
        <f>'T_SelfStock'!K12</f>
        <v/>
      </c>
      <c r="N844">
        <f>'T_SelfStock'!L12</f>
        <v/>
      </c>
      <c r="O844">
        <f>'T_SelfStock'!M12</f>
        <v/>
      </c>
      <c r="P844">
        <f>'T_SelfStock'!N12</f>
        <v/>
      </c>
      <c r="Q844">
        <f>'T_SelfStock'!O12</f>
        <v/>
      </c>
      <c r="R844">
        <f>'T_SelfStock'!P12</f>
        <v/>
      </c>
      <c r="S844">
        <f>'T_SelfStock'!Q12</f>
        <v/>
      </c>
      <c r="T844">
        <f>'T_SelfStock'!R12</f>
        <v/>
      </c>
      <c r="U844">
        <f>'T_SelfStock'!S12</f>
        <v/>
      </c>
      <c r="V844">
        <f>'T_SelfStock'!T12</f>
        <v/>
      </c>
      <c r="W844">
        <f>'T_SelfStock'!U12</f>
        <v/>
      </c>
      <c r="X844">
        <f>'T_SelfStock'!V12</f>
        <v/>
      </c>
      <c r="Y844">
        <f>'T_SelfStock'!W12</f>
        <v/>
      </c>
      <c r="Z844">
        <f>'T_SelfStock'!X12</f>
        <v/>
      </c>
      <c r="AA844">
        <f>'T_SelfStock'!Y12</f>
        <v/>
      </c>
      <c r="AB844">
        <f>'T_SelfStock'!Z12</f>
        <v/>
      </c>
      <c r="AC844">
        <f>'T_SelfStock'!AA12</f>
        <v/>
      </c>
      <c r="AD844">
        <f>'T_SelfStock'!AB12</f>
        <v/>
      </c>
      <c r="AE844">
        <f>'T_SelfStock'!AC12</f>
        <v/>
      </c>
      <c r="AF844">
        <f>'T_SelfStock'!AD12</f>
        <v/>
      </c>
      <c r="AG844">
        <f>'T_SelfStock'!AE12</f>
        <v/>
      </c>
      <c r="AH844">
        <f>'T_SelfStock'!AF12</f>
        <v/>
      </c>
      <c r="AI844">
        <f>'T_SelfStock'!AG12</f>
        <v/>
      </c>
      <c r="AJ844">
        <f>'T_SelfStock'!AH12</f>
        <v/>
      </c>
      <c r="AK844">
        <f>'T_SelfStock'!AI12</f>
        <v/>
      </c>
      <c r="AL844">
        <f>'T_SelfStock'!AJ12</f>
        <v/>
      </c>
      <c r="AM844">
        <f>'T_SelfStock'!AK12</f>
        <v/>
      </c>
      <c r="AN844">
        <f>'T_SelfStock'!AL12</f>
        <v/>
      </c>
      <c r="AO844">
        <f>'T_SelfStock'!AM12</f>
        <v/>
      </c>
      <c r="AP844">
        <f>'T_SelfStock'!AN12</f>
        <v/>
      </c>
      <c r="AQ844">
        <f>'T_SelfStock'!AO12</f>
        <v/>
      </c>
      <c r="AR844">
        <f>'T_SelfStock'!AP12</f>
        <v/>
      </c>
      <c r="AS844">
        <f>'T_SelfStock'!AQ12</f>
        <v/>
      </c>
      <c r="AT844">
        <f>'T_SelfStock'!AR12</f>
        <v/>
      </c>
      <c r="AU844">
        <f>'T_SelfStock'!AS12</f>
        <v/>
      </c>
      <c r="AV844">
        <f>'T_SelfStock'!AT12</f>
        <v/>
      </c>
      <c r="AW844">
        <f>'T_SelfStock'!AU12</f>
        <v/>
      </c>
      <c r="AX844">
        <f>'T_SelfStock'!AV12</f>
        <v/>
      </c>
      <c r="AY844">
        <f>'T_SelfStock'!AW12</f>
        <v/>
      </c>
      <c r="AZ844">
        <f>'T_SelfStock'!AX12</f>
        <v/>
      </c>
      <c r="BA844">
        <f>'T_SelfStock'!AY12</f>
        <v/>
      </c>
      <c r="BB844">
        <f>'T_SelfStock'!AZ12</f>
        <v/>
      </c>
      <c r="BC844">
        <f>'T_SelfStock'!BA12</f>
        <v/>
      </c>
      <c r="BD844">
        <f>'T_SelfStock'!BB12</f>
        <v/>
      </c>
      <c r="BE844">
        <f>'T_SelfStock'!BC12</f>
        <v/>
      </c>
      <c r="BF844">
        <f>'T_SelfStock'!BD12</f>
        <v/>
      </c>
      <c r="BG844">
        <f>'T_SelfStock'!BE12</f>
        <v/>
      </c>
      <c r="BH844">
        <f>'T_SelfStock'!BF12</f>
        <v/>
      </c>
      <c r="BI844">
        <f>'T_SelfStock'!BG12</f>
        <v/>
      </c>
      <c r="BJ844">
        <f>'T_SelfStock'!BH12</f>
        <v/>
      </c>
      <c r="BK844">
        <f>'T_SelfStock'!BI12</f>
        <v/>
      </c>
      <c r="BL844">
        <f>'T_SelfStock'!BJ12</f>
        <v/>
      </c>
      <c r="BM844">
        <f>'T_SelfStock'!BK12</f>
        <v/>
      </c>
      <c r="BN844">
        <f>'T_SelfStock'!BL12</f>
        <v/>
      </c>
      <c r="BO844">
        <f>'T_SelfStock'!BM12</f>
        <v/>
      </c>
      <c r="BP844">
        <f>'T_SelfStock'!BN12</f>
        <v/>
      </c>
      <c r="BQ844">
        <f>'T_SelfStock'!BO12</f>
        <v/>
      </c>
      <c r="BR844">
        <f>'T_SelfStock'!BP12</f>
        <v/>
      </c>
      <c r="BS844">
        <f>'T_SelfStock'!BQ12</f>
        <v/>
      </c>
      <c r="BT844">
        <f>'T_SelfStock'!BR12</f>
        <v/>
      </c>
      <c r="BU844">
        <f>'T_SelfStock'!BS12</f>
        <v/>
      </c>
      <c r="BV844">
        <f>'T_SelfStock'!BT12</f>
        <v/>
      </c>
      <c r="BW844">
        <f>'T_SelfStock'!BU12</f>
        <v/>
      </c>
      <c r="BX844">
        <f>'T_SelfStock'!BV12</f>
        <v/>
      </c>
      <c r="BY844">
        <f>'T_SelfStock'!BW12</f>
        <v/>
      </c>
      <c r="BZ844">
        <f>'T_SelfStock'!BX12</f>
        <v/>
      </c>
      <c r="CA844">
        <f>'T_SelfStock'!BY12</f>
        <v/>
      </c>
      <c r="CB844">
        <f>'T_SelfStock'!BZ12</f>
        <v/>
      </c>
      <c r="CC844">
        <f>'T_SelfStock'!CA12</f>
        <v/>
      </c>
      <c r="CD844">
        <f>'T_SelfStock'!CB12</f>
        <v/>
      </c>
      <c r="CE844">
        <f>'T_SelfStock'!CC12</f>
        <v/>
      </c>
      <c r="CF844">
        <f>'T_SelfStock'!CD12</f>
        <v/>
      </c>
      <c r="CG844">
        <f>'T_SelfStock'!CE12</f>
        <v/>
      </c>
      <c r="CH844">
        <f>'T_SelfStock'!CF12</f>
        <v/>
      </c>
      <c r="CI844">
        <f>'T_SelfStock'!CG12</f>
        <v/>
      </c>
      <c r="CJ844">
        <f>'T_SelfStock'!CH12</f>
        <v/>
      </c>
      <c r="CK844">
        <f>'T_SelfStock'!CI12</f>
        <v/>
      </c>
      <c r="CL844">
        <f>'T_SelfStock'!CJ12</f>
        <v/>
      </c>
      <c r="CM844">
        <f>'T_SelfStock'!CK12</f>
        <v/>
      </c>
      <c r="CN844">
        <f>'T_SelfStock'!CL12</f>
        <v/>
      </c>
      <c r="CO844">
        <f>'T_SelfStock'!CM12</f>
        <v/>
      </c>
      <c r="CP844">
        <f>'T_SelfStock'!CN12</f>
        <v/>
      </c>
      <c r="CQ844">
        <f>'T_SelfStock'!CO12</f>
        <v/>
      </c>
      <c r="CR844">
        <f>'T_SelfStock'!CP12</f>
        <v/>
      </c>
      <c r="CS844">
        <f>'T_SelfStock'!CQ12</f>
        <v/>
      </c>
      <c r="CT844">
        <f>'T_SelfStock'!CR12</f>
        <v/>
      </c>
      <c r="CU844">
        <f>'T_SelfStock'!CS12</f>
        <v/>
      </c>
      <c r="CV844">
        <f>'T_SelfStock'!CT12</f>
        <v/>
      </c>
      <c r="CW844">
        <f>'T_SelfStock'!CU12</f>
        <v/>
      </c>
      <c r="CX844">
        <f>'T_SelfStock'!CV12</f>
        <v/>
      </c>
      <c r="CY844">
        <f>'T_SelfStock'!CW12</f>
        <v/>
      </c>
      <c r="CZ844">
        <f>'T_SelfStock'!CX12</f>
        <v/>
      </c>
      <c r="DA844">
        <f>'T_SelfStock'!CY12</f>
        <v/>
      </c>
      <c r="DB844">
        <f>'T_SelfStock'!CZ12</f>
        <v/>
      </c>
      <c r="DC844">
        <f>'T_SelfStock'!DA12</f>
        <v/>
      </c>
    </row>
    <row r="845">
      <c r="B845" t="inlineStr">
        <is>
          <t>Order(発注予定,kg)</t>
        </is>
      </c>
      <c r="D845">
        <f>IF(SUMIFS(T_PlannedOrders[EffectiveQty],T_PlannedOrders[Part Name],$A835,T_PlannedOrders[WeekIndex],1)=0,"",SUMIFS(T_PlannedOrders[EffectiveQty],T_PlannedOrders[Part Name],$A835,T_PlannedOrders[WeekIndex],1)&amp;" ("&amp;TEXT(SUMPRODUCT(MAX((T_PlannedOrders[Part Name]=$A835)*(T_PlannedOrders[WeekIndex]=1)*(T_PlannedOrders[EffectiveQty]&gt;0)*T_PlannedOrders[Order_Month])),"m月")&amp;"発注)")</f>
        <v/>
      </c>
      <c r="E845">
        <f>IF(SUMIFS(T_PlannedOrders[EffectiveQty],T_PlannedOrders[Part Name],$A835,T_PlannedOrders[WeekIndex],2)=0,"",SUMIFS(T_PlannedOrders[EffectiveQty],T_PlannedOrders[Part Name],$A835,T_PlannedOrders[WeekIndex],2)&amp;" ("&amp;TEXT(SUMPRODUCT(MAX((T_PlannedOrders[Part Name]=$A835)*(T_PlannedOrders[WeekIndex]=2)*(T_PlannedOrders[EffectiveQty]&gt;0)*T_PlannedOrders[Order_Month])),"m月")&amp;"発注)")</f>
        <v/>
      </c>
      <c r="F845">
        <f>IF(SUMIFS(T_PlannedOrders[EffectiveQty],T_PlannedOrders[Part Name],$A835,T_PlannedOrders[WeekIndex],3)=0,"",SUMIFS(T_PlannedOrders[EffectiveQty],T_PlannedOrders[Part Name],$A835,T_PlannedOrders[WeekIndex],3)&amp;" ("&amp;TEXT(SUMPRODUCT(MAX((T_PlannedOrders[Part Name]=$A835)*(T_PlannedOrders[WeekIndex]=3)*(T_PlannedOrders[EffectiveQty]&gt;0)*T_PlannedOrders[Order_Month])),"m月")&amp;"発注)")</f>
        <v/>
      </c>
      <c r="G845">
        <f>IF(SUMIFS(T_PlannedOrders[EffectiveQty],T_PlannedOrders[Part Name],$A835,T_PlannedOrders[WeekIndex],4)=0,"",SUMIFS(T_PlannedOrders[EffectiveQty],T_PlannedOrders[Part Name],$A835,T_PlannedOrders[WeekIndex],4)&amp;" ("&amp;TEXT(SUMPRODUCT(MAX((T_PlannedOrders[Part Name]=$A835)*(T_PlannedOrders[WeekIndex]=4)*(T_PlannedOrders[EffectiveQty]&gt;0)*T_PlannedOrders[Order_Month])),"m月")&amp;"発注)")</f>
        <v/>
      </c>
      <c r="H845">
        <f>IF(SUMIFS(T_PlannedOrders[EffectiveQty],T_PlannedOrders[Part Name],$A835,T_PlannedOrders[WeekIndex],5)=0,"",SUMIFS(T_PlannedOrders[EffectiveQty],T_PlannedOrders[Part Name],$A835,T_PlannedOrders[WeekIndex],5)&amp;" ("&amp;TEXT(SUMPRODUCT(MAX((T_PlannedOrders[Part Name]=$A835)*(T_PlannedOrders[WeekIndex]=5)*(T_PlannedOrders[EffectiveQty]&gt;0)*T_PlannedOrders[Order_Month])),"m月")&amp;"発注)")</f>
        <v/>
      </c>
      <c r="I845">
        <f>IF(SUMIFS(T_PlannedOrders[EffectiveQty],T_PlannedOrders[Part Name],$A835,T_PlannedOrders[WeekIndex],6)=0,"",SUMIFS(T_PlannedOrders[EffectiveQty],T_PlannedOrders[Part Name],$A835,T_PlannedOrders[WeekIndex],6)&amp;" ("&amp;TEXT(SUMPRODUCT(MAX((T_PlannedOrders[Part Name]=$A835)*(T_PlannedOrders[WeekIndex]=6)*(T_PlannedOrders[EffectiveQty]&gt;0)*T_PlannedOrders[Order_Month])),"m月")&amp;"発注)")</f>
        <v/>
      </c>
      <c r="J845">
        <f>IF(SUMIFS(T_PlannedOrders[EffectiveQty],T_PlannedOrders[Part Name],$A835,T_PlannedOrders[WeekIndex],7)=0,"",SUMIFS(T_PlannedOrders[EffectiveQty],T_PlannedOrders[Part Name],$A835,T_PlannedOrders[WeekIndex],7)&amp;" ("&amp;TEXT(SUMPRODUCT(MAX((T_PlannedOrders[Part Name]=$A835)*(T_PlannedOrders[WeekIndex]=7)*(T_PlannedOrders[EffectiveQty]&gt;0)*T_PlannedOrders[Order_Month])),"m月")&amp;"発注)")</f>
        <v/>
      </c>
      <c r="K845">
        <f>IF(SUMIFS(T_PlannedOrders[EffectiveQty],T_PlannedOrders[Part Name],$A835,T_PlannedOrders[WeekIndex],8)=0,"",SUMIFS(T_PlannedOrders[EffectiveQty],T_PlannedOrders[Part Name],$A835,T_PlannedOrders[WeekIndex],8)&amp;" ("&amp;TEXT(SUMPRODUCT(MAX((T_PlannedOrders[Part Name]=$A835)*(T_PlannedOrders[WeekIndex]=8)*(T_PlannedOrders[EffectiveQty]&gt;0)*T_PlannedOrders[Order_Month])),"m月")&amp;"発注)")</f>
        <v/>
      </c>
      <c r="L845">
        <f>IF(SUMIFS(T_PlannedOrders[EffectiveQty],T_PlannedOrders[Part Name],$A835,T_PlannedOrders[WeekIndex],9)=0,"",SUMIFS(T_PlannedOrders[EffectiveQty],T_PlannedOrders[Part Name],$A835,T_PlannedOrders[WeekIndex],9)&amp;" ("&amp;TEXT(SUMPRODUCT(MAX((T_PlannedOrders[Part Name]=$A835)*(T_PlannedOrders[WeekIndex]=9)*(T_PlannedOrders[EffectiveQty]&gt;0)*T_PlannedOrders[Order_Month])),"m月")&amp;"発注)")</f>
        <v/>
      </c>
      <c r="M845">
        <f>IF(SUMIFS(T_PlannedOrders[EffectiveQty],T_PlannedOrders[Part Name],$A835,T_PlannedOrders[WeekIndex],10)=0,"",SUMIFS(T_PlannedOrders[EffectiveQty],T_PlannedOrders[Part Name],$A835,T_PlannedOrders[WeekIndex],10)&amp;" ("&amp;TEXT(SUMPRODUCT(MAX((T_PlannedOrders[Part Name]=$A835)*(T_PlannedOrders[WeekIndex]=10)*(T_PlannedOrders[EffectiveQty]&gt;0)*T_PlannedOrders[Order_Month])),"m月")&amp;"発注)")</f>
        <v/>
      </c>
      <c r="N845">
        <f>IF(SUMIFS(T_PlannedOrders[EffectiveQty],T_PlannedOrders[Part Name],$A835,T_PlannedOrders[WeekIndex],11)=0,"",SUMIFS(T_PlannedOrders[EffectiveQty],T_PlannedOrders[Part Name],$A835,T_PlannedOrders[WeekIndex],11)&amp;" ("&amp;TEXT(SUMPRODUCT(MAX((T_PlannedOrders[Part Name]=$A835)*(T_PlannedOrders[WeekIndex]=11)*(T_PlannedOrders[EffectiveQty]&gt;0)*T_PlannedOrders[Order_Month])),"m月")&amp;"発注)")</f>
        <v/>
      </c>
      <c r="O845">
        <f>IF(SUMIFS(T_PlannedOrders[EffectiveQty],T_PlannedOrders[Part Name],$A835,T_PlannedOrders[WeekIndex],12)=0,"",SUMIFS(T_PlannedOrders[EffectiveQty],T_PlannedOrders[Part Name],$A835,T_PlannedOrders[WeekIndex],12)&amp;" ("&amp;TEXT(SUMPRODUCT(MAX((T_PlannedOrders[Part Name]=$A835)*(T_PlannedOrders[WeekIndex]=12)*(T_PlannedOrders[EffectiveQty]&gt;0)*T_PlannedOrders[Order_Month])),"m月")&amp;"発注)")</f>
        <v/>
      </c>
      <c r="P845">
        <f>IF(SUMIFS(T_PlannedOrders[EffectiveQty],T_PlannedOrders[Part Name],$A835,T_PlannedOrders[WeekIndex],13)=0,"",SUMIFS(T_PlannedOrders[EffectiveQty],T_PlannedOrders[Part Name],$A835,T_PlannedOrders[WeekIndex],13)&amp;" ("&amp;TEXT(SUMPRODUCT(MAX((T_PlannedOrders[Part Name]=$A835)*(T_PlannedOrders[WeekIndex]=13)*(T_PlannedOrders[EffectiveQty]&gt;0)*T_PlannedOrders[Order_Month])),"m月")&amp;"発注)")</f>
        <v/>
      </c>
      <c r="Q845">
        <f>IF(SUMIFS(T_PlannedOrders[EffectiveQty],T_PlannedOrders[Part Name],$A835,T_PlannedOrders[WeekIndex],14)=0,"",SUMIFS(T_PlannedOrders[EffectiveQty],T_PlannedOrders[Part Name],$A835,T_PlannedOrders[WeekIndex],14)&amp;" ("&amp;TEXT(SUMPRODUCT(MAX((T_PlannedOrders[Part Name]=$A835)*(T_PlannedOrders[WeekIndex]=14)*(T_PlannedOrders[EffectiveQty]&gt;0)*T_PlannedOrders[Order_Month])),"m月")&amp;"発注)")</f>
        <v/>
      </c>
      <c r="R845">
        <f>IF(SUMIFS(T_PlannedOrders[EffectiveQty],T_PlannedOrders[Part Name],$A835,T_PlannedOrders[WeekIndex],15)=0,"",SUMIFS(T_PlannedOrders[EffectiveQty],T_PlannedOrders[Part Name],$A835,T_PlannedOrders[WeekIndex],15)&amp;" ("&amp;TEXT(SUMPRODUCT(MAX((T_PlannedOrders[Part Name]=$A835)*(T_PlannedOrders[WeekIndex]=15)*(T_PlannedOrders[EffectiveQty]&gt;0)*T_PlannedOrders[Order_Month])),"m月")&amp;"発注)")</f>
        <v/>
      </c>
      <c r="S845">
        <f>IF(SUMIFS(T_PlannedOrders[EffectiveQty],T_PlannedOrders[Part Name],$A835,T_PlannedOrders[WeekIndex],16)=0,"",SUMIFS(T_PlannedOrders[EffectiveQty],T_PlannedOrders[Part Name],$A835,T_PlannedOrders[WeekIndex],16)&amp;" ("&amp;TEXT(SUMPRODUCT(MAX((T_PlannedOrders[Part Name]=$A835)*(T_PlannedOrders[WeekIndex]=16)*(T_PlannedOrders[EffectiveQty]&gt;0)*T_PlannedOrders[Order_Month])),"m月")&amp;"発注)")</f>
        <v/>
      </c>
      <c r="T845">
        <f>IF(SUMIFS(T_PlannedOrders[EffectiveQty],T_PlannedOrders[Part Name],$A835,T_PlannedOrders[WeekIndex],17)=0,"",SUMIFS(T_PlannedOrders[EffectiveQty],T_PlannedOrders[Part Name],$A835,T_PlannedOrders[WeekIndex],17)&amp;" ("&amp;TEXT(SUMPRODUCT(MAX((T_PlannedOrders[Part Name]=$A835)*(T_PlannedOrders[WeekIndex]=17)*(T_PlannedOrders[EffectiveQty]&gt;0)*T_PlannedOrders[Order_Month])),"m月")&amp;"発注)")</f>
        <v/>
      </c>
      <c r="U845">
        <f>IF(SUMIFS(T_PlannedOrders[EffectiveQty],T_PlannedOrders[Part Name],$A835,T_PlannedOrders[WeekIndex],18)=0,"",SUMIFS(T_PlannedOrders[EffectiveQty],T_PlannedOrders[Part Name],$A835,T_PlannedOrders[WeekIndex],18)&amp;" ("&amp;TEXT(SUMPRODUCT(MAX((T_PlannedOrders[Part Name]=$A835)*(T_PlannedOrders[WeekIndex]=18)*(T_PlannedOrders[EffectiveQty]&gt;0)*T_PlannedOrders[Order_Month])),"m月")&amp;"発注)")</f>
        <v/>
      </c>
      <c r="V845">
        <f>IF(SUMIFS(T_PlannedOrders[EffectiveQty],T_PlannedOrders[Part Name],$A835,T_PlannedOrders[WeekIndex],19)=0,"",SUMIFS(T_PlannedOrders[EffectiveQty],T_PlannedOrders[Part Name],$A835,T_PlannedOrders[WeekIndex],19)&amp;" ("&amp;TEXT(SUMPRODUCT(MAX((T_PlannedOrders[Part Name]=$A835)*(T_PlannedOrders[WeekIndex]=19)*(T_PlannedOrders[EffectiveQty]&gt;0)*T_PlannedOrders[Order_Month])),"m月")&amp;"発注)")</f>
        <v/>
      </c>
      <c r="W845">
        <f>IF(SUMIFS(T_PlannedOrders[EffectiveQty],T_PlannedOrders[Part Name],$A835,T_PlannedOrders[WeekIndex],20)=0,"",SUMIFS(T_PlannedOrders[EffectiveQty],T_PlannedOrders[Part Name],$A835,T_PlannedOrders[WeekIndex],20)&amp;" ("&amp;TEXT(SUMPRODUCT(MAX((T_PlannedOrders[Part Name]=$A835)*(T_PlannedOrders[WeekIndex]=20)*(T_PlannedOrders[EffectiveQty]&gt;0)*T_PlannedOrders[Order_Month])),"m月")&amp;"発注)")</f>
        <v/>
      </c>
      <c r="X845">
        <f>IF(SUMIFS(T_PlannedOrders[EffectiveQty],T_PlannedOrders[Part Name],$A835,T_PlannedOrders[WeekIndex],21)=0,"",SUMIFS(T_PlannedOrders[EffectiveQty],T_PlannedOrders[Part Name],$A835,T_PlannedOrders[WeekIndex],21)&amp;" ("&amp;TEXT(SUMPRODUCT(MAX((T_PlannedOrders[Part Name]=$A835)*(T_PlannedOrders[WeekIndex]=21)*(T_PlannedOrders[EffectiveQty]&gt;0)*T_PlannedOrders[Order_Month])),"m月")&amp;"発注)")</f>
        <v/>
      </c>
      <c r="Y845">
        <f>IF(SUMIFS(T_PlannedOrders[EffectiveQty],T_PlannedOrders[Part Name],$A835,T_PlannedOrders[WeekIndex],22)=0,"",SUMIFS(T_PlannedOrders[EffectiveQty],T_PlannedOrders[Part Name],$A835,T_PlannedOrders[WeekIndex],22)&amp;" ("&amp;TEXT(SUMPRODUCT(MAX((T_PlannedOrders[Part Name]=$A835)*(T_PlannedOrders[WeekIndex]=22)*(T_PlannedOrders[EffectiveQty]&gt;0)*T_PlannedOrders[Order_Month])),"m月")&amp;"発注)")</f>
        <v/>
      </c>
      <c r="Z845">
        <f>IF(SUMIFS(T_PlannedOrders[EffectiveQty],T_PlannedOrders[Part Name],$A835,T_PlannedOrders[WeekIndex],23)=0,"",SUMIFS(T_PlannedOrders[EffectiveQty],T_PlannedOrders[Part Name],$A835,T_PlannedOrders[WeekIndex],23)&amp;" ("&amp;TEXT(SUMPRODUCT(MAX((T_PlannedOrders[Part Name]=$A835)*(T_PlannedOrders[WeekIndex]=23)*(T_PlannedOrders[EffectiveQty]&gt;0)*T_PlannedOrders[Order_Month])),"m月")&amp;"発注)")</f>
        <v/>
      </c>
      <c r="AA845">
        <f>IF(SUMIFS(T_PlannedOrders[EffectiveQty],T_PlannedOrders[Part Name],$A835,T_PlannedOrders[WeekIndex],24)=0,"",SUMIFS(T_PlannedOrders[EffectiveQty],T_PlannedOrders[Part Name],$A835,T_PlannedOrders[WeekIndex],24)&amp;" ("&amp;TEXT(SUMPRODUCT(MAX((T_PlannedOrders[Part Name]=$A835)*(T_PlannedOrders[WeekIndex]=24)*(T_PlannedOrders[EffectiveQty]&gt;0)*T_PlannedOrders[Order_Month])),"m月")&amp;"発注)")</f>
        <v/>
      </c>
      <c r="AB845">
        <f>IF(SUMIFS(T_PlannedOrders[EffectiveQty],T_PlannedOrders[Part Name],$A835,T_PlannedOrders[WeekIndex],25)=0,"",SUMIFS(T_PlannedOrders[EffectiveQty],T_PlannedOrders[Part Name],$A835,T_PlannedOrders[WeekIndex],25)&amp;" ("&amp;TEXT(SUMPRODUCT(MAX((T_PlannedOrders[Part Name]=$A835)*(T_PlannedOrders[WeekIndex]=25)*(T_PlannedOrders[EffectiveQty]&gt;0)*T_PlannedOrders[Order_Month])),"m月")&amp;"発注)")</f>
        <v/>
      </c>
      <c r="AC845">
        <f>IF(SUMIFS(T_PlannedOrders[EffectiveQty],T_PlannedOrders[Part Name],$A835,T_PlannedOrders[WeekIndex],26)=0,"",SUMIFS(T_PlannedOrders[EffectiveQty],T_PlannedOrders[Part Name],$A835,T_PlannedOrders[WeekIndex],26)&amp;" ("&amp;TEXT(SUMPRODUCT(MAX((T_PlannedOrders[Part Name]=$A835)*(T_PlannedOrders[WeekIndex]=26)*(T_PlannedOrders[EffectiveQty]&gt;0)*T_PlannedOrders[Order_Month])),"m月")&amp;"発注)")</f>
        <v/>
      </c>
      <c r="AD845">
        <f>IF(SUMIFS(T_PlannedOrders[EffectiveQty],T_PlannedOrders[Part Name],$A835,T_PlannedOrders[WeekIndex],27)=0,"",SUMIFS(T_PlannedOrders[EffectiveQty],T_PlannedOrders[Part Name],$A835,T_PlannedOrders[WeekIndex],27)&amp;" ("&amp;TEXT(SUMPRODUCT(MAX((T_PlannedOrders[Part Name]=$A835)*(T_PlannedOrders[WeekIndex]=27)*(T_PlannedOrders[EffectiveQty]&gt;0)*T_PlannedOrders[Order_Month])),"m月")&amp;"発注)")</f>
        <v/>
      </c>
      <c r="AE845">
        <f>IF(SUMIFS(T_PlannedOrders[EffectiveQty],T_PlannedOrders[Part Name],$A835,T_PlannedOrders[WeekIndex],28)=0,"",SUMIFS(T_PlannedOrders[EffectiveQty],T_PlannedOrders[Part Name],$A835,T_PlannedOrders[WeekIndex],28)&amp;" ("&amp;TEXT(SUMPRODUCT(MAX((T_PlannedOrders[Part Name]=$A835)*(T_PlannedOrders[WeekIndex]=28)*(T_PlannedOrders[EffectiveQty]&gt;0)*T_PlannedOrders[Order_Month])),"m月")&amp;"発注)")</f>
        <v/>
      </c>
      <c r="AF845">
        <f>IF(SUMIFS(T_PlannedOrders[EffectiveQty],T_PlannedOrders[Part Name],$A835,T_PlannedOrders[WeekIndex],29)=0,"",SUMIFS(T_PlannedOrders[EffectiveQty],T_PlannedOrders[Part Name],$A835,T_PlannedOrders[WeekIndex],29)&amp;" ("&amp;TEXT(SUMPRODUCT(MAX((T_PlannedOrders[Part Name]=$A835)*(T_PlannedOrders[WeekIndex]=29)*(T_PlannedOrders[EffectiveQty]&gt;0)*T_PlannedOrders[Order_Month])),"m月")&amp;"発注)")</f>
        <v/>
      </c>
      <c r="AG845">
        <f>IF(SUMIFS(T_PlannedOrders[EffectiveQty],T_PlannedOrders[Part Name],$A835,T_PlannedOrders[WeekIndex],30)=0,"",SUMIFS(T_PlannedOrders[EffectiveQty],T_PlannedOrders[Part Name],$A835,T_PlannedOrders[WeekIndex],30)&amp;" ("&amp;TEXT(SUMPRODUCT(MAX((T_PlannedOrders[Part Name]=$A835)*(T_PlannedOrders[WeekIndex]=30)*(T_PlannedOrders[EffectiveQty]&gt;0)*T_PlannedOrders[Order_Month])),"m月")&amp;"発注)")</f>
        <v/>
      </c>
      <c r="AH845">
        <f>IF(SUMIFS(T_PlannedOrders[EffectiveQty],T_PlannedOrders[Part Name],$A835,T_PlannedOrders[WeekIndex],31)=0,"",SUMIFS(T_PlannedOrders[EffectiveQty],T_PlannedOrders[Part Name],$A835,T_PlannedOrders[WeekIndex],31)&amp;" ("&amp;TEXT(SUMPRODUCT(MAX((T_PlannedOrders[Part Name]=$A835)*(T_PlannedOrders[WeekIndex]=31)*(T_PlannedOrders[EffectiveQty]&gt;0)*T_PlannedOrders[Order_Month])),"m月")&amp;"発注)")</f>
        <v/>
      </c>
      <c r="AI845">
        <f>IF(SUMIFS(T_PlannedOrders[EffectiveQty],T_PlannedOrders[Part Name],$A835,T_PlannedOrders[WeekIndex],32)=0,"",SUMIFS(T_PlannedOrders[EffectiveQty],T_PlannedOrders[Part Name],$A835,T_PlannedOrders[WeekIndex],32)&amp;" ("&amp;TEXT(SUMPRODUCT(MAX((T_PlannedOrders[Part Name]=$A835)*(T_PlannedOrders[WeekIndex]=32)*(T_PlannedOrders[EffectiveQty]&gt;0)*T_PlannedOrders[Order_Month])),"m月")&amp;"発注)")</f>
        <v/>
      </c>
      <c r="AJ845">
        <f>IF(SUMIFS(T_PlannedOrders[EffectiveQty],T_PlannedOrders[Part Name],$A835,T_PlannedOrders[WeekIndex],33)=0,"",SUMIFS(T_PlannedOrders[EffectiveQty],T_PlannedOrders[Part Name],$A835,T_PlannedOrders[WeekIndex],33)&amp;" ("&amp;TEXT(SUMPRODUCT(MAX((T_PlannedOrders[Part Name]=$A835)*(T_PlannedOrders[WeekIndex]=33)*(T_PlannedOrders[EffectiveQty]&gt;0)*T_PlannedOrders[Order_Month])),"m月")&amp;"発注)")</f>
        <v/>
      </c>
      <c r="AK845">
        <f>IF(SUMIFS(T_PlannedOrders[EffectiveQty],T_PlannedOrders[Part Name],$A835,T_PlannedOrders[WeekIndex],34)=0,"",SUMIFS(T_PlannedOrders[EffectiveQty],T_PlannedOrders[Part Name],$A835,T_PlannedOrders[WeekIndex],34)&amp;" ("&amp;TEXT(SUMPRODUCT(MAX((T_PlannedOrders[Part Name]=$A835)*(T_PlannedOrders[WeekIndex]=34)*(T_PlannedOrders[EffectiveQty]&gt;0)*T_PlannedOrders[Order_Month])),"m月")&amp;"発注)")</f>
        <v/>
      </c>
      <c r="AL845">
        <f>IF(SUMIFS(T_PlannedOrders[EffectiveQty],T_PlannedOrders[Part Name],$A835,T_PlannedOrders[WeekIndex],35)=0,"",SUMIFS(T_PlannedOrders[EffectiveQty],T_PlannedOrders[Part Name],$A835,T_PlannedOrders[WeekIndex],35)&amp;" ("&amp;TEXT(SUMPRODUCT(MAX((T_PlannedOrders[Part Name]=$A835)*(T_PlannedOrders[WeekIndex]=35)*(T_PlannedOrders[EffectiveQty]&gt;0)*T_PlannedOrders[Order_Month])),"m月")&amp;"発注)")</f>
        <v/>
      </c>
      <c r="AM845">
        <f>IF(SUMIFS(T_PlannedOrders[EffectiveQty],T_PlannedOrders[Part Name],$A835,T_PlannedOrders[WeekIndex],36)=0,"",SUMIFS(T_PlannedOrders[EffectiveQty],T_PlannedOrders[Part Name],$A835,T_PlannedOrders[WeekIndex],36)&amp;" ("&amp;TEXT(SUMPRODUCT(MAX((T_PlannedOrders[Part Name]=$A835)*(T_PlannedOrders[WeekIndex]=36)*(T_PlannedOrders[EffectiveQty]&gt;0)*T_PlannedOrders[Order_Month])),"m月")&amp;"発注)")</f>
        <v/>
      </c>
      <c r="AN845">
        <f>IF(SUMIFS(T_PlannedOrders[EffectiveQty],T_PlannedOrders[Part Name],$A835,T_PlannedOrders[WeekIndex],37)=0,"",SUMIFS(T_PlannedOrders[EffectiveQty],T_PlannedOrders[Part Name],$A835,T_PlannedOrders[WeekIndex],37)&amp;" ("&amp;TEXT(SUMPRODUCT(MAX((T_PlannedOrders[Part Name]=$A835)*(T_PlannedOrders[WeekIndex]=37)*(T_PlannedOrders[EffectiveQty]&gt;0)*T_PlannedOrders[Order_Month])),"m月")&amp;"発注)")</f>
        <v/>
      </c>
      <c r="AO845">
        <f>IF(SUMIFS(T_PlannedOrders[EffectiveQty],T_PlannedOrders[Part Name],$A835,T_PlannedOrders[WeekIndex],38)=0,"",SUMIFS(T_PlannedOrders[EffectiveQty],T_PlannedOrders[Part Name],$A835,T_PlannedOrders[WeekIndex],38)&amp;" ("&amp;TEXT(SUMPRODUCT(MAX((T_PlannedOrders[Part Name]=$A835)*(T_PlannedOrders[WeekIndex]=38)*(T_PlannedOrders[EffectiveQty]&gt;0)*T_PlannedOrders[Order_Month])),"m月")&amp;"発注)")</f>
        <v/>
      </c>
      <c r="AP845">
        <f>IF(SUMIFS(T_PlannedOrders[EffectiveQty],T_PlannedOrders[Part Name],$A835,T_PlannedOrders[WeekIndex],39)=0,"",SUMIFS(T_PlannedOrders[EffectiveQty],T_PlannedOrders[Part Name],$A835,T_PlannedOrders[WeekIndex],39)&amp;" ("&amp;TEXT(SUMPRODUCT(MAX((T_PlannedOrders[Part Name]=$A835)*(T_PlannedOrders[WeekIndex]=39)*(T_PlannedOrders[EffectiveQty]&gt;0)*T_PlannedOrders[Order_Month])),"m月")&amp;"発注)")</f>
        <v/>
      </c>
      <c r="AQ845">
        <f>IF(SUMIFS(T_PlannedOrders[EffectiveQty],T_PlannedOrders[Part Name],$A835,T_PlannedOrders[WeekIndex],40)=0,"",SUMIFS(T_PlannedOrders[EffectiveQty],T_PlannedOrders[Part Name],$A835,T_PlannedOrders[WeekIndex],40)&amp;" ("&amp;TEXT(SUMPRODUCT(MAX((T_PlannedOrders[Part Name]=$A835)*(T_PlannedOrders[WeekIndex]=40)*(T_PlannedOrders[EffectiveQty]&gt;0)*T_PlannedOrders[Order_Month])),"m月")&amp;"発注)")</f>
        <v/>
      </c>
      <c r="AR845">
        <f>IF(SUMIFS(T_PlannedOrders[EffectiveQty],T_PlannedOrders[Part Name],$A835,T_PlannedOrders[WeekIndex],41)=0,"",SUMIFS(T_PlannedOrders[EffectiveQty],T_PlannedOrders[Part Name],$A835,T_PlannedOrders[WeekIndex],41)&amp;" ("&amp;TEXT(SUMPRODUCT(MAX((T_PlannedOrders[Part Name]=$A835)*(T_PlannedOrders[WeekIndex]=41)*(T_PlannedOrders[EffectiveQty]&gt;0)*T_PlannedOrders[Order_Month])),"m月")&amp;"発注)")</f>
        <v/>
      </c>
      <c r="AS845">
        <f>IF(SUMIFS(T_PlannedOrders[EffectiveQty],T_PlannedOrders[Part Name],$A835,T_PlannedOrders[WeekIndex],42)=0,"",SUMIFS(T_PlannedOrders[EffectiveQty],T_PlannedOrders[Part Name],$A835,T_PlannedOrders[WeekIndex],42)&amp;" ("&amp;TEXT(SUMPRODUCT(MAX((T_PlannedOrders[Part Name]=$A835)*(T_PlannedOrders[WeekIndex]=42)*(T_PlannedOrders[EffectiveQty]&gt;0)*T_PlannedOrders[Order_Month])),"m月")&amp;"発注)")</f>
        <v/>
      </c>
      <c r="AT845">
        <f>IF(SUMIFS(T_PlannedOrders[EffectiveQty],T_PlannedOrders[Part Name],$A835,T_PlannedOrders[WeekIndex],43)=0,"",SUMIFS(T_PlannedOrders[EffectiveQty],T_PlannedOrders[Part Name],$A835,T_PlannedOrders[WeekIndex],43)&amp;" ("&amp;TEXT(SUMPRODUCT(MAX((T_PlannedOrders[Part Name]=$A835)*(T_PlannedOrders[WeekIndex]=43)*(T_PlannedOrders[EffectiveQty]&gt;0)*T_PlannedOrders[Order_Month])),"m月")&amp;"発注)")</f>
        <v/>
      </c>
      <c r="AU845">
        <f>IF(SUMIFS(T_PlannedOrders[EffectiveQty],T_PlannedOrders[Part Name],$A835,T_PlannedOrders[WeekIndex],44)=0,"",SUMIFS(T_PlannedOrders[EffectiveQty],T_PlannedOrders[Part Name],$A835,T_PlannedOrders[WeekIndex],44)&amp;" ("&amp;TEXT(SUMPRODUCT(MAX((T_PlannedOrders[Part Name]=$A835)*(T_PlannedOrders[WeekIndex]=44)*(T_PlannedOrders[EffectiveQty]&gt;0)*T_PlannedOrders[Order_Month])),"m月")&amp;"発注)")</f>
        <v/>
      </c>
      <c r="AV845">
        <f>IF(SUMIFS(T_PlannedOrders[EffectiveQty],T_PlannedOrders[Part Name],$A835,T_PlannedOrders[WeekIndex],45)=0,"",SUMIFS(T_PlannedOrders[EffectiveQty],T_PlannedOrders[Part Name],$A835,T_PlannedOrders[WeekIndex],45)&amp;" ("&amp;TEXT(SUMPRODUCT(MAX((T_PlannedOrders[Part Name]=$A835)*(T_PlannedOrders[WeekIndex]=45)*(T_PlannedOrders[EffectiveQty]&gt;0)*T_PlannedOrders[Order_Month])),"m月")&amp;"発注)")</f>
        <v/>
      </c>
      <c r="AW845">
        <f>IF(SUMIFS(T_PlannedOrders[EffectiveQty],T_PlannedOrders[Part Name],$A835,T_PlannedOrders[WeekIndex],46)=0,"",SUMIFS(T_PlannedOrders[EffectiveQty],T_PlannedOrders[Part Name],$A835,T_PlannedOrders[WeekIndex],46)&amp;" ("&amp;TEXT(SUMPRODUCT(MAX((T_PlannedOrders[Part Name]=$A835)*(T_PlannedOrders[WeekIndex]=46)*(T_PlannedOrders[EffectiveQty]&gt;0)*T_PlannedOrders[Order_Month])),"m月")&amp;"発注)")</f>
        <v/>
      </c>
      <c r="AX845">
        <f>IF(SUMIFS(T_PlannedOrders[EffectiveQty],T_PlannedOrders[Part Name],$A835,T_PlannedOrders[WeekIndex],47)=0,"",SUMIFS(T_PlannedOrders[EffectiveQty],T_PlannedOrders[Part Name],$A835,T_PlannedOrders[WeekIndex],47)&amp;" ("&amp;TEXT(SUMPRODUCT(MAX((T_PlannedOrders[Part Name]=$A835)*(T_PlannedOrders[WeekIndex]=47)*(T_PlannedOrders[EffectiveQty]&gt;0)*T_PlannedOrders[Order_Month])),"m月")&amp;"発注)")</f>
        <v/>
      </c>
      <c r="AY845">
        <f>IF(SUMIFS(T_PlannedOrders[EffectiveQty],T_PlannedOrders[Part Name],$A835,T_PlannedOrders[WeekIndex],48)=0,"",SUMIFS(T_PlannedOrders[EffectiveQty],T_PlannedOrders[Part Name],$A835,T_PlannedOrders[WeekIndex],48)&amp;" ("&amp;TEXT(SUMPRODUCT(MAX((T_PlannedOrders[Part Name]=$A835)*(T_PlannedOrders[WeekIndex]=48)*(T_PlannedOrders[EffectiveQty]&gt;0)*T_PlannedOrders[Order_Month])),"m月")&amp;"発注)")</f>
        <v/>
      </c>
      <c r="AZ845">
        <f>IF(SUMIFS(T_PlannedOrders[EffectiveQty],T_PlannedOrders[Part Name],$A835,T_PlannedOrders[WeekIndex],49)=0,"",SUMIFS(T_PlannedOrders[EffectiveQty],T_PlannedOrders[Part Name],$A835,T_PlannedOrders[WeekIndex],49)&amp;" ("&amp;TEXT(SUMPRODUCT(MAX((T_PlannedOrders[Part Name]=$A835)*(T_PlannedOrders[WeekIndex]=49)*(T_PlannedOrders[EffectiveQty]&gt;0)*T_PlannedOrders[Order_Month])),"m月")&amp;"発注)")</f>
        <v/>
      </c>
      <c r="BA845">
        <f>IF(SUMIFS(T_PlannedOrders[EffectiveQty],T_PlannedOrders[Part Name],$A835,T_PlannedOrders[WeekIndex],50)=0,"",SUMIFS(T_PlannedOrders[EffectiveQty],T_PlannedOrders[Part Name],$A835,T_PlannedOrders[WeekIndex],50)&amp;" ("&amp;TEXT(SUMPRODUCT(MAX((T_PlannedOrders[Part Name]=$A835)*(T_PlannedOrders[WeekIndex]=50)*(T_PlannedOrders[EffectiveQty]&gt;0)*T_PlannedOrders[Order_Month])),"m月")&amp;"発注)")</f>
        <v/>
      </c>
      <c r="BB845">
        <f>IF(SUMIFS(T_PlannedOrders[EffectiveQty],T_PlannedOrders[Part Name],$A835,T_PlannedOrders[WeekIndex],51)=0,"",SUMIFS(T_PlannedOrders[EffectiveQty],T_PlannedOrders[Part Name],$A835,T_PlannedOrders[WeekIndex],51)&amp;" ("&amp;TEXT(SUMPRODUCT(MAX((T_PlannedOrders[Part Name]=$A835)*(T_PlannedOrders[WeekIndex]=51)*(T_PlannedOrders[EffectiveQty]&gt;0)*T_PlannedOrders[Order_Month])),"m月")&amp;"発注)")</f>
        <v/>
      </c>
      <c r="BC845">
        <f>IF(SUMIFS(T_PlannedOrders[EffectiveQty],T_PlannedOrders[Part Name],$A835,T_PlannedOrders[WeekIndex],52)=0,"",SUMIFS(T_PlannedOrders[EffectiveQty],T_PlannedOrders[Part Name],$A835,T_PlannedOrders[WeekIndex],52)&amp;" ("&amp;TEXT(SUMPRODUCT(MAX((T_PlannedOrders[Part Name]=$A835)*(T_PlannedOrders[WeekIndex]=52)*(T_PlannedOrders[EffectiveQty]&gt;0)*T_PlannedOrders[Order_Month])),"m月")&amp;"発注)")</f>
        <v/>
      </c>
      <c r="BD845">
        <f>IF(SUMIFS(T_PlannedOrders[EffectiveQty],T_PlannedOrders[Part Name],$A835,T_PlannedOrders[WeekIndex],53)=0,"",SUMIFS(T_PlannedOrders[EffectiveQty],T_PlannedOrders[Part Name],$A835,T_PlannedOrders[WeekIndex],53)&amp;" ("&amp;TEXT(SUMPRODUCT(MAX((T_PlannedOrders[Part Name]=$A835)*(T_PlannedOrders[WeekIndex]=53)*(T_PlannedOrders[EffectiveQty]&gt;0)*T_PlannedOrders[Order_Month])),"m月")&amp;"発注)")</f>
        <v/>
      </c>
      <c r="BE845">
        <f>IF(SUMIFS(T_PlannedOrders[EffectiveQty],T_PlannedOrders[Part Name],$A835,T_PlannedOrders[WeekIndex],54)=0,"",SUMIFS(T_PlannedOrders[EffectiveQty],T_PlannedOrders[Part Name],$A835,T_PlannedOrders[WeekIndex],54)&amp;" ("&amp;TEXT(SUMPRODUCT(MAX((T_PlannedOrders[Part Name]=$A835)*(T_PlannedOrders[WeekIndex]=54)*(T_PlannedOrders[EffectiveQty]&gt;0)*T_PlannedOrders[Order_Month])),"m月")&amp;"発注)")</f>
        <v/>
      </c>
      <c r="BF845">
        <f>IF(SUMIFS(T_PlannedOrders[EffectiveQty],T_PlannedOrders[Part Name],$A835,T_PlannedOrders[WeekIndex],55)=0,"",SUMIFS(T_PlannedOrders[EffectiveQty],T_PlannedOrders[Part Name],$A835,T_PlannedOrders[WeekIndex],55)&amp;" ("&amp;TEXT(SUMPRODUCT(MAX((T_PlannedOrders[Part Name]=$A835)*(T_PlannedOrders[WeekIndex]=55)*(T_PlannedOrders[EffectiveQty]&gt;0)*T_PlannedOrders[Order_Month])),"m月")&amp;"発注)")</f>
        <v/>
      </c>
      <c r="BG845">
        <f>IF(SUMIFS(T_PlannedOrders[EffectiveQty],T_PlannedOrders[Part Name],$A835,T_PlannedOrders[WeekIndex],56)=0,"",SUMIFS(T_PlannedOrders[EffectiveQty],T_PlannedOrders[Part Name],$A835,T_PlannedOrders[WeekIndex],56)&amp;" ("&amp;TEXT(SUMPRODUCT(MAX((T_PlannedOrders[Part Name]=$A835)*(T_PlannedOrders[WeekIndex]=56)*(T_PlannedOrders[EffectiveQty]&gt;0)*T_PlannedOrders[Order_Month])),"m月")&amp;"発注)")</f>
        <v/>
      </c>
      <c r="BH845">
        <f>IF(SUMIFS(T_PlannedOrders[EffectiveQty],T_PlannedOrders[Part Name],$A835,T_PlannedOrders[WeekIndex],57)=0,"",SUMIFS(T_PlannedOrders[EffectiveQty],T_PlannedOrders[Part Name],$A835,T_PlannedOrders[WeekIndex],57)&amp;" ("&amp;TEXT(SUMPRODUCT(MAX((T_PlannedOrders[Part Name]=$A835)*(T_PlannedOrders[WeekIndex]=57)*(T_PlannedOrders[EffectiveQty]&gt;0)*T_PlannedOrders[Order_Month])),"m月")&amp;"発注)")</f>
        <v/>
      </c>
      <c r="BI845">
        <f>IF(SUMIFS(T_PlannedOrders[EffectiveQty],T_PlannedOrders[Part Name],$A835,T_PlannedOrders[WeekIndex],58)=0,"",SUMIFS(T_PlannedOrders[EffectiveQty],T_PlannedOrders[Part Name],$A835,T_PlannedOrders[WeekIndex],58)&amp;" ("&amp;TEXT(SUMPRODUCT(MAX((T_PlannedOrders[Part Name]=$A835)*(T_PlannedOrders[WeekIndex]=58)*(T_PlannedOrders[EffectiveQty]&gt;0)*T_PlannedOrders[Order_Month])),"m月")&amp;"発注)")</f>
        <v/>
      </c>
      <c r="BJ845">
        <f>IF(SUMIFS(T_PlannedOrders[EffectiveQty],T_PlannedOrders[Part Name],$A835,T_PlannedOrders[WeekIndex],59)=0,"",SUMIFS(T_PlannedOrders[EffectiveQty],T_PlannedOrders[Part Name],$A835,T_PlannedOrders[WeekIndex],59)&amp;" ("&amp;TEXT(SUMPRODUCT(MAX((T_PlannedOrders[Part Name]=$A835)*(T_PlannedOrders[WeekIndex]=59)*(T_PlannedOrders[EffectiveQty]&gt;0)*T_PlannedOrders[Order_Month])),"m月")&amp;"発注)")</f>
        <v/>
      </c>
      <c r="BK845">
        <f>IF(SUMIFS(T_PlannedOrders[EffectiveQty],T_PlannedOrders[Part Name],$A835,T_PlannedOrders[WeekIndex],60)=0,"",SUMIFS(T_PlannedOrders[EffectiveQty],T_PlannedOrders[Part Name],$A835,T_PlannedOrders[WeekIndex],60)&amp;" ("&amp;TEXT(SUMPRODUCT(MAX((T_PlannedOrders[Part Name]=$A835)*(T_PlannedOrders[WeekIndex]=60)*(T_PlannedOrders[EffectiveQty]&gt;0)*T_PlannedOrders[Order_Month])),"m月")&amp;"発注)")</f>
        <v/>
      </c>
      <c r="BL845">
        <f>IF(SUMIFS(T_PlannedOrders[EffectiveQty],T_PlannedOrders[Part Name],$A835,T_PlannedOrders[WeekIndex],61)=0,"",SUMIFS(T_PlannedOrders[EffectiveQty],T_PlannedOrders[Part Name],$A835,T_PlannedOrders[WeekIndex],61)&amp;" ("&amp;TEXT(SUMPRODUCT(MAX((T_PlannedOrders[Part Name]=$A835)*(T_PlannedOrders[WeekIndex]=61)*(T_PlannedOrders[EffectiveQty]&gt;0)*T_PlannedOrders[Order_Month])),"m月")&amp;"発注)")</f>
        <v/>
      </c>
      <c r="BM845">
        <f>IF(SUMIFS(T_PlannedOrders[EffectiveQty],T_PlannedOrders[Part Name],$A835,T_PlannedOrders[WeekIndex],62)=0,"",SUMIFS(T_PlannedOrders[EffectiveQty],T_PlannedOrders[Part Name],$A835,T_PlannedOrders[WeekIndex],62)&amp;" ("&amp;TEXT(SUMPRODUCT(MAX((T_PlannedOrders[Part Name]=$A835)*(T_PlannedOrders[WeekIndex]=62)*(T_PlannedOrders[EffectiveQty]&gt;0)*T_PlannedOrders[Order_Month])),"m月")&amp;"発注)")</f>
        <v/>
      </c>
      <c r="BN845">
        <f>IF(SUMIFS(T_PlannedOrders[EffectiveQty],T_PlannedOrders[Part Name],$A835,T_PlannedOrders[WeekIndex],63)=0,"",SUMIFS(T_PlannedOrders[EffectiveQty],T_PlannedOrders[Part Name],$A835,T_PlannedOrders[WeekIndex],63)&amp;" ("&amp;TEXT(SUMPRODUCT(MAX((T_PlannedOrders[Part Name]=$A835)*(T_PlannedOrders[WeekIndex]=63)*(T_PlannedOrders[EffectiveQty]&gt;0)*T_PlannedOrders[Order_Month])),"m月")&amp;"発注)")</f>
        <v/>
      </c>
      <c r="BO845">
        <f>IF(SUMIFS(T_PlannedOrders[EffectiveQty],T_PlannedOrders[Part Name],$A835,T_PlannedOrders[WeekIndex],64)=0,"",SUMIFS(T_PlannedOrders[EffectiveQty],T_PlannedOrders[Part Name],$A835,T_PlannedOrders[WeekIndex],64)&amp;" ("&amp;TEXT(SUMPRODUCT(MAX((T_PlannedOrders[Part Name]=$A835)*(T_PlannedOrders[WeekIndex]=64)*(T_PlannedOrders[EffectiveQty]&gt;0)*T_PlannedOrders[Order_Month])),"m月")&amp;"発注)")</f>
        <v/>
      </c>
      <c r="BP845">
        <f>IF(SUMIFS(T_PlannedOrders[EffectiveQty],T_PlannedOrders[Part Name],$A835,T_PlannedOrders[WeekIndex],65)=0,"",SUMIFS(T_PlannedOrders[EffectiveQty],T_PlannedOrders[Part Name],$A835,T_PlannedOrders[WeekIndex],65)&amp;" ("&amp;TEXT(SUMPRODUCT(MAX((T_PlannedOrders[Part Name]=$A835)*(T_PlannedOrders[WeekIndex]=65)*(T_PlannedOrders[EffectiveQty]&gt;0)*T_PlannedOrders[Order_Month])),"m月")&amp;"発注)")</f>
        <v/>
      </c>
      <c r="BQ845">
        <f>IF(SUMIFS(T_PlannedOrders[EffectiveQty],T_PlannedOrders[Part Name],$A835,T_PlannedOrders[WeekIndex],66)=0,"",SUMIFS(T_PlannedOrders[EffectiveQty],T_PlannedOrders[Part Name],$A835,T_PlannedOrders[WeekIndex],66)&amp;" ("&amp;TEXT(SUMPRODUCT(MAX((T_PlannedOrders[Part Name]=$A835)*(T_PlannedOrders[WeekIndex]=66)*(T_PlannedOrders[EffectiveQty]&gt;0)*T_PlannedOrders[Order_Month])),"m月")&amp;"発注)")</f>
        <v/>
      </c>
      <c r="BR845">
        <f>IF(SUMIFS(T_PlannedOrders[EffectiveQty],T_PlannedOrders[Part Name],$A835,T_PlannedOrders[WeekIndex],67)=0,"",SUMIFS(T_PlannedOrders[EffectiveQty],T_PlannedOrders[Part Name],$A835,T_PlannedOrders[WeekIndex],67)&amp;" ("&amp;TEXT(SUMPRODUCT(MAX((T_PlannedOrders[Part Name]=$A835)*(T_PlannedOrders[WeekIndex]=67)*(T_PlannedOrders[EffectiveQty]&gt;0)*T_PlannedOrders[Order_Month])),"m月")&amp;"発注)")</f>
        <v/>
      </c>
      <c r="BS845">
        <f>IF(SUMIFS(T_PlannedOrders[EffectiveQty],T_PlannedOrders[Part Name],$A835,T_PlannedOrders[WeekIndex],68)=0,"",SUMIFS(T_PlannedOrders[EffectiveQty],T_PlannedOrders[Part Name],$A835,T_PlannedOrders[WeekIndex],68)&amp;" ("&amp;TEXT(SUMPRODUCT(MAX((T_PlannedOrders[Part Name]=$A835)*(T_PlannedOrders[WeekIndex]=68)*(T_PlannedOrders[EffectiveQty]&gt;0)*T_PlannedOrders[Order_Month])),"m月")&amp;"発注)")</f>
        <v/>
      </c>
      <c r="BT845">
        <f>IF(SUMIFS(T_PlannedOrders[EffectiveQty],T_PlannedOrders[Part Name],$A835,T_PlannedOrders[WeekIndex],69)=0,"",SUMIFS(T_PlannedOrders[EffectiveQty],T_PlannedOrders[Part Name],$A835,T_PlannedOrders[WeekIndex],69)&amp;" ("&amp;TEXT(SUMPRODUCT(MAX((T_PlannedOrders[Part Name]=$A835)*(T_PlannedOrders[WeekIndex]=69)*(T_PlannedOrders[EffectiveQty]&gt;0)*T_PlannedOrders[Order_Month])),"m月")&amp;"発注)")</f>
        <v/>
      </c>
      <c r="BU845">
        <f>IF(SUMIFS(T_PlannedOrders[EffectiveQty],T_PlannedOrders[Part Name],$A835,T_PlannedOrders[WeekIndex],70)=0,"",SUMIFS(T_PlannedOrders[EffectiveQty],T_PlannedOrders[Part Name],$A835,T_PlannedOrders[WeekIndex],70)&amp;" ("&amp;TEXT(SUMPRODUCT(MAX((T_PlannedOrders[Part Name]=$A835)*(T_PlannedOrders[WeekIndex]=70)*(T_PlannedOrders[EffectiveQty]&gt;0)*T_PlannedOrders[Order_Month])),"m月")&amp;"発注)")</f>
        <v/>
      </c>
      <c r="BV845">
        <f>IF(SUMIFS(T_PlannedOrders[EffectiveQty],T_PlannedOrders[Part Name],$A835,T_PlannedOrders[WeekIndex],71)=0,"",SUMIFS(T_PlannedOrders[EffectiveQty],T_PlannedOrders[Part Name],$A835,T_PlannedOrders[WeekIndex],71)&amp;" ("&amp;TEXT(SUMPRODUCT(MAX((T_PlannedOrders[Part Name]=$A835)*(T_PlannedOrders[WeekIndex]=71)*(T_PlannedOrders[EffectiveQty]&gt;0)*T_PlannedOrders[Order_Month])),"m月")&amp;"発注)")</f>
        <v/>
      </c>
      <c r="BW845">
        <f>IF(SUMIFS(T_PlannedOrders[EffectiveQty],T_PlannedOrders[Part Name],$A835,T_PlannedOrders[WeekIndex],72)=0,"",SUMIFS(T_PlannedOrders[EffectiveQty],T_PlannedOrders[Part Name],$A835,T_PlannedOrders[WeekIndex],72)&amp;" ("&amp;TEXT(SUMPRODUCT(MAX((T_PlannedOrders[Part Name]=$A835)*(T_PlannedOrders[WeekIndex]=72)*(T_PlannedOrders[EffectiveQty]&gt;0)*T_PlannedOrders[Order_Month])),"m月")&amp;"発注)")</f>
        <v/>
      </c>
      <c r="BX845">
        <f>IF(SUMIFS(T_PlannedOrders[EffectiveQty],T_PlannedOrders[Part Name],$A835,T_PlannedOrders[WeekIndex],73)=0,"",SUMIFS(T_PlannedOrders[EffectiveQty],T_PlannedOrders[Part Name],$A835,T_PlannedOrders[WeekIndex],73)&amp;" ("&amp;TEXT(SUMPRODUCT(MAX((T_PlannedOrders[Part Name]=$A835)*(T_PlannedOrders[WeekIndex]=73)*(T_PlannedOrders[EffectiveQty]&gt;0)*T_PlannedOrders[Order_Month])),"m月")&amp;"発注)")</f>
        <v/>
      </c>
      <c r="BY845">
        <f>IF(SUMIFS(T_PlannedOrders[EffectiveQty],T_PlannedOrders[Part Name],$A835,T_PlannedOrders[WeekIndex],74)=0,"",SUMIFS(T_PlannedOrders[EffectiveQty],T_PlannedOrders[Part Name],$A835,T_PlannedOrders[WeekIndex],74)&amp;" ("&amp;TEXT(SUMPRODUCT(MAX((T_PlannedOrders[Part Name]=$A835)*(T_PlannedOrders[WeekIndex]=74)*(T_PlannedOrders[EffectiveQty]&gt;0)*T_PlannedOrders[Order_Month])),"m月")&amp;"発注)")</f>
        <v/>
      </c>
      <c r="BZ845">
        <f>IF(SUMIFS(T_PlannedOrders[EffectiveQty],T_PlannedOrders[Part Name],$A835,T_PlannedOrders[WeekIndex],75)=0,"",SUMIFS(T_PlannedOrders[EffectiveQty],T_PlannedOrders[Part Name],$A835,T_PlannedOrders[WeekIndex],75)&amp;" ("&amp;TEXT(SUMPRODUCT(MAX((T_PlannedOrders[Part Name]=$A835)*(T_PlannedOrders[WeekIndex]=75)*(T_PlannedOrders[EffectiveQty]&gt;0)*T_PlannedOrders[Order_Month])),"m月")&amp;"発注)")</f>
        <v/>
      </c>
      <c r="CA845">
        <f>IF(SUMIFS(T_PlannedOrders[EffectiveQty],T_PlannedOrders[Part Name],$A835,T_PlannedOrders[WeekIndex],76)=0,"",SUMIFS(T_PlannedOrders[EffectiveQty],T_PlannedOrders[Part Name],$A835,T_PlannedOrders[WeekIndex],76)&amp;" ("&amp;TEXT(SUMPRODUCT(MAX((T_PlannedOrders[Part Name]=$A835)*(T_PlannedOrders[WeekIndex]=76)*(T_PlannedOrders[EffectiveQty]&gt;0)*T_PlannedOrders[Order_Month])),"m月")&amp;"発注)")</f>
        <v/>
      </c>
      <c r="CB845">
        <f>IF(SUMIFS(T_PlannedOrders[EffectiveQty],T_PlannedOrders[Part Name],$A835,T_PlannedOrders[WeekIndex],77)=0,"",SUMIFS(T_PlannedOrders[EffectiveQty],T_PlannedOrders[Part Name],$A835,T_PlannedOrders[WeekIndex],77)&amp;" ("&amp;TEXT(SUMPRODUCT(MAX((T_PlannedOrders[Part Name]=$A835)*(T_PlannedOrders[WeekIndex]=77)*(T_PlannedOrders[EffectiveQty]&gt;0)*T_PlannedOrders[Order_Month])),"m月")&amp;"発注)")</f>
        <v/>
      </c>
      <c r="CC845">
        <f>IF(SUMIFS(T_PlannedOrders[EffectiveQty],T_PlannedOrders[Part Name],$A835,T_PlannedOrders[WeekIndex],78)=0,"",SUMIFS(T_PlannedOrders[EffectiveQty],T_PlannedOrders[Part Name],$A835,T_PlannedOrders[WeekIndex],78)&amp;" ("&amp;TEXT(SUMPRODUCT(MAX((T_PlannedOrders[Part Name]=$A835)*(T_PlannedOrders[WeekIndex]=78)*(T_PlannedOrders[EffectiveQty]&gt;0)*T_PlannedOrders[Order_Month])),"m月")&amp;"発注)")</f>
        <v/>
      </c>
      <c r="CD845">
        <f>IF(SUMIFS(T_PlannedOrders[EffectiveQty],T_PlannedOrders[Part Name],$A835,T_PlannedOrders[WeekIndex],79)=0,"",SUMIFS(T_PlannedOrders[EffectiveQty],T_PlannedOrders[Part Name],$A835,T_PlannedOrders[WeekIndex],79)&amp;" ("&amp;TEXT(SUMPRODUCT(MAX((T_PlannedOrders[Part Name]=$A835)*(T_PlannedOrders[WeekIndex]=79)*(T_PlannedOrders[EffectiveQty]&gt;0)*T_PlannedOrders[Order_Month])),"m月")&amp;"発注)")</f>
        <v/>
      </c>
      <c r="CE845">
        <f>IF(SUMIFS(T_PlannedOrders[EffectiveQty],T_PlannedOrders[Part Name],$A835,T_PlannedOrders[WeekIndex],80)=0,"",SUMIFS(T_PlannedOrders[EffectiveQty],T_PlannedOrders[Part Name],$A835,T_PlannedOrders[WeekIndex],80)&amp;" ("&amp;TEXT(SUMPRODUCT(MAX((T_PlannedOrders[Part Name]=$A835)*(T_PlannedOrders[WeekIndex]=80)*(T_PlannedOrders[EffectiveQty]&gt;0)*T_PlannedOrders[Order_Month])),"m月")&amp;"発注)")</f>
        <v/>
      </c>
      <c r="CF845">
        <f>IF(SUMIFS(T_PlannedOrders[EffectiveQty],T_PlannedOrders[Part Name],$A835,T_PlannedOrders[WeekIndex],81)=0,"",SUMIFS(T_PlannedOrders[EffectiveQty],T_PlannedOrders[Part Name],$A835,T_PlannedOrders[WeekIndex],81)&amp;" ("&amp;TEXT(SUMPRODUCT(MAX((T_PlannedOrders[Part Name]=$A835)*(T_PlannedOrders[WeekIndex]=81)*(T_PlannedOrders[EffectiveQty]&gt;0)*T_PlannedOrders[Order_Month])),"m月")&amp;"発注)")</f>
        <v/>
      </c>
      <c r="CG845">
        <f>IF(SUMIFS(T_PlannedOrders[EffectiveQty],T_PlannedOrders[Part Name],$A835,T_PlannedOrders[WeekIndex],82)=0,"",SUMIFS(T_PlannedOrders[EffectiveQty],T_PlannedOrders[Part Name],$A835,T_PlannedOrders[WeekIndex],82)&amp;" ("&amp;TEXT(SUMPRODUCT(MAX((T_PlannedOrders[Part Name]=$A835)*(T_PlannedOrders[WeekIndex]=82)*(T_PlannedOrders[EffectiveQty]&gt;0)*T_PlannedOrders[Order_Month])),"m月")&amp;"発注)")</f>
        <v/>
      </c>
      <c r="CH845">
        <f>IF(SUMIFS(T_PlannedOrders[EffectiveQty],T_PlannedOrders[Part Name],$A835,T_PlannedOrders[WeekIndex],83)=0,"",SUMIFS(T_PlannedOrders[EffectiveQty],T_PlannedOrders[Part Name],$A835,T_PlannedOrders[WeekIndex],83)&amp;" ("&amp;TEXT(SUMPRODUCT(MAX((T_PlannedOrders[Part Name]=$A835)*(T_PlannedOrders[WeekIndex]=83)*(T_PlannedOrders[EffectiveQty]&gt;0)*T_PlannedOrders[Order_Month])),"m月")&amp;"発注)")</f>
        <v/>
      </c>
      <c r="CI845">
        <f>IF(SUMIFS(T_PlannedOrders[EffectiveQty],T_PlannedOrders[Part Name],$A835,T_PlannedOrders[WeekIndex],84)=0,"",SUMIFS(T_PlannedOrders[EffectiveQty],T_PlannedOrders[Part Name],$A835,T_PlannedOrders[WeekIndex],84)&amp;" ("&amp;TEXT(SUMPRODUCT(MAX((T_PlannedOrders[Part Name]=$A835)*(T_PlannedOrders[WeekIndex]=84)*(T_PlannedOrders[EffectiveQty]&gt;0)*T_PlannedOrders[Order_Month])),"m月")&amp;"発注)")</f>
        <v/>
      </c>
      <c r="CJ845">
        <f>IF(SUMIFS(T_PlannedOrders[EffectiveQty],T_PlannedOrders[Part Name],$A835,T_PlannedOrders[WeekIndex],85)=0,"",SUMIFS(T_PlannedOrders[EffectiveQty],T_PlannedOrders[Part Name],$A835,T_PlannedOrders[WeekIndex],85)&amp;" ("&amp;TEXT(SUMPRODUCT(MAX((T_PlannedOrders[Part Name]=$A835)*(T_PlannedOrders[WeekIndex]=85)*(T_PlannedOrders[EffectiveQty]&gt;0)*T_PlannedOrders[Order_Month])),"m月")&amp;"発注)")</f>
        <v/>
      </c>
      <c r="CK845">
        <f>IF(SUMIFS(T_PlannedOrders[EffectiveQty],T_PlannedOrders[Part Name],$A835,T_PlannedOrders[WeekIndex],86)=0,"",SUMIFS(T_PlannedOrders[EffectiveQty],T_PlannedOrders[Part Name],$A835,T_PlannedOrders[WeekIndex],86)&amp;" ("&amp;TEXT(SUMPRODUCT(MAX((T_PlannedOrders[Part Name]=$A835)*(T_PlannedOrders[WeekIndex]=86)*(T_PlannedOrders[EffectiveQty]&gt;0)*T_PlannedOrders[Order_Month])),"m月")&amp;"発注)")</f>
        <v/>
      </c>
      <c r="CL845">
        <f>IF(SUMIFS(T_PlannedOrders[EffectiveQty],T_PlannedOrders[Part Name],$A835,T_PlannedOrders[WeekIndex],87)=0,"",SUMIFS(T_PlannedOrders[EffectiveQty],T_PlannedOrders[Part Name],$A835,T_PlannedOrders[WeekIndex],87)&amp;" ("&amp;TEXT(SUMPRODUCT(MAX((T_PlannedOrders[Part Name]=$A835)*(T_PlannedOrders[WeekIndex]=87)*(T_PlannedOrders[EffectiveQty]&gt;0)*T_PlannedOrders[Order_Month])),"m月")&amp;"発注)")</f>
        <v/>
      </c>
      <c r="CM845">
        <f>IF(SUMIFS(T_PlannedOrders[EffectiveQty],T_PlannedOrders[Part Name],$A835,T_PlannedOrders[WeekIndex],88)=0,"",SUMIFS(T_PlannedOrders[EffectiveQty],T_PlannedOrders[Part Name],$A835,T_PlannedOrders[WeekIndex],88)&amp;" ("&amp;TEXT(SUMPRODUCT(MAX((T_PlannedOrders[Part Name]=$A835)*(T_PlannedOrders[WeekIndex]=88)*(T_PlannedOrders[EffectiveQty]&gt;0)*T_PlannedOrders[Order_Month])),"m月")&amp;"発注)")</f>
        <v/>
      </c>
      <c r="CN845">
        <f>IF(SUMIFS(T_PlannedOrders[EffectiveQty],T_PlannedOrders[Part Name],$A835,T_PlannedOrders[WeekIndex],89)=0,"",SUMIFS(T_PlannedOrders[EffectiveQty],T_PlannedOrders[Part Name],$A835,T_PlannedOrders[WeekIndex],89)&amp;" ("&amp;TEXT(SUMPRODUCT(MAX((T_PlannedOrders[Part Name]=$A835)*(T_PlannedOrders[WeekIndex]=89)*(T_PlannedOrders[EffectiveQty]&gt;0)*T_PlannedOrders[Order_Month])),"m月")&amp;"発注)")</f>
        <v/>
      </c>
      <c r="CO845">
        <f>IF(SUMIFS(T_PlannedOrders[EffectiveQty],T_PlannedOrders[Part Name],$A835,T_PlannedOrders[WeekIndex],90)=0,"",SUMIFS(T_PlannedOrders[EffectiveQty],T_PlannedOrders[Part Name],$A835,T_PlannedOrders[WeekIndex],90)&amp;" ("&amp;TEXT(SUMPRODUCT(MAX((T_PlannedOrders[Part Name]=$A835)*(T_PlannedOrders[WeekIndex]=90)*(T_PlannedOrders[EffectiveQty]&gt;0)*T_PlannedOrders[Order_Month])),"m月")&amp;"発注)")</f>
        <v/>
      </c>
      <c r="CP845">
        <f>IF(SUMIFS(T_PlannedOrders[EffectiveQty],T_PlannedOrders[Part Name],$A835,T_PlannedOrders[WeekIndex],91)=0,"",SUMIFS(T_PlannedOrders[EffectiveQty],T_PlannedOrders[Part Name],$A835,T_PlannedOrders[WeekIndex],91)&amp;" ("&amp;TEXT(SUMPRODUCT(MAX((T_PlannedOrders[Part Name]=$A835)*(T_PlannedOrders[WeekIndex]=91)*(T_PlannedOrders[EffectiveQty]&gt;0)*T_PlannedOrders[Order_Month])),"m月")&amp;"発注)")</f>
        <v/>
      </c>
      <c r="CQ845">
        <f>IF(SUMIFS(T_PlannedOrders[EffectiveQty],T_PlannedOrders[Part Name],$A835,T_PlannedOrders[WeekIndex],92)=0,"",SUMIFS(T_PlannedOrders[EffectiveQty],T_PlannedOrders[Part Name],$A835,T_PlannedOrders[WeekIndex],92)&amp;" ("&amp;TEXT(SUMPRODUCT(MAX((T_PlannedOrders[Part Name]=$A835)*(T_PlannedOrders[WeekIndex]=92)*(T_PlannedOrders[EffectiveQty]&gt;0)*T_PlannedOrders[Order_Month])),"m月")&amp;"発注)")</f>
        <v/>
      </c>
      <c r="CR845">
        <f>IF(SUMIFS(T_PlannedOrders[EffectiveQty],T_PlannedOrders[Part Name],$A835,T_PlannedOrders[WeekIndex],93)=0,"",SUMIFS(T_PlannedOrders[EffectiveQty],T_PlannedOrders[Part Name],$A835,T_PlannedOrders[WeekIndex],93)&amp;" ("&amp;TEXT(SUMPRODUCT(MAX((T_PlannedOrders[Part Name]=$A835)*(T_PlannedOrders[WeekIndex]=93)*(T_PlannedOrders[EffectiveQty]&gt;0)*T_PlannedOrders[Order_Month])),"m月")&amp;"発注)")</f>
        <v/>
      </c>
      <c r="CS845">
        <f>IF(SUMIFS(T_PlannedOrders[EffectiveQty],T_PlannedOrders[Part Name],$A835,T_PlannedOrders[WeekIndex],94)=0,"",SUMIFS(T_PlannedOrders[EffectiveQty],T_PlannedOrders[Part Name],$A835,T_PlannedOrders[WeekIndex],94)&amp;" ("&amp;TEXT(SUMPRODUCT(MAX((T_PlannedOrders[Part Name]=$A835)*(T_PlannedOrders[WeekIndex]=94)*(T_PlannedOrders[EffectiveQty]&gt;0)*T_PlannedOrders[Order_Month])),"m月")&amp;"発注)")</f>
        <v/>
      </c>
      <c r="CT845">
        <f>IF(SUMIFS(T_PlannedOrders[EffectiveQty],T_PlannedOrders[Part Name],$A835,T_PlannedOrders[WeekIndex],95)=0,"",SUMIFS(T_PlannedOrders[EffectiveQty],T_PlannedOrders[Part Name],$A835,T_PlannedOrders[WeekIndex],95)&amp;" ("&amp;TEXT(SUMPRODUCT(MAX((T_PlannedOrders[Part Name]=$A835)*(T_PlannedOrders[WeekIndex]=95)*(T_PlannedOrders[EffectiveQty]&gt;0)*T_PlannedOrders[Order_Month])),"m月")&amp;"発注)")</f>
        <v/>
      </c>
      <c r="CU845">
        <f>IF(SUMIFS(T_PlannedOrders[EffectiveQty],T_PlannedOrders[Part Name],$A835,T_PlannedOrders[WeekIndex],96)=0,"",SUMIFS(T_PlannedOrders[EffectiveQty],T_PlannedOrders[Part Name],$A835,T_PlannedOrders[WeekIndex],96)&amp;" ("&amp;TEXT(SUMPRODUCT(MAX((T_PlannedOrders[Part Name]=$A835)*(T_PlannedOrders[WeekIndex]=96)*(T_PlannedOrders[EffectiveQty]&gt;0)*T_PlannedOrders[Order_Month])),"m月")&amp;"発注)")</f>
        <v/>
      </c>
      <c r="CV845">
        <f>IF(SUMIFS(T_PlannedOrders[EffectiveQty],T_PlannedOrders[Part Name],$A835,T_PlannedOrders[WeekIndex],97)=0,"",SUMIFS(T_PlannedOrders[EffectiveQty],T_PlannedOrders[Part Name],$A835,T_PlannedOrders[WeekIndex],97)&amp;" ("&amp;TEXT(SUMPRODUCT(MAX((T_PlannedOrders[Part Name]=$A835)*(T_PlannedOrders[WeekIndex]=97)*(T_PlannedOrders[EffectiveQty]&gt;0)*T_PlannedOrders[Order_Month])),"m月")&amp;"発注)")</f>
        <v/>
      </c>
      <c r="CW845">
        <f>IF(SUMIFS(T_PlannedOrders[EffectiveQty],T_PlannedOrders[Part Name],$A835,T_PlannedOrders[WeekIndex],98)=0,"",SUMIFS(T_PlannedOrders[EffectiveQty],T_PlannedOrders[Part Name],$A835,T_PlannedOrders[WeekIndex],98)&amp;" ("&amp;TEXT(SUMPRODUCT(MAX((T_PlannedOrders[Part Name]=$A835)*(T_PlannedOrders[WeekIndex]=98)*(T_PlannedOrders[EffectiveQty]&gt;0)*T_PlannedOrders[Order_Month])),"m月")&amp;"発注)")</f>
        <v/>
      </c>
      <c r="CX845">
        <f>IF(SUMIFS(T_PlannedOrders[EffectiveQty],T_PlannedOrders[Part Name],$A835,T_PlannedOrders[WeekIndex],99)=0,"",SUMIFS(T_PlannedOrders[EffectiveQty],T_PlannedOrders[Part Name],$A835,T_PlannedOrders[WeekIndex],99)&amp;" ("&amp;TEXT(SUMPRODUCT(MAX((T_PlannedOrders[Part Name]=$A835)*(T_PlannedOrders[WeekIndex]=99)*(T_PlannedOrders[EffectiveQty]&gt;0)*T_PlannedOrders[Order_Month])),"m月")&amp;"発注)")</f>
        <v/>
      </c>
      <c r="CY845">
        <f>IF(SUMIFS(T_PlannedOrders[EffectiveQty],T_PlannedOrders[Part Name],$A835,T_PlannedOrders[WeekIndex],100)=0,"",SUMIFS(T_PlannedOrders[EffectiveQty],T_PlannedOrders[Part Name],$A835,T_PlannedOrders[WeekIndex],100)&amp;" ("&amp;TEXT(SUMPRODUCT(MAX((T_PlannedOrders[Part Name]=$A835)*(T_PlannedOrders[WeekIndex]=100)*(T_PlannedOrders[EffectiveQty]&gt;0)*T_PlannedOrders[Order_Month])),"m月")&amp;"発注)")</f>
        <v/>
      </c>
      <c r="CZ845">
        <f>IF(SUMIFS(T_PlannedOrders[EffectiveQty],T_PlannedOrders[Part Name],$A835,T_PlannedOrders[WeekIndex],101)=0,"",SUMIFS(T_PlannedOrders[EffectiveQty],T_PlannedOrders[Part Name],$A835,T_PlannedOrders[WeekIndex],101)&amp;" ("&amp;TEXT(SUMPRODUCT(MAX((T_PlannedOrders[Part Name]=$A835)*(T_PlannedOrders[WeekIndex]=101)*(T_PlannedOrders[EffectiveQty]&gt;0)*T_PlannedOrders[Order_Month])),"m月")&amp;"発注)")</f>
        <v/>
      </c>
      <c r="DA845">
        <f>IF(SUMIFS(T_PlannedOrders[EffectiveQty],T_PlannedOrders[Part Name],$A835,T_PlannedOrders[WeekIndex],102)=0,"",SUMIFS(T_PlannedOrders[EffectiveQty],T_PlannedOrders[Part Name],$A835,T_PlannedOrders[WeekIndex],102)&amp;" ("&amp;TEXT(SUMPRODUCT(MAX((T_PlannedOrders[Part Name]=$A835)*(T_PlannedOrders[WeekIndex]=102)*(T_PlannedOrders[EffectiveQty]&gt;0)*T_PlannedOrders[Order_Month])),"m月")&amp;"発注)")</f>
        <v/>
      </c>
      <c r="DB845">
        <f>IF(SUMIFS(T_PlannedOrders[EffectiveQty],T_PlannedOrders[Part Name],$A835,T_PlannedOrders[WeekIndex],103)=0,"",SUMIFS(T_PlannedOrders[EffectiveQty],T_PlannedOrders[Part Name],$A835,T_PlannedOrders[WeekIndex],103)&amp;" ("&amp;TEXT(SUMPRODUCT(MAX((T_PlannedOrders[Part Name]=$A835)*(T_PlannedOrders[WeekIndex]=103)*(T_PlannedOrders[EffectiveQty]&gt;0)*T_PlannedOrders[Order_Month])),"m月")&amp;"発注)")</f>
        <v/>
      </c>
      <c r="DC845">
        <f>IF(SUMIFS(T_PlannedOrders[EffectiveQty],T_PlannedOrders[Part Name],$A835,T_PlannedOrders[WeekIndex],104)=0,"",SUMIFS(T_PlannedOrders[EffectiveQty],T_PlannedOrders[Part Name],$A835,T_PlannedOrders[WeekIndex],104)&amp;" ("&amp;TEXT(SUMPRODUCT(MAX((T_PlannedOrders[Part Name]=$A835)*(T_PlannedOrders[WeekIndex]=104)*(T_PlannedOrders[EffectiveQty]&gt;0)*T_PlannedOrders[Order_Month])),"m月")&amp;"発注)")</f>
        <v/>
      </c>
    </row>
    <row r="846">
      <c r="B846" s="4" t="inlineStr">
        <is>
          <t>合計在庫(週末時点,kg)</t>
        </is>
      </c>
      <c r="D846">
        <f>'Grid_Stock'!B8</f>
        <v/>
      </c>
      <c r="E846">
        <f>'Grid_Stock'!C8</f>
        <v/>
      </c>
      <c r="F846">
        <f>'Grid_Stock'!D8</f>
        <v/>
      </c>
      <c r="G846">
        <f>'Grid_Stock'!E8</f>
        <v/>
      </c>
      <c r="H846">
        <f>'Grid_Stock'!F8</f>
        <v/>
      </c>
      <c r="I846">
        <f>'Grid_Stock'!G8</f>
        <v/>
      </c>
      <c r="J846">
        <f>'Grid_Stock'!H8</f>
        <v/>
      </c>
      <c r="K846">
        <f>'Grid_Stock'!I8</f>
        <v/>
      </c>
      <c r="L846">
        <f>'Grid_Stock'!J8</f>
        <v/>
      </c>
      <c r="M846">
        <f>'Grid_Stock'!K8</f>
        <v/>
      </c>
      <c r="N846">
        <f>'Grid_Stock'!L8</f>
        <v/>
      </c>
      <c r="O846">
        <f>'Grid_Stock'!M8</f>
        <v/>
      </c>
      <c r="P846">
        <f>'Grid_Stock'!N8</f>
        <v/>
      </c>
      <c r="Q846">
        <f>'Grid_Stock'!O8</f>
        <v/>
      </c>
      <c r="R846">
        <f>'Grid_Stock'!P8</f>
        <v/>
      </c>
      <c r="S846">
        <f>'Grid_Stock'!Q8</f>
        <v/>
      </c>
      <c r="T846">
        <f>'Grid_Stock'!R8</f>
        <v/>
      </c>
      <c r="U846">
        <f>'Grid_Stock'!S8</f>
        <v/>
      </c>
      <c r="V846">
        <f>'Grid_Stock'!T8</f>
        <v/>
      </c>
      <c r="W846">
        <f>'Grid_Stock'!U8</f>
        <v/>
      </c>
      <c r="X846">
        <f>'Grid_Stock'!V8</f>
        <v/>
      </c>
      <c r="Y846">
        <f>'Grid_Stock'!W8</f>
        <v/>
      </c>
      <c r="Z846">
        <f>'Grid_Stock'!X8</f>
        <v/>
      </c>
      <c r="AA846">
        <f>'Grid_Stock'!Y8</f>
        <v/>
      </c>
      <c r="AB846">
        <f>'Grid_Stock'!Z8</f>
        <v/>
      </c>
      <c r="AC846">
        <f>'Grid_Stock'!AA8</f>
        <v/>
      </c>
      <c r="AD846">
        <f>'Grid_Stock'!AB8</f>
        <v/>
      </c>
      <c r="AE846">
        <f>'Grid_Stock'!AC8</f>
        <v/>
      </c>
      <c r="AF846">
        <f>'Grid_Stock'!AD8</f>
        <v/>
      </c>
      <c r="AG846">
        <f>'Grid_Stock'!AE8</f>
        <v/>
      </c>
      <c r="AH846">
        <f>'Grid_Stock'!AF8</f>
        <v/>
      </c>
      <c r="AI846">
        <f>'Grid_Stock'!AG8</f>
        <v/>
      </c>
      <c r="AJ846">
        <f>'Grid_Stock'!AH8</f>
        <v/>
      </c>
      <c r="AK846">
        <f>'Grid_Stock'!AI8</f>
        <v/>
      </c>
      <c r="AL846">
        <f>'Grid_Stock'!AJ8</f>
        <v/>
      </c>
      <c r="AM846">
        <f>'Grid_Stock'!AK8</f>
        <v/>
      </c>
      <c r="AN846">
        <f>'Grid_Stock'!AL8</f>
        <v/>
      </c>
      <c r="AO846">
        <f>'Grid_Stock'!AM8</f>
        <v/>
      </c>
      <c r="AP846">
        <f>'Grid_Stock'!AN8</f>
        <v/>
      </c>
      <c r="AQ846">
        <f>'Grid_Stock'!AO8</f>
        <v/>
      </c>
      <c r="AR846">
        <f>'Grid_Stock'!AP8</f>
        <v/>
      </c>
      <c r="AS846">
        <f>'Grid_Stock'!AQ8</f>
        <v/>
      </c>
      <c r="AT846">
        <f>'Grid_Stock'!AR8</f>
        <v/>
      </c>
      <c r="AU846">
        <f>'Grid_Stock'!AS8</f>
        <v/>
      </c>
      <c r="AV846">
        <f>'Grid_Stock'!AT8</f>
        <v/>
      </c>
      <c r="AW846">
        <f>'Grid_Stock'!AU8</f>
        <v/>
      </c>
      <c r="AX846">
        <f>'Grid_Stock'!AV8</f>
        <v/>
      </c>
      <c r="AY846">
        <f>'Grid_Stock'!AW8</f>
        <v/>
      </c>
      <c r="AZ846">
        <f>'Grid_Stock'!AX8</f>
        <v/>
      </c>
      <c r="BA846">
        <f>'Grid_Stock'!AY8</f>
        <v/>
      </c>
      <c r="BB846">
        <f>'Grid_Stock'!AZ8</f>
        <v/>
      </c>
      <c r="BC846">
        <f>'Grid_Stock'!BA8</f>
        <v/>
      </c>
      <c r="BD846">
        <f>'Grid_Stock'!BB8</f>
        <v/>
      </c>
      <c r="BE846">
        <f>'Grid_Stock'!BC8</f>
        <v/>
      </c>
      <c r="BF846">
        <f>'Grid_Stock'!BD8</f>
        <v/>
      </c>
      <c r="BG846">
        <f>'Grid_Stock'!BE8</f>
        <v/>
      </c>
      <c r="BH846">
        <f>'Grid_Stock'!BF8</f>
        <v/>
      </c>
      <c r="BI846">
        <f>'Grid_Stock'!BG8</f>
        <v/>
      </c>
      <c r="BJ846">
        <f>'Grid_Stock'!BH8</f>
        <v/>
      </c>
      <c r="BK846">
        <f>'Grid_Stock'!BI8</f>
        <v/>
      </c>
      <c r="BL846">
        <f>'Grid_Stock'!BJ8</f>
        <v/>
      </c>
      <c r="BM846">
        <f>'Grid_Stock'!BK8</f>
        <v/>
      </c>
      <c r="BN846">
        <f>'Grid_Stock'!BL8</f>
        <v/>
      </c>
      <c r="BO846">
        <f>'Grid_Stock'!BM8</f>
        <v/>
      </c>
      <c r="BP846">
        <f>'Grid_Stock'!BN8</f>
        <v/>
      </c>
      <c r="BQ846">
        <f>'Grid_Stock'!BO8</f>
        <v/>
      </c>
      <c r="BR846">
        <f>'Grid_Stock'!BP8</f>
        <v/>
      </c>
      <c r="BS846">
        <f>'Grid_Stock'!BQ8</f>
        <v/>
      </c>
      <c r="BT846">
        <f>'Grid_Stock'!BR8</f>
        <v/>
      </c>
      <c r="BU846">
        <f>'Grid_Stock'!BS8</f>
        <v/>
      </c>
      <c r="BV846">
        <f>'Grid_Stock'!BT8</f>
        <v/>
      </c>
      <c r="BW846">
        <f>'Grid_Stock'!BU8</f>
        <v/>
      </c>
      <c r="BX846">
        <f>'Grid_Stock'!BV8</f>
        <v/>
      </c>
      <c r="BY846">
        <f>'Grid_Stock'!BW8</f>
        <v/>
      </c>
      <c r="BZ846">
        <f>'Grid_Stock'!BX8</f>
        <v/>
      </c>
      <c r="CA846">
        <f>'Grid_Stock'!BY8</f>
        <v/>
      </c>
      <c r="CB846">
        <f>'Grid_Stock'!BZ8</f>
        <v/>
      </c>
      <c r="CC846">
        <f>'Grid_Stock'!CA8</f>
        <v/>
      </c>
      <c r="CD846">
        <f>'Grid_Stock'!CB8</f>
        <v/>
      </c>
      <c r="CE846">
        <f>'Grid_Stock'!CC8</f>
        <v/>
      </c>
      <c r="CF846">
        <f>'Grid_Stock'!CD8</f>
        <v/>
      </c>
      <c r="CG846">
        <f>'Grid_Stock'!CE8</f>
        <v/>
      </c>
      <c r="CH846">
        <f>'Grid_Stock'!CF8</f>
        <v/>
      </c>
      <c r="CI846">
        <f>'Grid_Stock'!CG8</f>
        <v/>
      </c>
      <c r="CJ846">
        <f>'Grid_Stock'!CH8</f>
        <v/>
      </c>
      <c r="CK846">
        <f>'Grid_Stock'!CI8</f>
        <v/>
      </c>
      <c r="CL846">
        <f>'Grid_Stock'!CJ8</f>
        <v/>
      </c>
      <c r="CM846">
        <f>'Grid_Stock'!CK8</f>
        <v/>
      </c>
      <c r="CN846">
        <f>'Grid_Stock'!CL8</f>
        <v/>
      </c>
      <c r="CO846">
        <f>'Grid_Stock'!CM8</f>
        <v/>
      </c>
      <c r="CP846">
        <f>'Grid_Stock'!CN8</f>
        <v/>
      </c>
      <c r="CQ846">
        <f>'Grid_Stock'!CO8</f>
        <v/>
      </c>
      <c r="CR846">
        <f>'Grid_Stock'!CP8</f>
        <v/>
      </c>
      <c r="CS846">
        <f>'Grid_Stock'!CQ8</f>
        <v/>
      </c>
      <c r="CT846">
        <f>'Grid_Stock'!CR8</f>
        <v/>
      </c>
      <c r="CU846">
        <f>'Grid_Stock'!CS8</f>
        <v/>
      </c>
      <c r="CV846">
        <f>'Grid_Stock'!CT8</f>
        <v/>
      </c>
      <c r="CW846">
        <f>'Grid_Stock'!CU8</f>
        <v/>
      </c>
      <c r="CX846">
        <f>'Grid_Stock'!CV8</f>
        <v/>
      </c>
      <c r="CY846">
        <f>'Grid_Stock'!CW8</f>
        <v/>
      </c>
      <c r="CZ846">
        <f>'Grid_Stock'!CX8</f>
        <v/>
      </c>
      <c r="DA846">
        <f>'Grid_Stock'!CY8</f>
        <v/>
      </c>
      <c r="DB846">
        <f>'Grid_Stock'!CZ8</f>
        <v/>
      </c>
      <c r="DC846">
        <f>'Grid_Stock'!DA8</f>
        <v/>
      </c>
    </row>
    <row r="847">
      <c r="B847" s="16" t="inlineStr">
        <is>
          <t>（発注の目安はDashboardの基準在庫[下限/上限]と色分けを参照）</t>
        </is>
      </c>
    </row>
    <row r="849">
      <c r="A849" s="14" t="inlineStr">
        <is>
          <t>CHEM-1540</t>
        </is>
      </c>
      <c r="B849" s="14" t="inlineStr">
        <is>
          <t>NAT35</t>
        </is>
      </c>
      <c r="C849" s="15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  <c r="AA849" s="14" t="n"/>
      <c r="AB849" s="14" t="n"/>
      <c r="AC849" s="14" t="n"/>
      <c r="AD849" s="14" t="n"/>
      <c r="AE849" s="14" t="n"/>
      <c r="AF849" s="14" t="n"/>
      <c r="AG849" s="14" t="n"/>
      <c r="AH849" s="14" t="n"/>
      <c r="AI849" s="14" t="n"/>
      <c r="AJ849" s="14" t="n"/>
      <c r="AK849" s="14" t="n"/>
      <c r="AL849" s="14" t="n"/>
      <c r="AM849" s="14" t="n"/>
      <c r="AN849" s="14" t="n"/>
      <c r="AO849" s="14" t="n"/>
      <c r="AP849" s="14" t="n"/>
      <c r="AQ849" s="14" t="n"/>
      <c r="AR849" s="14" t="n"/>
      <c r="AS849" s="14" t="n"/>
      <c r="AT849" s="14" t="n"/>
      <c r="AU849" s="14" t="n"/>
      <c r="AV849" s="14" t="n"/>
      <c r="AW849" s="14" t="n"/>
      <c r="AX849" s="14" t="n"/>
      <c r="AY849" s="14" t="n"/>
      <c r="AZ849" s="14" t="n"/>
      <c r="BA849" s="14" t="n"/>
      <c r="BB849" s="14" t="n"/>
      <c r="BC849" s="14" t="n"/>
      <c r="BD849" s="14" t="n"/>
      <c r="BE849" s="14" t="n"/>
      <c r="BF849" s="14" t="n"/>
      <c r="BG849" s="14" t="n"/>
      <c r="BH849" s="14" t="n"/>
      <c r="BI849" s="14" t="n"/>
      <c r="BJ849" s="14" t="n"/>
      <c r="BK849" s="14" t="n"/>
      <c r="BL849" s="14" t="n"/>
      <c r="BM849" s="14" t="n"/>
      <c r="BN849" s="14" t="n"/>
      <c r="BO849" s="14" t="n"/>
      <c r="BP849" s="14" t="n"/>
      <c r="BQ849" s="14" t="n"/>
      <c r="BR849" s="14" t="n"/>
      <c r="BS849" s="14" t="n"/>
      <c r="BT849" s="14" t="n"/>
      <c r="BU849" s="14" t="n"/>
      <c r="BV849" s="14" t="n"/>
      <c r="BW849" s="14" t="n"/>
      <c r="BX849" s="14" t="n"/>
      <c r="BY849" s="14" t="n"/>
      <c r="BZ849" s="14" t="n"/>
      <c r="CA849" s="14" t="n"/>
      <c r="CB849" s="14" t="n"/>
      <c r="CC849" s="14" t="n"/>
      <c r="CD849" s="14" t="n"/>
      <c r="CE849" s="14" t="n"/>
      <c r="CF849" s="14" t="n"/>
      <c r="CG849" s="14" t="n"/>
      <c r="CH849" s="14" t="n"/>
      <c r="CI849" s="14" t="n"/>
      <c r="CJ849" s="14" t="n"/>
      <c r="CK849" s="14" t="n"/>
      <c r="CL849" s="14" t="n"/>
      <c r="CM849" s="14" t="n"/>
      <c r="CN849" s="14" t="n"/>
      <c r="CO849" s="14" t="n"/>
      <c r="CP849" s="14" t="n"/>
      <c r="CQ849" s="14" t="n"/>
      <c r="CR849" s="14" t="n"/>
      <c r="CS849" s="14" t="n"/>
      <c r="CT849" s="14" t="n"/>
      <c r="CU849" s="14" t="n"/>
      <c r="CV849" s="14" t="n"/>
      <c r="CW849" s="14" t="n"/>
      <c r="CX849" s="14" t="n"/>
      <c r="CY849" s="14" t="n"/>
      <c r="CZ849" s="14" t="n"/>
      <c r="DA849" s="14" t="n"/>
      <c r="DB849" s="14" t="n"/>
      <c r="DC849" s="14" t="n"/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Name],$A849)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Name],$A849)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Name],$A849)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Name],$A849)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Name],$A849)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Name],$A849)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Name],$A849)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Name],$A849)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Name],$A849)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Name],$A849)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TSP-1444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Name],$A849)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t="inlineStr">
        <is>
          <t>TSP-1448</t>
        </is>
      </c>
      <c r="C872" t="inlineStr">
        <is>
          <t>No. of batches</t>
        </is>
      </c>
      <c r="D872">
        <f>IFERROR(INDEX(PP_Grid[#Data],$DD872,2),0)</f>
        <v/>
      </c>
      <c r="E872">
        <f>IFERROR(INDEX(PP_Grid[#Data],$DD872,3),0)</f>
        <v/>
      </c>
      <c r="F872">
        <f>IFERROR(INDEX(PP_Grid[#Data],$DD872,4),0)</f>
        <v/>
      </c>
      <c r="G872">
        <f>IFERROR(INDEX(PP_Grid[#Data],$DD872,5),0)</f>
        <v/>
      </c>
      <c r="H872">
        <f>IFERROR(INDEX(PP_Grid[#Data],$DD872,6),0)</f>
        <v/>
      </c>
      <c r="I872">
        <f>IFERROR(INDEX(PP_Grid[#Data],$DD872,7),0)</f>
        <v/>
      </c>
      <c r="J872">
        <f>IFERROR(INDEX(PP_Grid[#Data],$DD872,8),0)</f>
        <v/>
      </c>
      <c r="K872">
        <f>IFERROR(INDEX(PP_Grid[#Data],$DD872,9),0)</f>
        <v/>
      </c>
      <c r="L872">
        <f>IFERROR(INDEX(PP_Grid[#Data],$DD872,10),0)</f>
        <v/>
      </c>
      <c r="M872">
        <f>IFERROR(INDEX(PP_Grid[#Data],$DD872,11),0)</f>
        <v/>
      </c>
      <c r="N872">
        <f>IFERROR(INDEX(PP_Grid[#Data],$DD872,12),0)</f>
        <v/>
      </c>
      <c r="O872">
        <f>IFERROR(INDEX(PP_Grid[#Data],$DD872,13),0)</f>
        <v/>
      </c>
      <c r="P872">
        <f>IFERROR(INDEX(PP_Grid[#Data],$DD872,14),0)</f>
        <v/>
      </c>
      <c r="Q872">
        <f>IFERROR(INDEX(PP_Grid[#Data],$DD872,15),0)</f>
        <v/>
      </c>
      <c r="R872">
        <f>IFERROR(INDEX(PP_Grid[#Data],$DD872,16),0)</f>
        <v/>
      </c>
      <c r="S872">
        <f>IFERROR(INDEX(PP_Grid[#Data],$DD872,17),0)</f>
        <v/>
      </c>
      <c r="T872">
        <f>IFERROR(INDEX(PP_Grid[#Data],$DD872,18),0)</f>
        <v/>
      </c>
      <c r="U872">
        <f>IFERROR(INDEX(PP_Grid[#Data],$DD872,19),0)</f>
        <v/>
      </c>
      <c r="V872">
        <f>IFERROR(INDEX(PP_Grid[#Data],$DD872,20),0)</f>
        <v/>
      </c>
      <c r="W872">
        <f>IFERROR(INDEX(PP_Grid[#Data],$DD872,21),0)</f>
        <v/>
      </c>
      <c r="X872">
        <f>IFERROR(INDEX(PP_Grid[#Data],$DD872,22),0)</f>
        <v/>
      </c>
      <c r="Y872">
        <f>IFERROR(INDEX(PP_Grid[#Data],$DD872,23),0)</f>
        <v/>
      </c>
      <c r="Z872">
        <f>IFERROR(INDEX(PP_Grid[#Data],$DD872,24),0)</f>
        <v/>
      </c>
      <c r="AA872">
        <f>IFERROR(INDEX(PP_Grid[#Data],$DD872,25),0)</f>
        <v/>
      </c>
      <c r="AB872">
        <f>IFERROR(INDEX(PP_Grid[#Data],$DD872,26),0)</f>
        <v/>
      </c>
      <c r="AC872">
        <f>IFERROR(INDEX(PP_Grid[#Data],$DD872,27),0)</f>
        <v/>
      </c>
      <c r="AD872">
        <f>IFERROR(INDEX(PP_Grid[#Data],$DD872,28),0)</f>
        <v/>
      </c>
      <c r="AE872">
        <f>IFERROR(INDEX(PP_Grid[#Data],$DD872,29),0)</f>
        <v/>
      </c>
      <c r="AF872">
        <f>IFERROR(INDEX(PP_Grid[#Data],$DD872,30),0)</f>
        <v/>
      </c>
      <c r="AG872">
        <f>IFERROR(INDEX(PP_Grid[#Data],$DD872,31),0)</f>
        <v/>
      </c>
      <c r="AH872">
        <f>IFERROR(INDEX(PP_Grid[#Data],$DD872,32),0)</f>
        <v/>
      </c>
      <c r="AI872">
        <f>IFERROR(INDEX(PP_Grid[#Data],$DD872,33),0)</f>
        <v/>
      </c>
      <c r="AJ872">
        <f>IFERROR(INDEX(PP_Grid[#Data],$DD872,34),0)</f>
        <v/>
      </c>
      <c r="AK872">
        <f>IFERROR(INDEX(PP_Grid[#Data],$DD872,35),0)</f>
        <v/>
      </c>
      <c r="AL872">
        <f>IFERROR(INDEX(PP_Grid[#Data],$DD872,36),0)</f>
        <v/>
      </c>
      <c r="AM872">
        <f>IFERROR(INDEX(PP_Grid[#Data],$DD872,37),0)</f>
        <v/>
      </c>
      <c r="AN872">
        <f>IFERROR(INDEX(PP_Grid[#Data],$DD872,38),0)</f>
        <v/>
      </c>
      <c r="AO872">
        <f>IFERROR(INDEX(PP_Grid[#Data],$DD872,39),0)</f>
        <v/>
      </c>
      <c r="AP872">
        <f>IFERROR(INDEX(PP_Grid[#Data],$DD872,40),0)</f>
        <v/>
      </c>
      <c r="AQ872">
        <f>IFERROR(INDEX(PP_Grid[#Data],$DD872,41),0)</f>
        <v/>
      </c>
      <c r="AR872">
        <f>IFERROR(INDEX(PP_Grid[#Data],$DD872,42),0)</f>
        <v/>
      </c>
      <c r="AS872">
        <f>IFERROR(INDEX(PP_Grid[#Data],$DD872,43),0)</f>
        <v/>
      </c>
      <c r="AT872">
        <f>IFERROR(INDEX(PP_Grid[#Data],$DD872,44),0)</f>
        <v/>
      </c>
      <c r="AU872">
        <f>IFERROR(INDEX(PP_Grid[#Data],$DD872,45),0)</f>
        <v/>
      </c>
      <c r="AV872">
        <f>IFERROR(INDEX(PP_Grid[#Data],$DD872,46),0)</f>
        <v/>
      </c>
      <c r="AW872">
        <f>IFERROR(INDEX(PP_Grid[#Data],$DD872,47),0)</f>
        <v/>
      </c>
      <c r="AX872">
        <f>IFERROR(INDEX(PP_Grid[#Data],$DD872,48),0)</f>
        <v/>
      </c>
      <c r="AY872">
        <f>IFERROR(INDEX(PP_Grid[#Data],$DD872,49),0)</f>
        <v/>
      </c>
      <c r="AZ872">
        <f>IFERROR(INDEX(PP_Grid[#Data],$DD872,50),0)</f>
        <v/>
      </c>
      <c r="BA872">
        <f>IFERROR(INDEX(PP_Grid[#Data],$DD872,51),0)</f>
        <v/>
      </c>
      <c r="BB872">
        <f>IFERROR(INDEX(PP_Grid[#Data],$DD872,52),0)</f>
        <v/>
      </c>
      <c r="BC872">
        <f>IFERROR(INDEX(PP_Grid[#Data],$DD872,53),0)</f>
        <v/>
      </c>
      <c r="BD872">
        <f>IFERROR(INDEX(PP_Grid[#Data],$DD872,54),0)</f>
        <v/>
      </c>
      <c r="BE872">
        <f>IFERROR(INDEX(PP_Grid[#Data],$DD872,55),0)</f>
        <v/>
      </c>
      <c r="BF872">
        <f>IFERROR(INDEX(PP_Grid[#Data],$DD872,56),0)</f>
        <v/>
      </c>
      <c r="BG872">
        <f>IFERROR(INDEX(PP_Grid[#Data],$DD872,57),0)</f>
        <v/>
      </c>
      <c r="BH872">
        <f>IFERROR(INDEX(PP_Grid[#Data],$DD872,58),0)</f>
        <v/>
      </c>
      <c r="BI872">
        <f>IFERROR(INDEX(PP_Grid[#Data],$DD872,59),0)</f>
        <v/>
      </c>
      <c r="BJ872">
        <f>IFERROR(INDEX(PP_Grid[#Data],$DD872,60),0)</f>
        <v/>
      </c>
      <c r="BK872">
        <f>IFERROR(INDEX(PP_Grid[#Data],$DD872,61),0)</f>
        <v/>
      </c>
      <c r="BL872">
        <f>IFERROR(INDEX(PP_Grid[#Data],$DD872,62),0)</f>
        <v/>
      </c>
      <c r="BM872">
        <f>IFERROR(INDEX(PP_Grid[#Data],$DD872,63),0)</f>
        <v/>
      </c>
      <c r="BN872">
        <f>IFERROR(INDEX(PP_Grid[#Data],$DD872,64),0)</f>
        <v/>
      </c>
      <c r="BO872">
        <f>IFERROR(INDEX(PP_Grid[#Data],$DD872,65),0)</f>
        <v/>
      </c>
      <c r="BP872">
        <f>IFERROR(INDEX(PP_Grid[#Data],$DD872,66),0)</f>
        <v/>
      </c>
      <c r="BQ872">
        <f>IFERROR(INDEX(PP_Grid[#Data],$DD872,67),0)</f>
        <v/>
      </c>
      <c r="BR872">
        <f>IFERROR(INDEX(PP_Grid[#Data],$DD872,68),0)</f>
        <v/>
      </c>
      <c r="BS872">
        <f>IFERROR(INDEX(PP_Grid[#Data],$DD872,69),0)</f>
        <v/>
      </c>
      <c r="BT872">
        <f>IFERROR(INDEX(PP_Grid[#Data],$DD872,70),0)</f>
        <v/>
      </c>
      <c r="BU872">
        <f>IFERROR(INDEX(PP_Grid[#Data],$DD872,71),0)</f>
        <v/>
      </c>
      <c r="BV872">
        <f>IFERROR(INDEX(PP_Grid[#Data],$DD872,72),0)</f>
        <v/>
      </c>
      <c r="BW872">
        <f>IFERROR(INDEX(PP_Grid[#Data],$DD872,73),0)</f>
        <v/>
      </c>
      <c r="BX872">
        <f>IFERROR(INDEX(PP_Grid[#Data],$DD872,74),0)</f>
        <v/>
      </c>
      <c r="BY872">
        <f>IFERROR(INDEX(PP_Grid[#Data],$DD872,75),0)</f>
        <v/>
      </c>
      <c r="BZ872">
        <f>IFERROR(INDEX(PP_Grid[#Data],$DD872,76),0)</f>
        <v/>
      </c>
      <c r="CA872">
        <f>IFERROR(INDEX(PP_Grid[#Data],$DD872,77),0)</f>
        <v/>
      </c>
      <c r="CB872">
        <f>IFERROR(INDEX(PP_Grid[#Data],$DD872,78),0)</f>
        <v/>
      </c>
      <c r="CC872">
        <f>IFERROR(INDEX(PP_Grid[#Data],$DD872,79),0)</f>
        <v/>
      </c>
      <c r="CD872">
        <f>IFERROR(INDEX(PP_Grid[#Data],$DD872,80),0)</f>
        <v/>
      </c>
      <c r="CE872">
        <f>IFERROR(INDEX(PP_Grid[#Data],$DD872,81),0)</f>
        <v/>
      </c>
      <c r="CF872">
        <f>IFERROR(INDEX(PP_Grid[#Data],$DD872,82),0)</f>
        <v/>
      </c>
      <c r="CG872">
        <f>IFERROR(INDEX(PP_Grid[#Data],$DD872,83),0)</f>
        <v/>
      </c>
      <c r="CH872">
        <f>IFERROR(INDEX(PP_Grid[#Data],$DD872,84),0)</f>
        <v/>
      </c>
      <c r="CI872">
        <f>IFERROR(INDEX(PP_Grid[#Data],$DD872,85),0)</f>
        <v/>
      </c>
      <c r="CJ872">
        <f>IFERROR(INDEX(PP_Grid[#Data],$DD872,86),0)</f>
        <v/>
      </c>
      <c r="CK872">
        <f>IFERROR(INDEX(PP_Grid[#Data],$DD872,87),0)</f>
        <v/>
      </c>
      <c r="CL872">
        <f>IFERROR(INDEX(PP_Grid[#Data],$DD872,88),0)</f>
        <v/>
      </c>
      <c r="CM872">
        <f>IFERROR(INDEX(PP_Grid[#Data],$DD872,89),0)</f>
        <v/>
      </c>
      <c r="CN872">
        <f>IFERROR(INDEX(PP_Grid[#Data],$DD872,90),0)</f>
        <v/>
      </c>
      <c r="CO872">
        <f>IFERROR(INDEX(PP_Grid[#Data],$DD872,91),0)</f>
        <v/>
      </c>
      <c r="CP872">
        <f>IFERROR(INDEX(PP_Grid[#Data],$DD872,92),0)</f>
        <v/>
      </c>
      <c r="CQ872">
        <f>IFERROR(INDEX(PP_Grid[#Data],$DD872,93),0)</f>
        <v/>
      </c>
      <c r="CR872">
        <f>IFERROR(INDEX(PP_Grid[#Data],$DD872,94),0)</f>
        <v/>
      </c>
      <c r="CS872">
        <f>IFERROR(INDEX(PP_Grid[#Data],$DD872,95),0)</f>
        <v/>
      </c>
      <c r="CT872">
        <f>IFERROR(INDEX(PP_Grid[#Data],$DD872,96),0)</f>
        <v/>
      </c>
      <c r="CU872">
        <f>IFERROR(INDEX(PP_Grid[#Data],$DD872,97),0)</f>
        <v/>
      </c>
      <c r="CV872">
        <f>IFERROR(INDEX(PP_Grid[#Data],$DD872,98),0)</f>
        <v/>
      </c>
      <c r="CW872">
        <f>IFERROR(INDEX(PP_Grid[#Data],$DD872,99),0)</f>
        <v/>
      </c>
      <c r="CX872">
        <f>IFERROR(INDEX(PP_Grid[#Data],$DD872,100),0)</f>
        <v/>
      </c>
      <c r="CY872">
        <f>IFERROR(INDEX(PP_Grid[#Data],$DD872,101),0)</f>
        <v/>
      </c>
      <c r="CZ872">
        <f>IFERROR(INDEX(PP_Grid[#Data],$DD872,102),0)</f>
        <v/>
      </c>
      <c r="DA872">
        <f>IFERROR(INDEX(PP_Grid[#Data],$DD872,103),0)</f>
        <v/>
      </c>
      <c r="DB872">
        <f>IFERROR(INDEX(PP_Grid[#Data],$DD872,104),0)</f>
        <v/>
      </c>
      <c r="DC872">
        <f>IFERROR(INDEX(PP_Grid[#Data],$DD872,105),0)</f>
        <v/>
      </c>
      <c r="DD872" s="7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SUMIFS(M_BOM[RM_Qty_Per_Batch],M_BOM[Intermediate],$B872,M_BOM[Part Name],$A849)</f>
        <v/>
      </c>
      <c r="D873">
        <f>$C873*D872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</row>
    <row r="874">
      <c r="B874" t="inlineStr">
        <is>
          <t>TSP-1445</t>
        </is>
      </c>
      <c r="C874" t="inlineStr">
        <is>
          <t>No. of batches</t>
        </is>
      </c>
      <c r="D874">
        <f>IFERROR(INDEX(PP_Grid[#Data],$DD874,2),0)</f>
        <v/>
      </c>
      <c r="E874">
        <f>IFERROR(INDEX(PP_Grid[#Data],$DD874,3),0)</f>
        <v/>
      </c>
      <c r="F874">
        <f>IFERROR(INDEX(PP_Grid[#Data],$DD874,4),0)</f>
        <v/>
      </c>
      <c r="G874">
        <f>IFERROR(INDEX(PP_Grid[#Data],$DD874,5),0)</f>
        <v/>
      </c>
      <c r="H874">
        <f>IFERROR(INDEX(PP_Grid[#Data],$DD874,6),0)</f>
        <v/>
      </c>
      <c r="I874">
        <f>IFERROR(INDEX(PP_Grid[#Data],$DD874,7),0)</f>
        <v/>
      </c>
      <c r="J874">
        <f>IFERROR(INDEX(PP_Grid[#Data],$DD874,8),0)</f>
        <v/>
      </c>
      <c r="K874">
        <f>IFERROR(INDEX(PP_Grid[#Data],$DD874,9),0)</f>
        <v/>
      </c>
      <c r="L874">
        <f>IFERROR(INDEX(PP_Grid[#Data],$DD874,10),0)</f>
        <v/>
      </c>
      <c r="M874">
        <f>IFERROR(INDEX(PP_Grid[#Data],$DD874,11),0)</f>
        <v/>
      </c>
      <c r="N874">
        <f>IFERROR(INDEX(PP_Grid[#Data],$DD874,12),0)</f>
        <v/>
      </c>
      <c r="O874">
        <f>IFERROR(INDEX(PP_Grid[#Data],$DD874,13),0)</f>
        <v/>
      </c>
      <c r="P874">
        <f>IFERROR(INDEX(PP_Grid[#Data],$DD874,14),0)</f>
        <v/>
      </c>
      <c r="Q874">
        <f>IFERROR(INDEX(PP_Grid[#Data],$DD874,15),0)</f>
        <v/>
      </c>
      <c r="R874">
        <f>IFERROR(INDEX(PP_Grid[#Data],$DD874,16),0)</f>
        <v/>
      </c>
      <c r="S874">
        <f>IFERROR(INDEX(PP_Grid[#Data],$DD874,17),0)</f>
        <v/>
      </c>
      <c r="T874">
        <f>IFERROR(INDEX(PP_Grid[#Data],$DD874,18),0)</f>
        <v/>
      </c>
      <c r="U874">
        <f>IFERROR(INDEX(PP_Grid[#Data],$DD874,19),0)</f>
        <v/>
      </c>
      <c r="V874">
        <f>IFERROR(INDEX(PP_Grid[#Data],$DD874,20),0)</f>
        <v/>
      </c>
      <c r="W874">
        <f>IFERROR(INDEX(PP_Grid[#Data],$DD874,21),0)</f>
        <v/>
      </c>
      <c r="X874">
        <f>IFERROR(INDEX(PP_Grid[#Data],$DD874,22),0)</f>
        <v/>
      </c>
      <c r="Y874">
        <f>IFERROR(INDEX(PP_Grid[#Data],$DD874,23),0)</f>
        <v/>
      </c>
      <c r="Z874">
        <f>IFERROR(INDEX(PP_Grid[#Data],$DD874,24),0)</f>
        <v/>
      </c>
      <c r="AA874">
        <f>IFERROR(INDEX(PP_Grid[#Data],$DD874,25),0)</f>
        <v/>
      </c>
      <c r="AB874">
        <f>IFERROR(INDEX(PP_Grid[#Data],$DD874,26),0)</f>
        <v/>
      </c>
      <c r="AC874">
        <f>IFERROR(INDEX(PP_Grid[#Data],$DD874,27),0)</f>
        <v/>
      </c>
      <c r="AD874">
        <f>IFERROR(INDEX(PP_Grid[#Data],$DD874,28),0)</f>
        <v/>
      </c>
      <c r="AE874">
        <f>IFERROR(INDEX(PP_Grid[#Data],$DD874,29),0)</f>
        <v/>
      </c>
      <c r="AF874">
        <f>IFERROR(INDEX(PP_Grid[#Data],$DD874,30),0)</f>
        <v/>
      </c>
      <c r="AG874">
        <f>IFERROR(INDEX(PP_Grid[#Data],$DD874,31),0)</f>
        <v/>
      </c>
      <c r="AH874">
        <f>IFERROR(INDEX(PP_Grid[#Data],$DD874,32),0)</f>
        <v/>
      </c>
      <c r="AI874">
        <f>IFERROR(INDEX(PP_Grid[#Data],$DD874,33),0)</f>
        <v/>
      </c>
      <c r="AJ874">
        <f>IFERROR(INDEX(PP_Grid[#Data],$DD874,34),0)</f>
        <v/>
      </c>
      <c r="AK874">
        <f>IFERROR(INDEX(PP_Grid[#Data],$DD874,35),0)</f>
        <v/>
      </c>
      <c r="AL874">
        <f>IFERROR(INDEX(PP_Grid[#Data],$DD874,36),0)</f>
        <v/>
      </c>
      <c r="AM874">
        <f>IFERROR(INDEX(PP_Grid[#Data],$DD874,37),0)</f>
        <v/>
      </c>
      <c r="AN874">
        <f>IFERROR(INDEX(PP_Grid[#Data],$DD874,38),0)</f>
        <v/>
      </c>
      <c r="AO874">
        <f>IFERROR(INDEX(PP_Grid[#Data],$DD874,39),0)</f>
        <v/>
      </c>
      <c r="AP874">
        <f>IFERROR(INDEX(PP_Grid[#Data],$DD874,40),0)</f>
        <v/>
      </c>
      <c r="AQ874">
        <f>IFERROR(INDEX(PP_Grid[#Data],$DD874,41),0)</f>
        <v/>
      </c>
      <c r="AR874">
        <f>IFERROR(INDEX(PP_Grid[#Data],$DD874,42),0)</f>
        <v/>
      </c>
      <c r="AS874">
        <f>IFERROR(INDEX(PP_Grid[#Data],$DD874,43),0)</f>
        <v/>
      </c>
      <c r="AT874">
        <f>IFERROR(INDEX(PP_Grid[#Data],$DD874,44),0)</f>
        <v/>
      </c>
      <c r="AU874">
        <f>IFERROR(INDEX(PP_Grid[#Data],$DD874,45),0)</f>
        <v/>
      </c>
      <c r="AV874">
        <f>IFERROR(INDEX(PP_Grid[#Data],$DD874,46),0)</f>
        <v/>
      </c>
      <c r="AW874">
        <f>IFERROR(INDEX(PP_Grid[#Data],$DD874,47),0)</f>
        <v/>
      </c>
      <c r="AX874">
        <f>IFERROR(INDEX(PP_Grid[#Data],$DD874,48),0)</f>
        <v/>
      </c>
      <c r="AY874">
        <f>IFERROR(INDEX(PP_Grid[#Data],$DD874,49),0)</f>
        <v/>
      </c>
      <c r="AZ874">
        <f>IFERROR(INDEX(PP_Grid[#Data],$DD874,50),0)</f>
        <v/>
      </c>
      <c r="BA874">
        <f>IFERROR(INDEX(PP_Grid[#Data],$DD874,51),0)</f>
        <v/>
      </c>
      <c r="BB874">
        <f>IFERROR(INDEX(PP_Grid[#Data],$DD874,52),0)</f>
        <v/>
      </c>
      <c r="BC874">
        <f>IFERROR(INDEX(PP_Grid[#Data],$DD874,53),0)</f>
        <v/>
      </c>
      <c r="BD874">
        <f>IFERROR(INDEX(PP_Grid[#Data],$DD874,54),0)</f>
        <v/>
      </c>
      <c r="BE874">
        <f>IFERROR(INDEX(PP_Grid[#Data],$DD874,55),0)</f>
        <v/>
      </c>
      <c r="BF874">
        <f>IFERROR(INDEX(PP_Grid[#Data],$DD874,56),0)</f>
        <v/>
      </c>
      <c r="BG874">
        <f>IFERROR(INDEX(PP_Grid[#Data],$DD874,57),0)</f>
        <v/>
      </c>
      <c r="BH874">
        <f>IFERROR(INDEX(PP_Grid[#Data],$DD874,58),0)</f>
        <v/>
      </c>
      <c r="BI874">
        <f>IFERROR(INDEX(PP_Grid[#Data],$DD874,59),0)</f>
        <v/>
      </c>
      <c r="BJ874">
        <f>IFERROR(INDEX(PP_Grid[#Data],$DD874,60),0)</f>
        <v/>
      </c>
      <c r="BK874">
        <f>IFERROR(INDEX(PP_Grid[#Data],$DD874,61),0)</f>
        <v/>
      </c>
      <c r="BL874">
        <f>IFERROR(INDEX(PP_Grid[#Data],$DD874,62),0)</f>
        <v/>
      </c>
      <c r="BM874">
        <f>IFERROR(INDEX(PP_Grid[#Data],$DD874,63),0)</f>
        <v/>
      </c>
      <c r="BN874">
        <f>IFERROR(INDEX(PP_Grid[#Data],$DD874,64),0)</f>
        <v/>
      </c>
      <c r="BO874">
        <f>IFERROR(INDEX(PP_Grid[#Data],$DD874,65),0)</f>
        <v/>
      </c>
      <c r="BP874">
        <f>IFERROR(INDEX(PP_Grid[#Data],$DD874,66),0)</f>
        <v/>
      </c>
      <c r="BQ874">
        <f>IFERROR(INDEX(PP_Grid[#Data],$DD874,67),0)</f>
        <v/>
      </c>
      <c r="BR874">
        <f>IFERROR(INDEX(PP_Grid[#Data],$DD874,68),0)</f>
        <v/>
      </c>
      <c r="BS874">
        <f>IFERROR(INDEX(PP_Grid[#Data],$DD874,69),0)</f>
        <v/>
      </c>
      <c r="BT874">
        <f>IFERROR(INDEX(PP_Grid[#Data],$DD874,70),0)</f>
        <v/>
      </c>
      <c r="BU874">
        <f>IFERROR(INDEX(PP_Grid[#Data],$DD874,71),0)</f>
        <v/>
      </c>
      <c r="BV874">
        <f>IFERROR(INDEX(PP_Grid[#Data],$DD874,72),0)</f>
        <v/>
      </c>
      <c r="BW874">
        <f>IFERROR(INDEX(PP_Grid[#Data],$DD874,73),0)</f>
        <v/>
      </c>
      <c r="BX874">
        <f>IFERROR(INDEX(PP_Grid[#Data],$DD874,74),0)</f>
        <v/>
      </c>
      <c r="BY874">
        <f>IFERROR(INDEX(PP_Grid[#Data],$DD874,75),0)</f>
        <v/>
      </c>
      <c r="BZ874">
        <f>IFERROR(INDEX(PP_Grid[#Data],$DD874,76),0)</f>
        <v/>
      </c>
      <c r="CA874">
        <f>IFERROR(INDEX(PP_Grid[#Data],$DD874,77),0)</f>
        <v/>
      </c>
      <c r="CB874">
        <f>IFERROR(INDEX(PP_Grid[#Data],$DD874,78),0)</f>
        <v/>
      </c>
      <c r="CC874">
        <f>IFERROR(INDEX(PP_Grid[#Data],$DD874,79),0)</f>
        <v/>
      </c>
      <c r="CD874">
        <f>IFERROR(INDEX(PP_Grid[#Data],$DD874,80),0)</f>
        <v/>
      </c>
      <c r="CE874">
        <f>IFERROR(INDEX(PP_Grid[#Data],$DD874,81),0)</f>
        <v/>
      </c>
      <c r="CF874">
        <f>IFERROR(INDEX(PP_Grid[#Data],$DD874,82),0)</f>
        <v/>
      </c>
      <c r="CG874">
        <f>IFERROR(INDEX(PP_Grid[#Data],$DD874,83),0)</f>
        <v/>
      </c>
      <c r="CH874">
        <f>IFERROR(INDEX(PP_Grid[#Data],$DD874,84),0)</f>
        <v/>
      </c>
      <c r="CI874">
        <f>IFERROR(INDEX(PP_Grid[#Data],$DD874,85),0)</f>
        <v/>
      </c>
      <c r="CJ874">
        <f>IFERROR(INDEX(PP_Grid[#Data],$DD874,86),0)</f>
        <v/>
      </c>
      <c r="CK874">
        <f>IFERROR(INDEX(PP_Grid[#Data],$DD874,87),0)</f>
        <v/>
      </c>
      <c r="CL874">
        <f>IFERROR(INDEX(PP_Grid[#Data],$DD874,88),0)</f>
        <v/>
      </c>
      <c r="CM874">
        <f>IFERROR(INDEX(PP_Grid[#Data],$DD874,89),0)</f>
        <v/>
      </c>
      <c r="CN874">
        <f>IFERROR(INDEX(PP_Grid[#Data],$DD874,90),0)</f>
        <v/>
      </c>
      <c r="CO874">
        <f>IFERROR(INDEX(PP_Grid[#Data],$DD874,91),0)</f>
        <v/>
      </c>
      <c r="CP874">
        <f>IFERROR(INDEX(PP_Grid[#Data],$DD874,92),0)</f>
        <v/>
      </c>
      <c r="CQ874">
        <f>IFERROR(INDEX(PP_Grid[#Data],$DD874,93),0)</f>
        <v/>
      </c>
      <c r="CR874">
        <f>IFERROR(INDEX(PP_Grid[#Data],$DD874,94),0)</f>
        <v/>
      </c>
      <c r="CS874">
        <f>IFERROR(INDEX(PP_Grid[#Data],$DD874,95),0)</f>
        <v/>
      </c>
      <c r="CT874">
        <f>IFERROR(INDEX(PP_Grid[#Data],$DD874,96),0)</f>
        <v/>
      </c>
      <c r="CU874">
        <f>IFERROR(INDEX(PP_Grid[#Data],$DD874,97),0)</f>
        <v/>
      </c>
      <c r="CV874">
        <f>IFERROR(INDEX(PP_Grid[#Data],$DD874,98),0)</f>
        <v/>
      </c>
      <c r="CW874">
        <f>IFERROR(INDEX(PP_Grid[#Data],$DD874,99),0)</f>
        <v/>
      </c>
      <c r="CX874">
        <f>IFERROR(INDEX(PP_Grid[#Data],$DD874,100),0)</f>
        <v/>
      </c>
      <c r="CY874">
        <f>IFERROR(INDEX(PP_Grid[#Data],$DD874,101),0)</f>
        <v/>
      </c>
      <c r="CZ874">
        <f>IFERROR(INDEX(PP_Grid[#Data],$DD874,102),0)</f>
        <v/>
      </c>
      <c r="DA874">
        <f>IFERROR(INDEX(PP_Grid[#Data],$DD874,103),0)</f>
        <v/>
      </c>
      <c r="DB874">
        <f>IFERROR(INDEX(PP_Grid[#Data],$DD874,104),0)</f>
        <v/>
      </c>
      <c r="DC874">
        <f>IFERROR(INDEX(PP_Grid[#Data],$DD874,105),0)</f>
        <v/>
      </c>
      <c r="DD874" s="7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SUMIFS(M_BOM[RM_Qty_Per_Batch],M_BOM[Intermediate],$B874,M_BOM[Part Name],$A849)</f>
        <v/>
      </c>
      <c r="D875">
        <f>$C875*D874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</row>
    <row r="876">
      <c r="B876" t="inlineStr">
        <is>
          <t>TSP-1446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7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Name],$A849)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TPP-358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7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Name],$A849)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TPP-533(98%)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7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Name],$A849)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TPP-533(A)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7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Name],$A849)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No of times used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7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Name],$A849)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TSP-1449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7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Name],$A849)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s="4" t="inlineStr">
        <is>
          <t>合計使用量(kg)/週</t>
        </is>
      </c>
      <c r="D888">
        <f>'Grid_Requirement'!B7</f>
        <v/>
      </c>
      <c r="E888">
        <f>'Grid_Requirement'!C7</f>
        <v/>
      </c>
      <c r="F888">
        <f>'Grid_Requirement'!D7</f>
        <v/>
      </c>
      <c r="G888">
        <f>'Grid_Requirement'!E7</f>
        <v/>
      </c>
      <c r="H888">
        <f>'Grid_Requirement'!F7</f>
        <v/>
      </c>
      <c r="I888">
        <f>'Grid_Requirement'!G7</f>
        <v/>
      </c>
      <c r="J888">
        <f>'Grid_Requirement'!H7</f>
        <v/>
      </c>
      <c r="K888">
        <f>'Grid_Requirement'!I7</f>
        <v/>
      </c>
      <c r="L888">
        <f>'Grid_Requirement'!J7</f>
        <v/>
      </c>
      <c r="M888">
        <f>'Grid_Requirement'!K7</f>
        <v/>
      </c>
      <c r="N888">
        <f>'Grid_Requirement'!L7</f>
        <v/>
      </c>
      <c r="O888">
        <f>'Grid_Requirement'!M7</f>
        <v/>
      </c>
      <c r="P888">
        <f>'Grid_Requirement'!N7</f>
        <v/>
      </c>
      <c r="Q888">
        <f>'Grid_Requirement'!O7</f>
        <v/>
      </c>
      <c r="R888">
        <f>'Grid_Requirement'!P7</f>
        <v/>
      </c>
      <c r="S888">
        <f>'Grid_Requirement'!Q7</f>
        <v/>
      </c>
      <c r="T888">
        <f>'Grid_Requirement'!R7</f>
        <v/>
      </c>
      <c r="U888">
        <f>'Grid_Requirement'!S7</f>
        <v/>
      </c>
      <c r="V888">
        <f>'Grid_Requirement'!T7</f>
        <v/>
      </c>
      <c r="W888">
        <f>'Grid_Requirement'!U7</f>
        <v/>
      </c>
      <c r="X888">
        <f>'Grid_Requirement'!V7</f>
        <v/>
      </c>
      <c r="Y888">
        <f>'Grid_Requirement'!W7</f>
        <v/>
      </c>
      <c r="Z888">
        <f>'Grid_Requirement'!X7</f>
        <v/>
      </c>
      <c r="AA888">
        <f>'Grid_Requirement'!Y7</f>
        <v/>
      </c>
      <c r="AB888">
        <f>'Grid_Requirement'!Z7</f>
        <v/>
      </c>
      <c r="AC888">
        <f>'Grid_Requirement'!AA7</f>
        <v/>
      </c>
      <c r="AD888">
        <f>'Grid_Requirement'!AB7</f>
        <v/>
      </c>
      <c r="AE888">
        <f>'Grid_Requirement'!AC7</f>
        <v/>
      </c>
      <c r="AF888">
        <f>'Grid_Requirement'!AD7</f>
        <v/>
      </c>
      <c r="AG888">
        <f>'Grid_Requirement'!AE7</f>
        <v/>
      </c>
      <c r="AH888">
        <f>'Grid_Requirement'!AF7</f>
        <v/>
      </c>
      <c r="AI888">
        <f>'Grid_Requirement'!AG7</f>
        <v/>
      </c>
      <c r="AJ888">
        <f>'Grid_Requirement'!AH7</f>
        <v/>
      </c>
      <c r="AK888">
        <f>'Grid_Requirement'!AI7</f>
        <v/>
      </c>
      <c r="AL888">
        <f>'Grid_Requirement'!AJ7</f>
        <v/>
      </c>
      <c r="AM888">
        <f>'Grid_Requirement'!AK7</f>
        <v/>
      </c>
      <c r="AN888">
        <f>'Grid_Requirement'!AL7</f>
        <v/>
      </c>
      <c r="AO888">
        <f>'Grid_Requirement'!AM7</f>
        <v/>
      </c>
      <c r="AP888">
        <f>'Grid_Requirement'!AN7</f>
        <v/>
      </c>
      <c r="AQ888">
        <f>'Grid_Requirement'!AO7</f>
        <v/>
      </c>
      <c r="AR888">
        <f>'Grid_Requirement'!AP7</f>
        <v/>
      </c>
      <c r="AS888">
        <f>'Grid_Requirement'!AQ7</f>
        <v/>
      </c>
      <c r="AT888">
        <f>'Grid_Requirement'!AR7</f>
        <v/>
      </c>
      <c r="AU888">
        <f>'Grid_Requirement'!AS7</f>
        <v/>
      </c>
      <c r="AV888">
        <f>'Grid_Requirement'!AT7</f>
        <v/>
      </c>
      <c r="AW888">
        <f>'Grid_Requirement'!AU7</f>
        <v/>
      </c>
      <c r="AX888">
        <f>'Grid_Requirement'!AV7</f>
        <v/>
      </c>
      <c r="AY888">
        <f>'Grid_Requirement'!AW7</f>
        <v/>
      </c>
      <c r="AZ888">
        <f>'Grid_Requirement'!AX7</f>
        <v/>
      </c>
      <c r="BA888">
        <f>'Grid_Requirement'!AY7</f>
        <v/>
      </c>
      <c r="BB888">
        <f>'Grid_Requirement'!AZ7</f>
        <v/>
      </c>
      <c r="BC888">
        <f>'Grid_Requirement'!BA7</f>
        <v/>
      </c>
      <c r="BD888">
        <f>'Grid_Requirement'!BB7</f>
        <v/>
      </c>
      <c r="BE888">
        <f>'Grid_Requirement'!BC7</f>
        <v/>
      </c>
      <c r="BF888">
        <f>'Grid_Requirement'!BD7</f>
        <v/>
      </c>
      <c r="BG888">
        <f>'Grid_Requirement'!BE7</f>
        <v/>
      </c>
      <c r="BH888">
        <f>'Grid_Requirement'!BF7</f>
        <v/>
      </c>
      <c r="BI888">
        <f>'Grid_Requirement'!BG7</f>
        <v/>
      </c>
      <c r="BJ888">
        <f>'Grid_Requirement'!BH7</f>
        <v/>
      </c>
      <c r="BK888">
        <f>'Grid_Requirement'!BI7</f>
        <v/>
      </c>
      <c r="BL888">
        <f>'Grid_Requirement'!BJ7</f>
        <v/>
      </c>
      <c r="BM888">
        <f>'Grid_Requirement'!BK7</f>
        <v/>
      </c>
      <c r="BN888">
        <f>'Grid_Requirement'!BL7</f>
        <v/>
      </c>
      <c r="BO888">
        <f>'Grid_Requirement'!BM7</f>
        <v/>
      </c>
      <c r="BP888">
        <f>'Grid_Requirement'!BN7</f>
        <v/>
      </c>
      <c r="BQ888">
        <f>'Grid_Requirement'!BO7</f>
        <v/>
      </c>
      <c r="BR888">
        <f>'Grid_Requirement'!BP7</f>
        <v/>
      </c>
      <c r="BS888">
        <f>'Grid_Requirement'!BQ7</f>
        <v/>
      </c>
      <c r="BT888">
        <f>'Grid_Requirement'!BR7</f>
        <v/>
      </c>
      <c r="BU888">
        <f>'Grid_Requirement'!BS7</f>
        <v/>
      </c>
      <c r="BV888">
        <f>'Grid_Requirement'!BT7</f>
        <v/>
      </c>
      <c r="BW888">
        <f>'Grid_Requirement'!BU7</f>
        <v/>
      </c>
      <c r="BX888">
        <f>'Grid_Requirement'!BV7</f>
        <v/>
      </c>
      <c r="BY888">
        <f>'Grid_Requirement'!BW7</f>
        <v/>
      </c>
      <c r="BZ888">
        <f>'Grid_Requirement'!BX7</f>
        <v/>
      </c>
      <c r="CA888">
        <f>'Grid_Requirement'!BY7</f>
        <v/>
      </c>
      <c r="CB888">
        <f>'Grid_Requirement'!BZ7</f>
        <v/>
      </c>
      <c r="CC888">
        <f>'Grid_Requirement'!CA7</f>
        <v/>
      </c>
      <c r="CD888">
        <f>'Grid_Requirement'!CB7</f>
        <v/>
      </c>
      <c r="CE888">
        <f>'Grid_Requirement'!CC7</f>
        <v/>
      </c>
      <c r="CF888">
        <f>'Grid_Requirement'!CD7</f>
        <v/>
      </c>
      <c r="CG888">
        <f>'Grid_Requirement'!CE7</f>
        <v/>
      </c>
      <c r="CH888">
        <f>'Grid_Requirement'!CF7</f>
        <v/>
      </c>
      <c r="CI888">
        <f>'Grid_Requirement'!CG7</f>
        <v/>
      </c>
      <c r="CJ888">
        <f>'Grid_Requirement'!CH7</f>
        <v/>
      </c>
      <c r="CK888">
        <f>'Grid_Requirement'!CI7</f>
        <v/>
      </c>
      <c r="CL888">
        <f>'Grid_Requirement'!CJ7</f>
        <v/>
      </c>
      <c r="CM888">
        <f>'Grid_Requirement'!CK7</f>
        <v/>
      </c>
      <c r="CN888">
        <f>'Grid_Requirement'!CL7</f>
        <v/>
      </c>
      <c r="CO888">
        <f>'Grid_Requirement'!CM7</f>
        <v/>
      </c>
      <c r="CP888">
        <f>'Grid_Requirement'!CN7</f>
        <v/>
      </c>
      <c r="CQ888">
        <f>'Grid_Requirement'!CO7</f>
        <v/>
      </c>
      <c r="CR888">
        <f>'Grid_Requirement'!CP7</f>
        <v/>
      </c>
      <c r="CS888">
        <f>'Grid_Requirement'!CQ7</f>
        <v/>
      </c>
      <c r="CT888">
        <f>'Grid_Requirement'!CR7</f>
        <v/>
      </c>
      <c r="CU888">
        <f>'Grid_Requirement'!CS7</f>
        <v/>
      </c>
      <c r="CV888">
        <f>'Grid_Requirement'!CT7</f>
        <v/>
      </c>
      <c r="CW888">
        <f>'Grid_Requirement'!CU7</f>
        <v/>
      </c>
      <c r="CX888">
        <f>'Grid_Requirement'!CV7</f>
        <v/>
      </c>
      <c r="CY888">
        <f>'Grid_Requirement'!CW7</f>
        <v/>
      </c>
      <c r="CZ888">
        <f>'Grid_Requirement'!CX7</f>
        <v/>
      </c>
      <c r="DA888">
        <f>'Grid_Requirement'!CY7</f>
        <v/>
      </c>
      <c r="DB888">
        <f>'Grid_Requirement'!CZ7</f>
        <v/>
      </c>
      <c r="DC888">
        <f>'Grid_Requirement'!DA7</f>
        <v/>
      </c>
    </row>
    <row r="889">
      <c r="B889" t="inlineStr">
        <is>
          <t>TTAF在庫(実績,kg)</t>
        </is>
      </c>
      <c r="D889">
        <f>'T_TTAFStock'!B11</f>
        <v/>
      </c>
      <c r="E889">
        <f>'T_TTAFStock'!C11</f>
        <v/>
      </c>
      <c r="F889">
        <f>'T_TTAFStock'!D11</f>
        <v/>
      </c>
      <c r="G889">
        <f>'T_TTAFStock'!E11</f>
        <v/>
      </c>
      <c r="H889">
        <f>'T_TTAFStock'!F11</f>
        <v/>
      </c>
      <c r="I889">
        <f>'T_TTAFStock'!G11</f>
        <v/>
      </c>
      <c r="J889">
        <f>'T_TTAFStock'!H11</f>
        <v/>
      </c>
      <c r="K889">
        <f>'T_TTAFStock'!I11</f>
        <v/>
      </c>
      <c r="L889">
        <f>'T_TTAFStock'!J11</f>
        <v/>
      </c>
      <c r="M889">
        <f>'T_TTAFStock'!K11</f>
        <v/>
      </c>
      <c r="N889">
        <f>'T_TTAFStock'!L11</f>
        <v/>
      </c>
      <c r="O889">
        <f>'T_TTAFStock'!M11</f>
        <v/>
      </c>
      <c r="P889">
        <f>'T_TTAFStock'!N11</f>
        <v/>
      </c>
      <c r="Q889">
        <f>'T_TTAFStock'!O11</f>
        <v/>
      </c>
      <c r="R889">
        <f>'T_TTAFStock'!P11</f>
        <v/>
      </c>
      <c r="S889">
        <f>'T_TTAFStock'!Q11</f>
        <v/>
      </c>
      <c r="T889">
        <f>'T_TTAFStock'!R11</f>
        <v/>
      </c>
      <c r="U889">
        <f>'T_TTAFStock'!S11</f>
        <v/>
      </c>
      <c r="V889">
        <f>'T_TTAFStock'!T11</f>
        <v/>
      </c>
      <c r="W889">
        <f>'T_TTAFStock'!U11</f>
        <v/>
      </c>
      <c r="X889">
        <f>'T_TTAFStock'!V11</f>
        <v/>
      </c>
      <c r="Y889">
        <f>'T_TTAFStock'!W11</f>
        <v/>
      </c>
      <c r="Z889">
        <f>'T_TTAFStock'!X11</f>
        <v/>
      </c>
      <c r="AA889">
        <f>'T_TTAFStock'!Y11</f>
        <v/>
      </c>
      <c r="AB889">
        <f>'T_TTAFStock'!Z11</f>
        <v/>
      </c>
      <c r="AC889">
        <f>'T_TTAFStock'!AA11</f>
        <v/>
      </c>
      <c r="AD889">
        <f>'T_TTAFStock'!AB11</f>
        <v/>
      </c>
      <c r="AE889">
        <f>'T_TTAFStock'!AC11</f>
        <v/>
      </c>
      <c r="AF889">
        <f>'T_TTAFStock'!AD11</f>
        <v/>
      </c>
      <c r="AG889">
        <f>'T_TTAFStock'!AE11</f>
        <v/>
      </c>
      <c r="AH889">
        <f>'T_TTAFStock'!AF11</f>
        <v/>
      </c>
      <c r="AI889">
        <f>'T_TTAFStock'!AG11</f>
        <v/>
      </c>
      <c r="AJ889">
        <f>'T_TTAFStock'!AH11</f>
        <v/>
      </c>
      <c r="AK889">
        <f>'T_TTAFStock'!AI11</f>
        <v/>
      </c>
      <c r="AL889">
        <f>'T_TTAFStock'!AJ11</f>
        <v/>
      </c>
      <c r="AM889">
        <f>'T_TTAFStock'!AK11</f>
        <v/>
      </c>
      <c r="AN889">
        <f>'T_TTAFStock'!AL11</f>
        <v/>
      </c>
      <c r="AO889">
        <f>'T_TTAFStock'!AM11</f>
        <v/>
      </c>
      <c r="AP889">
        <f>'T_TTAFStock'!AN11</f>
        <v/>
      </c>
      <c r="AQ889">
        <f>'T_TTAFStock'!AO11</f>
        <v/>
      </c>
      <c r="AR889">
        <f>'T_TTAFStock'!AP11</f>
        <v/>
      </c>
      <c r="AS889">
        <f>'T_TTAFStock'!AQ11</f>
        <v/>
      </c>
      <c r="AT889">
        <f>'T_TTAFStock'!AR11</f>
        <v/>
      </c>
      <c r="AU889">
        <f>'T_TTAFStock'!AS11</f>
        <v/>
      </c>
      <c r="AV889">
        <f>'T_TTAFStock'!AT11</f>
        <v/>
      </c>
      <c r="AW889">
        <f>'T_TTAFStock'!AU11</f>
        <v/>
      </c>
      <c r="AX889">
        <f>'T_TTAFStock'!AV11</f>
        <v/>
      </c>
      <c r="AY889">
        <f>'T_TTAFStock'!AW11</f>
        <v/>
      </c>
      <c r="AZ889">
        <f>'T_TTAFStock'!AX11</f>
        <v/>
      </c>
      <c r="BA889">
        <f>'T_TTAFStock'!AY11</f>
        <v/>
      </c>
      <c r="BB889">
        <f>'T_TTAFStock'!AZ11</f>
        <v/>
      </c>
      <c r="BC889">
        <f>'T_TTAFStock'!BA11</f>
        <v/>
      </c>
      <c r="BD889">
        <f>'T_TTAFStock'!BB11</f>
        <v/>
      </c>
      <c r="BE889">
        <f>'T_TTAFStock'!BC11</f>
        <v/>
      </c>
      <c r="BF889">
        <f>'T_TTAFStock'!BD11</f>
        <v/>
      </c>
      <c r="BG889">
        <f>'T_TTAFStock'!BE11</f>
        <v/>
      </c>
      <c r="BH889">
        <f>'T_TTAFStock'!BF11</f>
        <v/>
      </c>
      <c r="BI889">
        <f>'T_TTAFStock'!BG11</f>
        <v/>
      </c>
      <c r="BJ889">
        <f>'T_TTAFStock'!BH11</f>
        <v/>
      </c>
      <c r="BK889">
        <f>'T_TTAFStock'!BI11</f>
        <v/>
      </c>
      <c r="BL889">
        <f>'T_TTAFStock'!BJ11</f>
        <v/>
      </c>
      <c r="BM889">
        <f>'T_TTAFStock'!BK11</f>
        <v/>
      </c>
      <c r="BN889">
        <f>'T_TTAFStock'!BL11</f>
        <v/>
      </c>
      <c r="BO889">
        <f>'T_TTAFStock'!BM11</f>
        <v/>
      </c>
      <c r="BP889">
        <f>'T_TTAFStock'!BN11</f>
        <v/>
      </c>
      <c r="BQ889">
        <f>'T_TTAFStock'!BO11</f>
        <v/>
      </c>
      <c r="BR889">
        <f>'T_TTAFStock'!BP11</f>
        <v/>
      </c>
      <c r="BS889">
        <f>'T_TTAFStock'!BQ11</f>
        <v/>
      </c>
      <c r="BT889">
        <f>'T_TTAFStock'!BR11</f>
        <v/>
      </c>
      <c r="BU889">
        <f>'T_TTAFStock'!BS11</f>
        <v/>
      </c>
      <c r="BV889">
        <f>'T_TTAFStock'!BT11</f>
        <v/>
      </c>
      <c r="BW889">
        <f>'T_TTAFStock'!BU11</f>
        <v/>
      </c>
      <c r="BX889">
        <f>'T_TTAFStock'!BV11</f>
        <v/>
      </c>
      <c r="BY889">
        <f>'T_TTAFStock'!BW11</f>
        <v/>
      </c>
      <c r="BZ889">
        <f>'T_TTAFStock'!BX11</f>
        <v/>
      </c>
      <c r="CA889">
        <f>'T_TTAFStock'!BY11</f>
        <v/>
      </c>
      <c r="CB889">
        <f>'T_TTAFStock'!BZ11</f>
        <v/>
      </c>
      <c r="CC889">
        <f>'T_TTAFStock'!CA11</f>
        <v/>
      </c>
      <c r="CD889">
        <f>'T_TTAFStock'!CB11</f>
        <v/>
      </c>
      <c r="CE889">
        <f>'T_TTAFStock'!CC11</f>
        <v/>
      </c>
      <c r="CF889">
        <f>'T_TTAFStock'!CD11</f>
        <v/>
      </c>
      <c r="CG889">
        <f>'T_TTAFStock'!CE11</f>
        <v/>
      </c>
      <c r="CH889">
        <f>'T_TTAFStock'!CF11</f>
        <v/>
      </c>
      <c r="CI889">
        <f>'T_TTAFStock'!CG11</f>
        <v/>
      </c>
      <c r="CJ889">
        <f>'T_TTAFStock'!CH11</f>
        <v/>
      </c>
      <c r="CK889">
        <f>'T_TTAFStock'!CI11</f>
        <v/>
      </c>
      <c r="CL889">
        <f>'T_TTAFStock'!CJ11</f>
        <v/>
      </c>
      <c r="CM889">
        <f>'T_TTAFStock'!CK11</f>
        <v/>
      </c>
      <c r="CN889">
        <f>'T_TTAFStock'!CL11</f>
        <v/>
      </c>
      <c r="CO889">
        <f>'T_TTAFStock'!CM11</f>
        <v/>
      </c>
      <c r="CP889">
        <f>'T_TTAFStock'!CN11</f>
        <v/>
      </c>
      <c r="CQ889">
        <f>'T_TTAFStock'!CO11</f>
        <v/>
      </c>
      <c r="CR889">
        <f>'T_TTAFStock'!CP11</f>
        <v/>
      </c>
      <c r="CS889">
        <f>'T_TTAFStock'!CQ11</f>
        <v/>
      </c>
      <c r="CT889">
        <f>'T_TTAFStock'!CR11</f>
        <v/>
      </c>
      <c r="CU889">
        <f>'T_TTAFStock'!CS11</f>
        <v/>
      </c>
      <c r="CV889">
        <f>'T_TTAFStock'!CT11</f>
        <v/>
      </c>
      <c r="CW889">
        <f>'T_TTAFStock'!CU11</f>
        <v/>
      </c>
      <c r="CX889">
        <f>'T_TTAFStock'!CV11</f>
        <v/>
      </c>
      <c r="CY889">
        <f>'T_TTAFStock'!CW11</f>
        <v/>
      </c>
      <c r="CZ889">
        <f>'T_TTAFStock'!CX11</f>
        <v/>
      </c>
      <c r="DA889">
        <f>'T_TTAFStock'!CY11</f>
        <v/>
      </c>
      <c r="DB889">
        <f>'T_TTAFStock'!CZ11</f>
        <v/>
      </c>
      <c r="DC889">
        <f>'T_TTAFStock'!DA11</f>
        <v/>
      </c>
    </row>
    <row r="890">
      <c r="B890" t="inlineStr">
        <is>
          <t>自社在庫(実績,kg)</t>
        </is>
      </c>
      <c r="D890">
        <f>'T_SelfStock'!B11</f>
        <v/>
      </c>
      <c r="E890">
        <f>'T_SelfStock'!C11</f>
        <v/>
      </c>
      <c r="F890">
        <f>'T_SelfStock'!D11</f>
        <v/>
      </c>
      <c r="G890">
        <f>'T_SelfStock'!E11</f>
        <v/>
      </c>
      <c r="H890">
        <f>'T_SelfStock'!F11</f>
        <v/>
      </c>
      <c r="I890">
        <f>'T_SelfStock'!G11</f>
        <v/>
      </c>
      <c r="J890">
        <f>'T_SelfStock'!H11</f>
        <v/>
      </c>
      <c r="K890">
        <f>'T_SelfStock'!I11</f>
        <v/>
      </c>
      <c r="L890">
        <f>'T_SelfStock'!J11</f>
        <v/>
      </c>
      <c r="M890">
        <f>'T_SelfStock'!K11</f>
        <v/>
      </c>
      <c r="N890">
        <f>'T_SelfStock'!L11</f>
        <v/>
      </c>
      <c r="O890">
        <f>'T_SelfStock'!M11</f>
        <v/>
      </c>
      <c r="P890">
        <f>'T_SelfStock'!N11</f>
        <v/>
      </c>
      <c r="Q890">
        <f>'T_SelfStock'!O11</f>
        <v/>
      </c>
      <c r="R890">
        <f>'T_SelfStock'!P11</f>
        <v/>
      </c>
      <c r="S890">
        <f>'T_SelfStock'!Q11</f>
        <v/>
      </c>
      <c r="T890">
        <f>'T_SelfStock'!R11</f>
        <v/>
      </c>
      <c r="U890">
        <f>'T_SelfStock'!S11</f>
        <v/>
      </c>
      <c r="V890">
        <f>'T_SelfStock'!T11</f>
        <v/>
      </c>
      <c r="W890">
        <f>'T_SelfStock'!U11</f>
        <v/>
      </c>
      <c r="X890">
        <f>'T_SelfStock'!V11</f>
        <v/>
      </c>
      <c r="Y890">
        <f>'T_SelfStock'!W11</f>
        <v/>
      </c>
      <c r="Z890">
        <f>'T_SelfStock'!X11</f>
        <v/>
      </c>
      <c r="AA890">
        <f>'T_SelfStock'!Y11</f>
        <v/>
      </c>
      <c r="AB890">
        <f>'T_SelfStock'!Z11</f>
        <v/>
      </c>
      <c r="AC890">
        <f>'T_SelfStock'!AA11</f>
        <v/>
      </c>
      <c r="AD890">
        <f>'T_SelfStock'!AB11</f>
        <v/>
      </c>
      <c r="AE890">
        <f>'T_SelfStock'!AC11</f>
        <v/>
      </c>
      <c r="AF890">
        <f>'T_SelfStock'!AD11</f>
        <v/>
      </c>
      <c r="AG890">
        <f>'T_SelfStock'!AE11</f>
        <v/>
      </c>
      <c r="AH890">
        <f>'T_SelfStock'!AF11</f>
        <v/>
      </c>
      <c r="AI890">
        <f>'T_SelfStock'!AG11</f>
        <v/>
      </c>
      <c r="AJ890">
        <f>'T_SelfStock'!AH11</f>
        <v/>
      </c>
      <c r="AK890">
        <f>'T_SelfStock'!AI11</f>
        <v/>
      </c>
      <c r="AL890">
        <f>'T_SelfStock'!AJ11</f>
        <v/>
      </c>
      <c r="AM890">
        <f>'T_SelfStock'!AK11</f>
        <v/>
      </c>
      <c r="AN890">
        <f>'T_SelfStock'!AL11</f>
        <v/>
      </c>
      <c r="AO890">
        <f>'T_SelfStock'!AM11</f>
        <v/>
      </c>
      <c r="AP890">
        <f>'T_SelfStock'!AN11</f>
        <v/>
      </c>
      <c r="AQ890">
        <f>'T_SelfStock'!AO11</f>
        <v/>
      </c>
      <c r="AR890">
        <f>'T_SelfStock'!AP11</f>
        <v/>
      </c>
      <c r="AS890">
        <f>'T_SelfStock'!AQ11</f>
        <v/>
      </c>
      <c r="AT890">
        <f>'T_SelfStock'!AR11</f>
        <v/>
      </c>
      <c r="AU890">
        <f>'T_SelfStock'!AS11</f>
        <v/>
      </c>
      <c r="AV890">
        <f>'T_SelfStock'!AT11</f>
        <v/>
      </c>
      <c r="AW890">
        <f>'T_SelfStock'!AU11</f>
        <v/>
      </c>
      <c r="AX890">
        <f>'T_SelfStock'!AV11</f>
        <v/>
      </c>
      <c r="AY890">
        <f>'T_SelfStock'!AW11</f>
        <v/>
      </c>
      <c r="AZ890">
        <f>'T_SelfStock'!AX11</f>
        <v/>
      </c>
      <c r="BA890">
        <f>'T_SelfStock'!AY11</f>
        <v/>
      </c>
      <c r="BB890">
        <f>'T_SelfStock'!AZ11</f>
        <v/>
      </c>
      <c r="BC890">
        <f>'T_SelfStock'!BA11</f>
        <v/>
      </c>
      <c r="BD890">
        <f>'T_SelfStock'!BB11</f>
        <v/>
      </c>
      <c r="BE890">
        <f>'T_SelfStock'!BC11</f>
        <v/>
      </c>
      <c r="BF890">
        <f>'T_SelfStock'!BD11</f>
        <v/>
      </c>
      <c r="BG890">
        <f>'T_SelfStock'!BE11</f>
        <v/>
      </c>
      <c r="BH890">
        <f>'T_SelfStock'!BF11</f>
        <v/>
      </c>
      <c r="BI890">
        <f>'T_SelfStock'!BG11</f>
        <v/>
      </c>
      <c r="BJ890">
        <f>'T_SelfStock'!BH11</f>
        <v/>
      </c>
      <c r="BK890">
        <f>'T_SelfStock'!BI11</f>
        <v/>
      </c>
      <c r="BL890">
        <f>'T_SelfStock'!BJ11</f>
        <v/>
      </c>
      <c r="BM890">
        <f>'T_SelfStock'!BK11</f>
        <v/>
      </c>
      <c r="BN890">
        <f>'T_SelfStock'!BL11</f>
        <v/>
      </c>
      <c r="BO890">
        <f>'T_SelfStock'!BM11</f>
        <v/>
      </c>
      <c r="BP890">
        <f>'T_SelfStock'!BN11</f>
        <v/>
      </c>
      <c r="BQ890">
        <f>'T_SelfStock'!BO11</f>
        <v/>
      </c>
      <c r="BR890">
        <f>'T_SelfStock'!BP11</f>
        <v/>
      </c>
      <c r="BS890">
        <f>'T_SelfStock'!BQ11</f>
        <v/>
      </c>
      <c r="BT890">
        <f>'T_SelfStock'!BR11</f>
        <v/>
      </c>
      <c r="BU890">
        <f>'T_SelfStock'!BS11</f>
        <v/>
      </c>
      <c r="BV890">
        <f>'T_SelfStock'!BT11</f>
        <v/>
      </c>
      <c r="BW890">
        <f>'T_SelfStock'!BU11</f>
        <v/>
      </c>
      <c r="BX890">
        <f>'T_SelfStock'!BV11</f>
        <v/>
      </c>
      <c r="BY890">
        <f>'T_SelfStock'!BW11</f>
        <v/>
      </c>
      <c r="BZ890">
        <f>'T_SelfStock'!BX11</f>
        <v/>
      </c>
      <c r="CA890">
        <f>'T_SelfStock'!BY11</f>
        <v/>
      </c>
      <c r="CB890">
        <f>'T_SelfStock'!BZ11</f>
        <v/>
      </c>
      <c r="CC890">
        <f>'T_SelfStock'!CA11</f>
        <v/>
      </c>
      <c r="CD890">
        <f>'T_SelfStock'!CB11</f>
        <v/>
      </c>
      <c r="CE890">
        <f>'T_SelfStock'!CC11</f>
        <v/>
      </c>
      <c r="CF890">
        <f>'T_SelfStock'!CD11</f>
        <v/>
      </c>
      <c r="CG890">
        <f>'T_SelfStock'!CE11</f>
        <v/>
      </c>
      <c r="CH890">
        <f>'T_SelfStock'!CF11</f>
        <v/>
      </c>
      <c r="CI890">
        <f>'T_SelfStock'!CG11</f>
        <v/>
      </c>
      <c r="CJ890">
        <f>'T_SelfStock'!CH11</f>
        <v/>
      </c>
      <c r="CK890">
        <f>'T_SelfStock'!CI11</f>
        <v/>
      </c>
      <c r="CL890">
        <f>'T_SelfStock'!CJ11</f>
        <v/>
      </c>
      <c r="CM890">
        <f>'T_SelfStock'!CK11</f>
        <v/>
      </c>
      <c r="CN890">
        <f>'T_SelfStock'!CL11</f>
        <v/>
      </c>
      <c r="CO890">
        <f>'T_SelfStock'!CM11</f>
        <v/>
      </c>
      <c r="CP890">
        <f>'T_SelfStock'!CN11</f>
        <v/>
      </c>
      <c r="CQ890">
        <f>'T_SelfStock'!CO11</f>
        <v/>
      </c>
      <c r="CR890">
        <f>'T_SelfStock'!CP11</f>
        <v/>
      </c>
      <c r="CS890">
        <f>'T_SelfStock'!CQ11</f>
        <v/>
      </c>
      <c r="CT890">
        <f>'T_SelfStock'!CR11</f>
        <v/>
      </c>
      <c r="CU890">
        <f>'T_SelfStock'!CS11</f>
        <v/>
      </c>
      <c r="CV890">
        <f>'T_SelfStock'!CT11</f>
        <v/>
      </c>
      <c r="CW890">
        <f>'T_SelfStock'!CU11</f>
        <v/>
      </c>
      <c r="CX890">
        <f>'T_SelfStock'!CV11</f>
        <v/>
      </c>
      <c r="CY890">
        <f>'T_SelfStock'!CW11</f>
        <v/>
      </c>
      <c r="CZ890">
        <f>'T_SelfStock'!CX11</f>
        <v/>
      </c>
      <c r="DA890">
        <f>'T_SelfStock'!CY11</f>
        <v/>
      </c>
      <c r="DB890">
        <f>'T_SelfStock'!CZ11</f>
        <v/>
      </c>
      <c r="DC890">
        <f>'T_SelfStock'!DA11</f>
        <v/>
      </c>
    </row>
    <row r="891">
      <c r="B891" t="inlineStr">
        <is>
          <t>Order(発注予定,kg)</t>
        </is>
      </c>
      <c r="D891">
        <f>IF(SUMIFS(T_PlannedOrders[EffectiveQty],T_PlannedOrders[Part Name],$A849,T_PlannedOrders[WeekIndex],1)=0,"",SUMIFS(T_PlannedOrders[EffectiveQty],T_PlannedOrders[Part Name],$A849,T_PlannedOrders[WeekIndex],1)&amp;" ("&amp;TEXT(SUMPRODUCT(MAX((T_PlannedOrders[Part Name]=$A849)*(T_PlannedOrders[WeekIndex]=1)*(T_PlannedOrders[EffectiveQty]&gt;0)*T_PlannedOrders[Order_Month])),"m月")&amp;"発注)")</f>
        <v/>
      </c>
      <c r="E891">
        <f>IF(SUMIFS(T_PlannedOrders[EffectiveQty],T_PlannedOrders[Part Name],$A849,T_PlannedOrders[WeekIndex],2)=0,"",SUMIFS(T_PlannedOrders[EffectiveQty],T_PlannedOrders[Part Name],$A849,T_PlannedOrders[WeekIndex],2)&amp;" ("&amp;TEXT(SUMPRODUCT(MAX((T_PlannedOrders[Part Name]=$A849)*(T_PlannedOrders[WeekIndex]=2)*(T_PlannedOrders[EffectiveQty]&gt;0)*T_PlannedOrders[Order_Month])),"m月")&amp;"発注)")</f>
        <v/>
      </c>
      <c r="F891">
        <f>IF(SUMIFS(T_PlannedOrders[EffectiveQty],T_PlannedOrders[Part Name],$A849,T_PlannedOrders[WeekIndex],3)=0,"",SUMIFS(T_PlannedOrders[EffectiveQty],T_PlannedOrders[Part Name],$A849,T_PlannedOrders[WeekIndex],3)&amp;" ("&amp;TEXT(SUMPRODUCT(MAX((T_PlannedOrders[Part Name]=$A849)*(T_PlannedOrders[WeekIndex]=3)*(T_PlannedOrders[EffectiveQty]&gt;0)*T_PlannedOrders[Order_Month])),"m月")&amp;"発注)")</f>
        <v/>
      </c>
      <c r="G891">
        <f>IF(SUMIFS(T_PlannedOrders[EffectiveQty],T_PlannedOrders[Part Name],$A849,T_PlannedOrders[WeekIndex],4)=0,"",SUMIFS(T_PlannedOrders[EffectiveQty],T_PlannedOrders[Part Name],$A849,T_PlannedOrders[WeekIndex],4)&amp;" ("&amp;TEXT(SUMPRODUCT(MAX((T_PlannedOrders[Part Name]=$A849)*(T_PlannedOrders[WeekIndex]=4)*(T_PlannedOrders[EffectiveQty]&gt;0)*T_PlannedOrders[Order_Month])),"m月")&amp;"発注)")</f>
        <v/>
      </c>
      <c r="H891">
        <f>IF(SUMIFS(T_PlannedOrders[EffectiveQty],T_PlannedOrders[Part Name],$A849,T_PlannedOrders[WeekIndex],5)=0,"",SUMIFS(T_PlannedOrders[EffectiveQty],T_PlannedOrders[Part Name],$A849,T_PlannedOrders[WeekIndex],5)&amp;" ("&amp;TEXT(SUMPRODUCT(MAX((T_PlannedOrders[Part Name]=$A849)*(T_PlannedOrders[WeekIndex]=5)*(T_PlannedOrders[EffectiveQty]&gt;0)*T_PlannedOrders[Order_Month])),"m月")&amp;"発注)")</f>
        <v/>
      </c>
      <c r="I891">
        <f>IF(SUMIFS(T_PlannedOrders[EffectiveQty],T_PlannedOrders[Part Name],$A849,T_PlannedOrders[WeekIndex],6)=0,"",SUMIFS(T_PlannedOrders[EffectiveQty],T_PlannedOrders[Part Name],$A849,T_PlannedOrders[WeekIndex],6)&amp;" ("&amp;TEXT(SUMPRODUCT(MAX((T_PlannedOrders[Part Name]=$A849)*(T_PlannedOrders[WeekIndex]=6)*(T_PlannedOrders[EffectiveQty]&gt;0)*T_PlannedOrders[Order_Month])),"m月")&amp;"発注)")</f>
        <v/>
      </c>
      <c r="J891">
        <f>IF(SUMIFS(T_PlannedOrders[EffectiveQty],T_PlannedOrders[Part Name],$A849,T_PlannedOrders[WeekIndex],7)=0,"",SUMIFS(T_PlannedOrders[EffectiveQty],T_PlannedOrders[Part Name],$A849,T_PlannedOrders[WeekIndex],7)&amp;" ("&amp;TEXT(SUMPRODUCT(MAX((T_PlannedOrders[Part Name]=$A849)*(T_PlannedOrders[WeekIndex]=7)*(T_PlannedOrders[EffectiveQty]&gt;0)*T_PlannedOrders[Order_Month])),"m月")&amp;"発注)")</f>
        <v/>
      </c>
      <c r="K891">
        <f>IF(SUMIFS(T_PlannedOrders[EffectiveQty],T_PlannedOrders[Part Name],$A849,T_PlannedOrders[WeekIndex],8)=0,"",SUMIFS(T_PlannedOrders[EffectiveQty],T_PlannedOrders[Part Name],$A849,T_PlannedOrders[WeekIndex],8)&amp;" ("&amp;TEXT(SUMPRODUCT(MAX((T_PlannedOrders[Part Name]=$A849)*(T_PlannedOrders[WeekIndex]=8)*(T_PlannedOrders[EffectiveQty]&gt;0)*T_PlannedOrders[Order_Month])),"m月")&amp;"発注)")</f>
        <v/>
      </c>
      <c r="L891">
        <f>IF(SUMIFS(T_PlannedOrders[EffectiveQty],T_PlannedOrders[Part Name],$A849,T_PlannedOrders[WeekIndex],9)=0,"",SUMIFS(T_PlannedOrders[EffectiveQty],T_PlannedOrders[Part Name],$A849,T_PlannedOrders[WeekIndex],9)&amp;" ("&amp;TEXT(SUMPRODUCT(MAX((T_PlannedOrders[Part Name]=$A849)*(T_PlannedOrders[WeekIndex]=9)*(T_PlannedOrders[EffectiveQty]&gt;0)*T_PlannedOrders[Order_Month])),"m月")&amp;"発注)")</f>
        <v/>
      </c>
      <c r="M891">
        <f>IF(SUMIFS(T_PlannedOrders[EffectiveQty],T_PlannedOrders[Part Name],$A849,T_PlannedOrders[WeekIndex],10)=0,"",SUMIFS(T_PlannedOrders[EffectiveQty],T_PlannedOrders[Part Name],$A849,T_PlannedOrders[WeekIndex],10)&amp;" ("&amp;TEXT(SUMPRODUCT(MAX((T_PlannedOrders[Part Name]=$A849)*(T_PlannedOrders[WeekIndex]=10)*(T_PlannedOrders[EffectiveQty]&gt;0)*T_PlannedOrders[Order_Month])),"m月")&amp;"発注)")</f>
        <v/>
      </c>
      <c r="N891">
        <f>IF(SUMIFS(T_PlannedOrders[EffectiveQty],T_PlannedOrders[Part Name],$A849,T_PlannedOrders[WeekIndex],11)=0,"",SUMIFS(T_PlannedOrders[EffectiveQty],T_PlannedOrders[Part Name],$A849,T_PlannedOrders[WeekIndex],11)&amp;" ("&amp;TEXT(SUMPRODUCT(MAX((T_PlannedOrders[Part Name]=$A849)*(T_PlannedOrders[WeekIndex]=11)*(T_PlannedOrders[EffectiveQty]&gt;0)*T_PlannedOrders[Order_Month])),"m月")&amp;"発注)")</f>
        <v/>
      </c>
      <c r="O891">
        <f>IF(SUMIFS(T_PlannedOrders[EffectiveQty],T_PlannedOrders[Part Name],$A849,T_PlannedOrders[WeekIndex],12)=0,"",SUMIFS(T_PlannedOrders[EffectiveQty],T_PlannedOrders[Part Name],$A849,T_PlannedOrders[WeekIndex],12)&amp;" ("&amp;TEXT(SUMPRODUCT(MAX((T_PlannedOrders[Part Name]=$A849)*(T_PlannedOrders[WeekIndex]=12)*(T_PlannedOrders[EffectiveQty]&gt;0)*T_PlannedOrders[Order_Month])),"m月")&amp;"発注)")</f>
        <v/>
      </c>
      <c r="P891">
        <f>IF(SUMIFS(T_PlannedOrders[EffectiveQty],T_PlannedOrders[Part Name],$A849,T_PlannedOrders[WeekIndex],13)=0,"",SUMIFS(T_PlannedOrders[EffectiveQty],T_PlannedOrders[Part Name],$A849,T_PlannedOrders[WeekIndex],13)&amp;" ("&amp;TEXT(SUMPRODUCT(MAX((T_PlannedOrders[Part Name]=$A849)*(T_PlannedOrders[WeekIndex]=13)*(T_PlannedOrders[EffectiveQty]&gt;0)*T_PlannedOrders[Order_Month])),"m月")&amp;"発注)")</f>
        <v/>
      </c>
      <c r="Q891">
        <f>IF(SUMIFS(T_PlannedOrders[EffectiveQty],T_PlannedOrders[Part Name],$A849,T_PlannedOrders[WeekIndex],14)=0,"",SUMIFS(T_PlannedOrders[EffectiveQty],T_PlannedOrders[Part Name],$A849,T_PlannedOrders[WeekIndex],14)&amp;" ("&amp;TEXT(SUMPRODUCT(MAX((T_PlannedOrders[Part Name]=$A849)*(T_PlannedOrders[WeekIndex]=14)*(T_PlannedOrders[EffectiveQty]&gt;0)*T_PlannedOrders[Order_Month])),"m月")&amp;"発注)")</f>
        <v/>
      </c>
      <c r="R891">
        <f>IF(SUMIFS(T_PlannedOrders[EffectiveQty],T_PlannedOrders[Part Name],$A849,T_PlannedOrders[WeekIndex],15)=0,"",SUMIFS(T_PlannedOrders[EffectiveQty],T_PlannedOrders[Part Name],$A849,T_PlannedOrders[WeekIndex],15)&amp;" ("&amp;TEXT(SUMPRODUCT(MAX((T_PlannedOrders[Part Name]=$A849)*(T_PlannedOrders[WeekIndex]=15)*(T_PlannedOrders[EffectiveQty]&gt;0)*T_PlannedOrders[Order_Month])),"m月")&amp;"発注)")</f>
        <v/>
      </c>
      <c r="S891">
        <f>IF(SUMIFS(T_PlannedOrders[EffectiveQty],T_PlannedOrders[Part Name],$A849,T_PlannedOrders[WeekIndex],16)=0,"",SUMIFS(T_PlannedOrders[EffectiveQty],T_PlannedOrders[Part Name],$A849,T_PlannedOrders[WeekIndex],16)&amp;" ("&amp;TEXT(SUMPRODUCT(MAX((T_PlannedOrders[Part Name]=$A849)*(T_PlannedOrders[WeekIndex]=16)*(T_PlannedOrders[EffectiveQty]&gt;0)*T_PlannedOrders[Order_Month])),"m月")&amp;"発注)")</f>
        <v/>
      </c>
      <c r="T891">
        <f>IF(SUMIFS(T_PlannedOrders[EffectiveQty],T_PlannedOrders[Part Name],$A849,T_PlannedOrders[WeekIndex],17)=0,"",SUMIFS(T_PlannedOrders[EffectiveQty],T_PlannedOrders[Part Name],$A849,T_PlannedOrders[WeekIndex],17)&amp;" ("&amp;TEXT(SUMPRODUCT(MAX((T_PlannedOrders[Part Name]=$A849)*(T_PlannedOrders[WeekIndex]=17)*(T_PlannedOrders[EffectiveQty]&gt;0)*T_PlannedOrders[Order_Month])),"m月")&amp;"発注)")</f>
        <v/>
      </c>
      <c r="U891">
        <f>IF(SUMIFS(T_PlannedOrders[EffectiveQty],T_PlannedOrders[Part Name],$A849,T_PlannedOrders[WeekIndex],18)=0,"",SUMIFS(T_PlannedOrders[EffectiveQty],T_PlannedOrders[Part Name],$A849,T_PlannedOrders[WeekIndex],18)&amp;" ("&amp;TEXT(SUMPRODUCT(MAX((T_PlannedOrders[Part Name]=$A849)*(T_PlannedOrders[WeekIndex]=18)*(T_PlannedOrders[EffectiveQty]&gt;0)*T_PlannedOrders[Order_Month])),"m月")&amp;"発注)")</f>
        <v/>
      </c>
      <c r="V891">
        <f>IF(SUMIFS(T_PlannedOrders[EffectiveQty],T_PlannedOrders[Part Name],$A849,T_PlannedOrders[WeekIndex],19)=0,"",SUMIFS(T_PlannedOrders[EffectiveQty],T_PlannedOrders[Part Name],$A849,T_PlannedOrders[WeekIndex],19)&amp;" ("&amp;TEXT(SUMPRODUCT(MAX((T_PlannedOrders[Part Name]=$A849)*(T_PlannedOrders[WeekIndex]=19)*(T_PlannedOrders[EffectiveQty]&gt;0)*T_PlannedOrders[Order_Month])),"m月")&amp;"発注)")</f>
        <v/>
      </c>
      <c r="W891">
        <f>IF(SUMIFS(T_PlannedOrders[EffectiveQty],T_PlannedOrders[Part Name],$A849,T_PlannedOrders[WeekIndex],20)=0,"",SUMIFS(T_PlannedOrders[EffectiveQty],T_PlannedOrders[Part Name],$A849,T_PlannedOrders[WeekIndex],20)&amp;" ("&amp;TEXT(SUMPRODUCT(MAX((T_PlannedOrders[Part Name]=$A849)*(T_PlannedOrders[WeekIndex]=20)*(T_PlannedOrders[EffectiveQty]&gt;0)*T_PlannedOrders[Order_Month])),"m月")&amp;"発注)")</f>
        <v/>
      </c>
      <c r="X891">
        <f>IF(SUMIFS(T_PlannedOrders[EffectiveQty],T_PlannedOrders[Part Name],$A849,T_PlannedOrders[WeekIndex],21)=0,"",SUMIFS(T_PlannedOrders[EffectiveQty],T_PlannedOrders[Part Name],$A849,T_PlannedOrders[WeekIndex],21)&amp;" ("&amp;TEXT(SUMPRODUCT(MAX((T_PlannedOrders[Part Name]=$A849)*(T_PlannedOrders[WeekIndex]=21)*(T_PlannedOrders[EffectiveQty]&gt;0)*T_PlannedOrders[Order_Month])),"m月")&amp;"発注)")</f>
        <v/>
      </c>
      <c r="Y891">
        <f>IF(SUMIFS(T_PlannedOrders[EffectiveQty],T_PlannedOrders[Part Name],$A849,T_PlannedOrders[WeekIndex],22)=0,"",SUMIFS(T_PlannedOrders[EffectiveQty],T_PlannedOrders[Part Name],$A849,T_PlannedOrders[WeekIndex],22)&amp;" ("&amp;TEXT(SUMPRODUCT(MAX((T_PlannedOrders[Part Name]=$A849)*(T_PlannedOrders[WeekIndex]=22)*(T_PlannedOrders[EffectiveQty]&gt;0)*T_PlannedOrders[Order_Month])),"m月")&amp;"発注)")</f>
        <v/>
      </c>
      <c r="Z891">
        <f>IF(SUMIFS(T_PlannedOrders[EffectiveQty],T_PlannedOrders[Part Name],$A849,T_PlannedOrders[WeekIndex],23)=0,"",SUMIFS(T_PlannedOrders[EffectiveQty],T_PlannedOrders[Part Name],$A849,T_PlannedOrders[WeekIndex],23)&amp;" ("&amp;TEXT(SUMPRODUCT(MAX((T_PlannedOrders[Part Name]=$A849)*(T_PlannedOrders[WeekIndex]=23)*(T_PlannedOrders[EffectiveQty]&gt;0)*T_PlannedOrders[Order_Month])),"m月")&amp;"発注)")</f>
        <v/>
      </c>
      <c r="AA891">
        <f>IF(SUMIFS(T_PlannedOrders[EffectiveQty],T_PlannedOrders[Part Name],$A849,T_PlannedOrders[WeekIndex],24)=0,"",SUMIFS(T_PlannedOrders[EffectiveQty],T_PlannedOrders[Part Name],$A849,T_PlannedOrders[WeekIndex],24)&amp;" ("&amp;TEXT(SUMPRODUCT(MAX((T_PlannedOrders[Part Name]=$A849)*(T_PlannedOrders[WeekIndex]=24)*(T_PlannedOrders[EffectiveQty]&gt;0)*T_PlannedOrders[Order_Month])),"m月")&amp;"発注)")</f>
        <v/>
      </c>
      <c r="AB891">
        <f>IF(SUMIFS(T_PlannedOrders[EffectiveQty],T_PlannedOrders[Part Name],$A849,T_PlannedOrders[WeekIndex],25)=0,"",SUMIFS(T_PlannedOrders[EffectiveQty],T_PlannedOrders[Part Name],$A849,T_PlannedOrders[WeekIndex],25)&amp;" ("&amp;TEXT(SUMPRODUCT(MAX((T_PlannedOrders[Part Name]=$A849)*(T_PlannedOrders[WeekIndex]=25)*(T_PlannedOrders[EffectiveQty]&gt;0)*T_PlannedOrders[Order_Month])),"m月")&amp;"発注)")</f>
        <v/>
      </c>
      <c r="AC891">
        <f>IF(SUMIFS(T_PlannedOrders[EffectiveQty],T_PlannedOrders[Part Name],$A849,T_PlannedOrders[WeekIndex],26)=0,"",SUMIFS(T_PlannedOrders[EffectiveQty],T_PlannedOrders[Part Name],$A849,T_PlannedOrders[WeekIndex],26)&amp;" ("&amp;TEXT(SUMPRODUCT(MAX((T_PlannedOrders[Part Name]=$A849)*(T_PlannedOrders[WeekIndex]=26)*(T_PlannedOrders[EffectiveQty]&gt;0)*T_PlannedOrders[Order_Month])),"m月")&amp;"発注)")</f>
        <v/>
      </c>
      <c r="AD891">
        <f>IF(SUMIFS(T_PlannedOrders[EffectiveQty],T_PlannedOrders[Part Name],$A849,T_PlannedOrders[WeekIndex],27)=0,"",SUMIFS(T_PlannedOrders[EffectiveQty],T_PlannedOrders[Part Name],$A849,T_PlannedOrders[WeekIndex],27)&amp;" ("&amp;TEXT(SUMPRODUCT(MAX((T_PlannedOrders[Part Name]=$A849)*(T_PlannedOrders[WeekIndex]=27)*(T_PlannedOrders[EffectiveQty]&gt;0)*T_PlannedOrders[Order_Month])),"m月")&amp;"発注)")</f>
        <v/>
      </c>
      <c r="AE891">
        <f>IF(SUMIFS(T_PlannedOrders[EffectiveQty],T_PlannedOrders[Part Name],$A849,T_PlannedOrders[WeekIndex],28)=0,"",SUMIFS(T_PlannedOrders[EffectiveQty],T_PlannedOrders[Part Name],$A849,T_PlannedOrders[WeekIndex],28)&amp;" ("&amp;TEXT(SUMPRODUCT(MAX((T_PlannedOrders[Part Name]=$A849)*(T_PlannedOrders[WeekIndex]=28)*(T_PlannedOrders[EffectiveQty]&gt;0)*T_PlannedOrders[Order_Month])),"m月")&amp;"発注)")</f>
        <v/>
      </c>
      <c r="AF891">
        <f>IF(SUMIFS(T_PlannedOrders[EffectiveQty],T_PlannedOrders[Part Name],$A849,T_PlannedOrders[WeekIndex],29)=0,"",SUMIFS(T_PlannedOrders[EffectiveQty],T_PlannedOrders[Part Name],$A849,T_PlannedOrders[WeekIndex],29)&amp;" ("&amp;TEXT(SUMPRODUCT(MAX((T_PlannedOrders[Part Name]=$A849)*(T_PlannedOrders[WeekIndex]=29)*(T_PlannedOrders[EffectiveQty]&gt;0)*T_PlannedOrders[Order_Month])),"m月")&amp;"発注)")</f>
        <v/>
      </c>
      <c r="AG891">
        <f>IF(SUMIFS(T_PlannedOrders[EffectiveQty],T_PlannedOrders[Part Name],$A849,T_PlannedOrders[WeekIndex],30)=0,"",SUMIFS(T_PlannedOrders[EffectiveQty],T_PlannedOrders[Part Name],$A849,T_PlannedOrders[WeekIndex],30)&amp;" ("&amp;TEXT(SUMPRODUCT(MAX((T_PlannedOrders[Part Name]=$A849)*(T_PlannedOrders[WeekIndex]=30)*(T_PlannedOrders[EffectiveQty]&gt;0)*T_PlannedOrders[Order_Month])),"m月")&amp;"発注)")</f>
        <v/>
      </c>
      <c r="AH891">
        <f>IF(SUMIFS(T_PlannedOrders[EffectiveQty],T_PlannedOrders[Part Name],$A849,T_PlannedOrders[WeekIndex],31)=0,"",SUMIFS(T_PlannedOrders[EffectiveQty],T_PlannedOrders[Part Name],$A849,T_PlannedOrders[WeekIndex],31)&amp;" ("&amp;TEXT(SUMPRODUCT(MAX((T_PlannedOrders[Part Name]=$A849)*(T_PlannedOrders[WeekIndex]=31)*(T_PlannedOrders[EffectiveQty]&gt;0)*T_PlannedOrders[Order_Month])),"m月")&amp;"発注)")</f>
        <v/>
      </c>
      <c r="AI891">
        <f>IF(SUMIFS(T_PlannedOrders[EffectiveQty],T_PlannedOrders[Part Name],$A849,T_PlannedOrders[WeekIndex],32)=0,"",SUMIFS(T_PlannedOrders[EffectiveQty],T_PlannedOrders[Part Name],$A849,T_PlannedOrders[WeekIndex],32)&amp;" ("&amp;TEXT(SUMPRODUCT(MAX((T_PlannedOrders[Part Name]=$A849)*(T_PlannedOrders[WeekIndex]=32)*(T_PlannedOrders[EffectiveQty]&gt;0)*T_PlannedOrders[Order_Month])),"m月")&amp;"発注)")</f>
        <v/>
      </c>
      <c r="AJ891">
        <f>IF(SUMIFS(T_PlannedOrders[EffectiveQty],T_PlannedOrders[Part Name],$A849,T_PlannedOrders[WeekIndex],33)=0,"",SUMIFS(T_PlannedOrders[EffectiveQty],T_PlannedOrders[Part Name],$A849,T_PlannedOrders[WeekIndex],33)&amp;" ("&amp;TEXT(SUMPRODUCT(MAX((T_PlannedOrders[Part Name]=$A849)*(T_PlannedOrders[WeekIndex]=33)*(T_PlannedOrders[EffectiveQty]&gt;0)*T_PlannedOrders[Order_Month])),"m月")&amp;"発注)")</f>
        <v/>
      </c>
      <c r="AK891">
        <f>IF(SUMIFS(T_PlannedOrders[EffectiveQty],T_PlannedOrders[Part Name],$A849,T_PlannedOrders[WeekIndex],34)=0,"",SUMIFS(T_PlannedOrders[EffectiveQty],T_PlannedOrders[Part Name],$A849,T_PlannedOrders[WeekIndex],34)&amp;" ("&amp;TEXT(SUMPRODUCT(MAX((T_PlannedOrders[Part Name]=$A849)*(T_PlannedOrders[WeekIndex]=34)*(T_PlannedOrders[EffectiveQty]&gt;0)*T_PlannedOrders[Order_Month])),"m月")&amp;"発注)")</f>
        <v/>
      </c>
      <c r="AL891">
        <f>IF(SUMIFS(T_PlannedOrders[EffectiveQty],T_PlannedOrders[Part Name],$A849,T_PlannedOrders[WeekIndex],35)=0,"",SUMIFS(T_PlannedOrders[EffectiveQty],T_PlannedOrders[Part Name],$A849,T_PlannedOrders[WeekIndex],35)&amp;" ("&amp;TEXT(SUMPRODUCT(MAX((T_PlannedOrders[Part Name]=$A849)*(T_PlannedOrders[WeekIndex]=35)*(T_PlannedOrders[EffectiveQty]&gt;0)*T_PlannedOrders[Order_Month])),"m月")&amp;"発注)")</f>
        <v/>
      </c>
      <c r="AM891">
        <f>IF(SUMIFS(T_PlannedOrders[EffectiveQty],T_PlannedOrders[Part Name],$A849,T_PlannedOrders[WeekIndex],36)=0,"",SUMIFS(T_PlannedOrders[EffectiveQty],T_PlannedOrders[Part Name],$A849,T_PlannedOrders[WeekIndex],36)&amp;" ("&amp;TEXT(SUMPRODUCT(MAX((T_PlannedOrders[Part Name]=$A849)*(T_PlannedOrders[WeekIndex]=36)*(T_PlannedOrders[EffectiveQty]&gt;0)*T_PlannedOrders[Order_Month])),"m月")&amp;"発注)")</f>
        <v/>
      </c>
      <c r="AN891">
        <f>IF(SUMIFS(T_PlannedOrders[EffectiveQty],T_PlannedOrders[Part Name],$A849,T_PlannedOrders[WeekIndex],37)=0,"",SUMIFS(T_PlannedOrders[EffectiveQty],T_PlannedOrders[Part Name],$A849,T_PlannedOrders[WeekIndex],37)&amp;" ("&amp;TEXT(SUMPRODUCT(MAX((T_PlannedOrders[Part Name]=$A849)*(T_PlannedOrders[WeekIndex]=37)*(T_PlannedOrders[EffectiveQty]&gt;0)*T_PlannedOrders[Order_Month])),"m月")&amp;"発注)")</f>
        <v/>
      </c>
      <c r="AO891">
        <f>IF(SUMIFS(T_PlannedOrders[EffectiveQty],T_PlannedOrders[Part Name],$A849,T_PlannedOrders[WeekIndex],38)=0,"",SUMIFS(T_PlannedOrders[EffectiveQty],T_PlannedOrders[Part Name],$A849,T_PlannedOrders[WeekIndex],38)&amp;" ("&amp;TEXT(SUMPRODUCT(MAX((T_PlannedOrders[Part Name]=$A849)*(T_PlannedOrders[WeekIndex]=38)*(T_PlannedOrders[EffectiveQty]&gt;0)*T_PlannedOrders[Order_Month])),"m月")&amp;"発注)")</f>
        <v/>
      </c>
      <c r="AP891">
        <f>IF(SUMIFS(T_PlannedOrders[EffectiveQty],T_PlannedOrders[Part Name],$A849,T_PlannedOrders[WeekIndex],39)=0,"",SUMIFS(T_PlannedOrders[EffectiveQty],T_PlannedOrders[Part Name],$A849,T_PlannedOrders[WeekIndex],39)&amp;" ("&amp;TEXT(SUMPRODUCT(MAX((T_PlannedOrders[Part Name]=$A849)*(T_PlannedOrders[WeekIndex]=39)*(T_PlannedOrders[EffectiveQty]&gt;0)*T_PlannedOrders[Order_Month])),"m月")&amp;"発注)")</f>
        <v/>
      </c>
      <c r="AQ891">
        <f>IF(SUMIFS(T_PlannedOrders[EffectiveQty],T_PlannedOrders[Part Name],$A849,T_PlannedOrders[WeekIndex],40)=0,"",SUMIFS(T_PlannedOrders[EffectiveQty],T_PlannedOrders[Part Name],$A849,T_PlannedOrders[WeekIndex],40)&amp;" ("&amp;TEXT(SUMPRODUCT(MAX((T_PlannedOrders[Part Name]=$A849)*(T_PlannedOrders[WeekIndex]=40)*(T_PlannedOrders[EffectiveQty]&gt;0)*T_PlannedOrders[Order_Month])),"m月")&amp;"発注)")</f>
        <v/>
      </c>
      <c r="AR891">
        <f>IF(SUMIFS(T_PlannedOrders[EffectiveQty],T_PlannedOrders[Part Name],$A849,T_PlannedOrders[WeekIndex],41)=0,"",SUMIFS(T_PlannedOrders[EffectiveQty],T_PlannedOrders[Part Name],$A849,T_PlannedOrders[WeekIndex],41)&amp;" ("&amp;TEXT(SUMPRODUCT(MAX((T_PlannedOrders[Part Name]=$A849)*(T_PlannedOrders[WeekIndex]=41)*(T_PlannedOrders[EffectiveQty]&gt;0)*T_PlannedOrders[Order_Month])),"m月")&amp;"発注)")</f>
        <v/>
      </c>
      <c r="AS891">
        <f>IF(SUMIFS(T_PlannedOrders[EffectiveQty],T_PlannedOrders[Part Name],$A849,T_PlannedOrders[WeekIndex],42)=0,"",SUMIFS(T_PlannedOrders[EffectiveQty],T_PlannedOrders[Part Name],$A849,T_PlannedOrders[WeekIndex],42)&amp;" ("&amp;TEXT(SUMPRODUCT(MAX((T_PlannedOrders[Part Name]=$A849)*(T_PlannedOrders[WeekIndex]=42)*(T_PlannedOrders[EffectiveQty]&gt;0)*T_PlannedOrders[Order_Month])),"m月")&amp;"発注)")</f>
        <v/>
      </c>
      <c r="AT891">
        <f>IF(SUMIFS(T_PlannedOrders[EffectiveQty],T_PlannedOrders[Part Name],$A849,T_PlannedOrders[WeekIndex],43)=0,"",SUMIFS(T_PlannedOrders[EffectiveQty],T_PlannedOrders[Part Name],$A849,T_PlannedOrders[WeekIndex],43)&amp;" ("&amp;TEXT(SUMPRODUCT(MAX((T_PlannedOrders[Part Name]=$A849)*(T_PlannedOrders[WeekIndex]=43)*(T_PlannedOrders[EffectiveQty]&gt;0)*T_PlannedOrders[Order_Month])),"m月")&amp;"発注)")</f>
        <v/>
      </c>
      <c r="AU891">
        <f>IF(SUMIFS(T_PlannedOrders[EffectiveQty],T_PlannedOrders[Part Name],$A849,T_PlannedOrders[WeekIndex],44)=0,"",SUMIFS(T_PlannedOrders[EffectiveQty],T_PlannedOrders[Part Name],$A849,T_PlannedOrders[WeekIndex],44)&amp;" ("&amp;TEXT(SUMPRODUCT(MAX((T_PlannedOrders[Part Name]=$A849)*(T_PlannedOrders[WeekIndex]=44)*(T_PlannedOrders[EffectiveQty]&gt;0)*T_PlannedOrders[Order_Month])),"m月")&amp;"発注)")</f>
        <v/>
      </c>
      <c r="AV891">
        <f>IF(SUMIFS(T_PlannedOrders[EffectiveQty],T_PlannedOrders[Part Name],$A849,T_PlannedOrders[WeekIndex],45)=0,"",SUMIFS(T_PlannedOrders[EffectiveQty],T_PlannedOrders[Part Name],$A849,T_PlannedOrders[WeekIndex],45)&amp;" ("&amp;TEXT(SUMPRODUCT(MAX((T_PlannedOrders[Part Name]=$A849)*(T_PlannedOrders[WeekIndex]=45)*(T_PlannedOrders[EffectiveQty]&gt;0)*T_PlannedOrders[Order_Month])),"m月")&amp;"発注)")</f>
        <v/>
      </c>
      <c r="AW891">
        <f>IF(SUMIFS(T_PlannedOrders[EffectiveQty],T_PlannedOrders[Part Name],$A849,T_PlannedOrders[WeekIndex],46)=0,"",SUMIFS(T_PlannedOrders[EffectiveQty],T_PlannedOrders[Part Name],$A849,T_PlannedOrders[WeekIndex],46)&amp;" ("&amp;TEXT(SUMPRODUCT(MAX((T_PlannedOrders[Part Name]=$A849)*(T_PlannedOrders[WeekIndex]=46)*(T_PlannedOrders[EffectiveQty]&gt;0)*T_PlannedOrders[Order_Month])),"m月")&amp;"発注)")</f>
        <v/>
      </c>
      <c r="AX891">
        <f>IF(SUMIFS(T_PlannedOrders[EffectiveQty],T_PlannedOrders[Part Name],$A849,T_PlannedOrders[WeekIndex],47)=0,"",SUMIFS(T_PlannedOrders[EffectiveQty],T_PlannedOrders[Part Name],$A849,T_PlannedOrders[WeekIndex],47)&amp;" ("&amp;TEXT(SUMPRODUCT(MAX((T_PlannedOrders[Part Name]=$A849)*(T_PlannedOrders[WeekIndex]=47)*(T_PlannedOrders[EffectiveQty]&gt;0)*T_PlannedOrders[Order_Month])),"m月")&amp;"発注)")</f>
        <v/>
      </c>
      <c r="AY891">
        <f>IF(SUMIFS(T_PlannedOrders[EffectiveQty],T_PlannedOrders[Part Name],$A849,T_PlannedOrders[WeekIndex],48)=0,"",SUMIFS(T_PlannedOrders[EffectiveQty],T_PlannedOrders[Part Name],$A849,T_PlannedOrders[WeekIndex],48)&amp;" ("&amp;TEXT(SUMPRODUCT(MAX((T_PlannedOrders[Part Name]=$A849)*(T_PlannedOrders[WeekIndex]=48)*(T_PlannedOrders[EffectiveQty]&gt;0)*T_PlannedOrders[Order_Month])),"m月")&amp;"発注)")</f>
        <v/>
      </c>
      <c r="AZ891">
        <f>IF(SUMIFS(T_PlannedOrders[EffectiveQty],T_PlannedOrders[Part Name],$A849,T_PlannedOrders[WeekIndex],49)=0,"",SUMIFS(T_PlannedOrders[EffectiveQty],T_PlannedOrders[Part Name],$A849,T_PlannedOrders[WeekIndex],49)&amp;" ("&amp;TEXT(SUMPRODUCT(MAX((T_PlannedOrders[Part Name]=$A849)*(T_PlannedOrders[WeekIndex]=49)*(T_PlannedOrders[EffectiveQty]&gt;0)*T_PlannedOrders[Order_Month])),"m月")&amp;"発注)")</f>
        <v/>
      </c>
      <c r="BA891">
        <f>IF(SUMIFS(T_PlannedOrders[EffectiveQty],T_PlannedOrders[Part Name],$A849,T_PlannedOrders[WeekIndex],50)=0,"",SUMIFS(T_PlannedOrders[EffectiveQty],T_PlannedOrders[Part Name],$A849,T_PlannedOrders[WeekIndex],50)&amp;" ("&amp;TEXT(SUMPRODUCT(MAX((T_PlannedOrders[Part Name]=$A849)*(T_PlannedOrders[WeekIndex]=50)*(T_PlannedOrders[EffectiveQty]&gt;0)*T_PlannedOrders[Order_Month])),"m月")&amp;"発注)")</f>
        <v/>
      </c>
      <c r="BB891">
        <f>IF(SUMIFS(T_PlannedOrders[EffectiveQty],T_PlannedOrders[Part Name],$A849,T_PlannedOrders[WeekIndex],51)=0,"",SUMIFS(T_PlannedOrders[EffectiveQty],T_PlannedOrders[Part Name],$A849,T_PlannedOrders[WeekIndex],51)&amp;" ("&amp;TEXT(SUMPRODUCT(MAX((T_PlannedOrders[Part Name]=$A849)*(T_PlannedOrders[WeekIndex]=51)*(T_PlannedOrders[EffectiveQty]&gt;0)*T_PlannedOrders[Order_Month])),"m月")&amp;"発注)")</f>
        <v/>
      </c>
      <c r="BC891">
        <f>IF(SUMIFS(T_PlannedOrders[EffectiveQty],T_PlannedOrders[Part Name],$A849,T_PlannedOrders[WeekIndex],52)=0,"",SUMIFS(T_PlannedOrders[EffectiveQty],T_PlannedOrders[Part Name],$A849,T_PlannedOrders[WeekIndex],52)&amp;" ("&amp;TEXT(SUMPRODUCT(MAX((T_PlannedOrders[Part Name]=$A849)*(T_PlannedOrders[WeekIndex]=52)*(T_PlannedOrders[EffectiveQty]&gt;0)*T_PlannedOrders[Order_Month])),"m月")&amp;"発注)")</f>
        <v/>
      </c>
      <c r="BD891">
        <f>IF(SUMIFS(T_PlannedOrders[EffectiveQty],T_PlannedOrders[Part Name],$A849,T_PlannedOrders[WeekIndex],53)=0,"",SUMIFS(T_PlannedOrders[EffectiveQty],T_PlannedOrders[Part Name],$A849,T_PlannedOrders[WeekIndex],53)&amp;" ("&amp;TEXT(SUMPRODUCT(MAX((T_PlannedOrders[Part Name]=$A849)*(T_PlannedOrders[WeekIndex]=53)*(T_PlannedOrders[EffectiveQty]&gt;0)*T_PlannedOrders[Order_Month])),"m月")&amp;"発注)")</f>
        <v/>
      </c>
      <c r="BE891">
        <f>IF(SUMIFS(T_PlannedOrders[EffectiveQty],T_PlannedOrders[Part Name],$A849,T_PlannedOrders[WeekIndex],54)=0,"",SUMIFS(T_PlannedOrders[EffectiveQty],T_PlannedOrders[Part Name],$A849,T_PlannedOrders[WeekIndex],54)&amp;" ("&amp;TEXT(SUMPRODUCT(MAX((T_PlannedOrders[Part Name]=$A849)*(T_PlannedOrders[WeekIndex]=54)*(T_PlannedOrders[EffectiveQty]&gt;0)*T_PlannedOrders[Order_Month])),"m月")&amp;"発注)")</f>
        <v/>
      </c>
      <c r="BF891">
        <f>IF(SUMIFS(T_PlannedOrders[EffectiveQty],T_PlannedOrders[Part Name],$A849,T_PlannedOrders[WeekIndex],55)=0,"",SUMIFS(T_PlannedOrders[EffectiveQty],T_PlannedOrders[Part Name],$A849,T_PlannedOrders[WeekIndex],55)&amp;" ("&amp;TEXT(SUMPRODUCT(MAX((T_PlannedOrders[Part Name]=$A849)*(T_PlannedOrders[WeekIndex]=55)*(T_PlannedOrders[EffectiveQty]&gt;0)*T_PlannedOrders[Order_Month])),"m月")&amp;"発注)")</f>
        <v/>
      </c>
      <c r="BG891">
        <f>IF(SUMIFS(T_PlannedOrders[EffectiveQty],T_PlannedOrders[Part Name],$A849,T_PlannedOrders[WeekIndex],56)=0,"",SUMIFS(T_PlannedOrders[EffectiveQty],T_PlannedOrders[Part Name],$A849,T_PlannedOrders[WeekIndex],56)&amp;" ("&amp;TEXT(SUMPRODUCT(MAX((T_PlannedOrders[Part Name]=$A849)*(T_PlannedOrders[WeekIndex]=56)*(T_PlannedOrders[EffectiveQty]&gt;0)*T_PlannedOrders[Order_Month])),"m月")&amp;"発注)")</f>
        <v/>
      </c>
      <c r="BH891">
        <f>IF(SUMIFS(T_PlannedOrders[EffectiveQty],T_PlannedOrders[Part Name],$A849,T_PlannedOrders[WeekIndex],57)=0,"",SUMIFS(T_PlannedOrders[EffectiveQty],T_PlannedOrders[Part Name],$A849,T_PlannedOrders[WeekIndex],57)&amp;" ("&amp;TEXT(SUMPRODUCT(MAX((T_PlannedOrders[Part Name]=$A849)*(T_PlannedOrders[WeekIndex]=57)*(T_PlannedOrders[EffectiveQty]&gt;0)*T_PlannedOrders[Order_Month])),"m月")&amp;"発注)")</f>
        <v/>
      </c>
      <c r="BI891">
        <f>IF(SUMIFS(T_PlannedOrders[EffectiveQty],T_PlannedOrders[Part Name],$A849,T_PlannedOrders[WeekIndex],58)=0,"",SUMIFS(T_PlannedOrders[EffectiveQty],T_PlannedOrders[Part Name],$A849,T_PlannedOrders[WeekIndex],58)&amp;" ("&amp;TEXT(SUMPRODUCT(MAX((T_PlannedOrders[Part Name]=$A849)*(T_PlannedOrders[WeekIndex]=58)*(T_PlannedOrders[EffectiveQty]&gt;0)*T_PlannedOrders[Order_Month])),"m月")&amp;"発注)")</f>
        <v/>
      </c>
      <c r="BJ891">
        <f>IF(SUMIFS(T_PlannedOrders[EffectiveQty],T_PlannedOrders[Part Name],$A849,T_PlannedOrders[WeekIndex],59)=0,"",SUMIFS(T_PlannedOrders[EffectiveQty],T_PlannedOrders[Part Name],$A849,T_PlannedOrders[WeekIndex],59)&amp;" ("&amp;TEXT(SUMPRODUCT(MAX((T_PlannedOrders[Part Name]=$A849)*(T_PlannedOrders[WeekIndex]=59)*(T_PlannedOrders[EffectiveQty]&gt;0)*T_PlannedOrders[Order_Month])),"m月")&amp;"発注)")</f>
        <v/>
      </c>
      <c r="BK891">
        <f>IF(SUMIFS(T_PlannedOrders[EffectiveQty],T_PlannedOrders[Part Name],$A849,T_PlannedOrders[WeekIndex],60)=0,"",SUMIFS(T_PlannedOrders[EffectiveQty],T_PlannedOrders[Part Name],$A849,T_PlannedOrders[WeekIndex],60)&amp;" ("&amp;TEXT(SUMPRODUCT(MAX((T_PlannedOrders[Part Name]=$A849)*(T_PlannedOrders[WeekIndex]=60)*(T_PlannedOrders[EffectiveQty]&gt;0)*T_PlannedOrders[Order_Month])),"m月")&amp;"発注)")</f>
        <v/>
      </c>
      <c r="BL891">
        <f>IF(SUMIFS(T_PlannedOrders[EffectiveQty],T_PlannedOrders[Part Name],$A849,T_PlannedOrders[WeekIndex],61)=0,"",SUMIFS(T_PlannedOrders[EffectiveQty],T_PlannedOrders[Part Name],$A849,T_PlannedOrders[WeekIndex],61)&amp;" ("&amp;TEXT(SUMPRODUCT(MAX((T_PlannedOrders[Part Name]=$A849)*(T_PlannedOrders[WeekIndex]=61)*(T_PlannedOrders[EffectiveQty]&gt;0)*T_PlannedOrders[Order_Month])),"m月")&amp;"発注)")</f>
        <v/>
      </c>
      <c r="BM891">
        <f>IF(SUMIFS(T_PlannedOrders[EffectiveQty],T_PlannedOrders[Part Name],$A849,T_PlannedOrders[WeekIndex],62)=0,"",SUMIFS(T_PlannedOrders[EffectiveQty],T_PlannedOrders[Part Name],$A849,T_PlannedOrders[WeekIndex],62)&amp;" ("&amp;TEXT(SUMPRODUCT(MAX((T_PlannedOrders[Part Name]=$A849)*(T_PlannedOrders[WeekIndex]=62)*(T_PlannedOrders[EffectiveQty]&gt;0)*T_PlannedOrders[Order_Month])),"m月")&amp;"発注)")</f>
        <v/>
      </c>
      <c r="BN891">
        <f>IF(SUMIFS(T_PlannedOrders[EffectiveQty],T_PlannedOrders[Part Name],$A849,T_PlannedOrders[WeekIndex],63)=0,"",SUMIFS(T_PlannedOrders[EffectiveQty],T_PlannedOrders[Part Name],$A849,T_PlannedOrders[WeekIndex],63)&amp;" ("&amp;TEXT(SUMPRODUCT(MAX((T_PlannedOrders[Part Name]=$A849)*(T_PlannedOrders[WeekIndex]=63)*(T_PlannedOrders[EffectiveQty]&gt;0)*T_PlannedOrders[Order_Month])),"m月")&amp;"発注)")</f>
        <v/>
      </c>
      <c r="BO891">
        <f>IF(SUMIFS(T_PlannedOrders[EffectiveQty],T_PlannedOrders[Part Name],$A849,T_PlannedOrders[WeekIndex],64)=0,"",SUMIFS(T_PlannedOrders[EffectiveQty],T_PlannedOrders[Part Name],$A849,T_PlannedOrders[WeekIndex],64)&amp;" ("&amp;TEXT(SUMPRODUCT(MAX((T_PlannedOrders[Part Name]=$A849)*(T_PlannedOrders[WeekIndex]=64)*(T_PlannedOrders[EffectiveQty]&gt;0)*T_PlannedOrders[Order_Month])),"m月")&amp;"発注)")</f>
        <v/>
      </c>
      <c r="BP891">
        <f>IF(SUMIFS(T_PlannedOrders[EffectiveQty],T_PlannedOrders[Part Name],$A849,T_PlannedOrders[WeekIndex],65)=0,"",SUMIFS(T_PlannedOrders[EffectiveQty],T_PlannedOrders[Part Name],$A849,T_PlannedOrders[WeekIndex],65)&amp;" ("&amp;TEXT(SUMPRODUCT(MAX((T_PlannedOrders[Part Name]=$A849)*(T_PlannedOrders[WeekIndex]=65)*(T_PlannedOrders[EffectiveQty]&gt;0)*T_PlannedOrders[Order_Month])),"m月")&amp;"発注)")</f>
        <v/>
      </c>
      <c r="BQ891">
        <f>IF(SUMIFS(T_PlannedOrders[EffectiveQty],T_PlannedOrders[Part Name],$A849,T_PlannedOrders[WeekIndex],66)=0,"",SUMIFS(T_PlannedOrders[EffectiveQty],T_PlannedOrders[Part Name],$A849,T_PlannedOrders[WeekIndex],66)&amp;" ("&amp;TEXT(SUMPRODUCT(MAX((T_PlannedOrders[Part Name]=$A849)*(T_PlannedOrders[WeekIndex]=66)*(T_PlannedOrders[EffectiveQty]&gt;0)*T_PlannedOrders[Order_Month])),"m月")&amp;"発注)")</f>
        <v/>
      </c>
      <c r="BR891">
        <f>IF(SUMIFS(T_PlannedOrders[EffectiveQty],T_PlannedOrders[Part Name],$A849,T_PlannedOrders[WeekIndex],67)=0,"",SUMIFS(T_PlannedOrders[EffectiveQty],T_PlannedOrders[Part Name],$A849,T_PlannedOrders[WeekIndex],67)&amp;" ("&amp;TEXT(SUMPRODUCT(MAX((T_PlannedOrders[Part Name]=$A849)*(T_PlannedOrders[WeekIndex]=67)*(T_PlannedOrders[EffectiveQty]&gt;0)*T_PlannedOrders[Order_Month])),"m月")&amp;"発注)")</f>
        <v/>
      </c>
      <c r="BS891">
        <f>IF(SUMIFS(T_PlannedOrders[EffectiveQty],T_PlannedOrders[Part Name],$A849,T_PlannedOrders[WeekIndex],68)=0,"",SUMIFS(T_PlannedOrders[EffectiveQty],T_PlannedOrders[Part Name],$A849,T_PlannedOrders[WeekIndex],68)&amp;" ("&amp;TEXT(SUMPRODUCT(MAX((T_PlannedOrders[Part Name]=$A849)*(T_PlannedOrders[WeekIndex]=68)*(T_PlannedOrders[EffectiveQty]&gt;0)*T_PlannedOrders[Order_Month])),"m月")&amp;"発注)")</f>
        <v/>
      </c>
      <c r="BT891">
        <f>IF(SUMIFS(T_PlannedOrders[EffectiveQty],T_PlannedOrders[Part Name],$A849,T_PlannedOrders[WeekIndex],69)=0,"",SUMIFS(T_PlannedOrders[EffectiveQty],T_PlannedOrders[Part Name],$A849,T_PlannedOrders[WeekIndex],69)&amp;" ("&amp;TEXT(SUMPRODUCT(MAX((T_PlannedOrders[Part Name]=$A849)*(T_PlannedOrders[WeekIndex]=69)*(T_PlannedOrders[EffectiveQty]&gt;0)*T_PlannedOrders[Order_Month])),"m月")&amp;"発注)")</f>
        <v/>
      </c>
      <c r="BU891">
        <f>IF(SUMIFS(T_PlannedOrders[EffectiveQty],T_PlannedOrders[Part Name],$A849,T_PlannedOrders[WeekIndex],70)=0,"",SUMIFS(T_PlannedOrders[EffectiveQty],T_PlannedOrders[Part Name],$A849,T_PlannedOrders[WeekIndex],70)&amp;" ("&amp;TEXT(SUMPRODUCT(MAX((T_PlannedOrders[Part Name]=$A849)*(T_PlannedOrders[WeekIndex]=70)*(T_PlannedOrders[EffectiveQty]&gt;0)*T_PlannedOrders[Order_Month])),"m月")&amp;"発注)")</f>
        <v/>
      </c>
      <c r="BV891">
        <f>IF(SUMIFS(T_PlannedOrders[EffectiveQty],T_PlannedOrders[Part Name],$A849,T_PlannedOrders[WeekIndex],71)=0,"",SUMIFS(T_PlannedOrders[EffectiveQty],T_PlannedOrders[Part Name],$A849,T_PlannedOrders[WeekIndex],71)&amp;" ("&amp;TEXT(SUMPRODUCT(MAX((T_PlannedOrders[Part Name]=$A849)*(T_PlannedOrders[WeekIndex]=71)*(T_PlannedOrders[EffectiveQty]&gt;0)*T_PlannedOrders[Order_Month])),"m月")&amp;"発注)")</f>
        <v/>
      </c>
      <c r="BW891">
        <f>IF(SUMIFS(T_PlannedOrders[EffectiveQty],T_PlannedOrders[Part Name],$A849,T_PlannedOrders[WeekIndex],72)=0,"",SUMIFS(T_PlannedOrders[EffectiveQty],T_PlannedOrders[Part Name],$A849,T_PlannedOrders[WeekIndex],72)&amp;" ("&amp;TEXT(SUMPRODUCT(MAX((T_PlannedOrders[Part Name]=$A849)*(T_PlannedOrders[WeekIndex]=72)*(T_PlannedOrders[EffectiveQty]&gt;0)*T_PlannedOrders[Order_Month])),"m月")&amp;"発注)")</f>
        <v/>
      </c>
      <c r="BX891">
        <f>IF(SUMIFS(T_PlannedOrders[EffectiveQty],T_PlannedOrders[Part Name],$A849,T_PlannedOrders[WeekIndex],73)=0,"",SUMIFS(T_PlannedOrders[EffectiveQty],T_PlannedOrders[Part Name],$A849,T_PlannedOrders[WeekIndex],73)&amp;" ("&amp;TEXT(SUMPRODUCT(MAX((T_PlannedOrders[Part Name]=$A849)*(T_PlannedOrders[WeekIndex]=73)*(T_PlannedOrders[EffectiveQty]&gt;0)*T_PlannedOrders[Order_Month])),"m月")&amp;"発注)")</f>
        <v/>
      </c>
      <c r="BY891">
        <f>IF(SUMIFS(T_PlannedOrders[EffectiveQty],T_PlannedOrders[Part Name],$A849,T_PlannedOrders[WeekIndex],74)=0,"",SUMIFS(T_PlannedOrders[EffectiveQty],T_PlannedOrders[Part Name],$A849,T_PlannedOrders[WeekIndex],74)&amp;" ("&amp;TEXT(SUMPRODUCT(MAX((T_PlannedOrders[Part Name]=$A849)*(T_PlannedOrders[WeekIndex]=74)*(T_PlannedOrders[EffectiveQty]&gt;0)*T_PlannedOrders[Order_Month])),"m月")&amp;"発注)")</f>
        <v/>
      </c>
      <c r="BZ891">
        <f>IF(SUMIFS(T_PlannedOrders[EffectiveQty],T_PlannedOrders[Part Name],$A849,T_PlannedOrders[WeekIndex],75)=0,"",SUMIFS(T_PlannedOrders[EffectiveQty],T_PlannedOrders[Part Name],$A849,T_PlannedOrders[WeekIndex],75)&amp;" ("&amp;TEXT(SUMPRODUCT(MAX((T_PlannedOrders[Part Name]=$A849)*(T_PlannedOrders[WeekIndex]=75)*(T_PlannedOrders[EffectiveQty]&gt;0)*T_PlannedOrders[Order_Month])),"m月")&amp;"発注)")</f>
        <v/>
      </c>
      <c r="CA891">
        <f>IF(SUMIFS(T_PlannedOrders[EffectiveQty],T_PlannedOrders[Part Name],$A849,T_PlannedOrders[WeekIndex],76)=0,"",SUMIFS(T_PlannedOrders[EffectiveQty],T_PlannedOrders[Part Name],$A849,T_PlannedOrders[WeekIndex],76)&amp;" ("&amp;TEXT(SUMPRODUCT(MAX((T_PlannedOrders[Part Name]=$A849)*(T_PlannedOrders[WeekIndex]=76)*(T_PlannedOrders[EffectiveQty]&gt;0)*T_PlannedOrders[Order_Month])),"m月")&amp;"発注)")</f>
        <v/>
      </c>
      <c r="CB891">
        <f>IF(SUMIFS(T_PlannedOrders[EffectiveQty],T_PlannedOrders[Part Name],$A849,T_PlannedOrders[WeekIndex],77)=0,"",SUMIFS(T_PlannedOrders[EffectiveQty],T_PlannedOrders[Part Name],$A849,T_PlannedOrders[WeekIndex],77)&amp;" ("&amp;TEXT(SUMPRODUCT(MAX((T_PlannedOrders[Part Name]=$A849)*(T_PlannedOrders[WeekIndex]=77)*(T_PlannedOrders[EffectiveQty]&gt;0)*T_PlannedOrders[Order_Month])),"m月")&amp;"発注)")</f>
        <v/>
      </c>
      <c r="CC891">
        <f>IF(SUMIFS(T_PlannedOrders[EffectiveQty],T_PlannedOrders[Part Name],$A849,T_PlannedOrders[WeekIndex],78)=0,"",SUMIFS(T_PlannedOrders[EffectiveQty],T_PlannedOrders[Part Name],$A849,T_PlannedOrders[WeekIndex],78)&amp;" ("&amp;TEXT(SUMPRODUCT(MAX((T_PlannedOrders[Part Name]=$A849)*(T_PlannedOrders[WeekIndex]=78)*(T_PlannedOrders[EffectiveQty]&gt;0)*T_PlannedOrders[Order_Month])),"m月")&amp;"発注)")</f>
        <v/>
      </c>
      <c r="CD891">
        <f>IF(SUMIFS(T_PlannedOrders[EffectiveQty],T_PlannedOrders[Part Name],$A849,T_PlannedOrders[WeekIndex],79)=0,"",SUMIFS(T_PlannedOrders[EffectiveQty],T_PlannedOrders[Part Name],$A849,T_PlannedOrders[WeekIndex],79)&amp;" ("&amp;TEXT(SUMPRODUCT(MAX((T_PlannedOrders[Part Name]=$A849)*(T_PlannedOrders[WeekIndex]=79)*(T_PlannedOrders[EffectiveQty]&gt;0)*T_PlannedOrders[Order_Month])),"m月")&amp;"発注)")</f>
        <v/>
      </c>
      <c r="CE891">
        <f>IF(SUMIFS(T_PlannedOrders[EffectiveQty],T_PlannedOrders[Part Name],$A849,T_PlannedOrders[WeekIndex],80)=0,"",SUMIFS(T_PlannedOrders[EffectiveQty],T_PlannedOrders[Part Name],$A849,T_PlannedOrders[WeekIndex],80)&amp;" ("&amp;TEXT(SUMPRODUCT(MAX((T_PlannedOrders[Part Name]=$A849)*(T_PlannedOrders[WeekIndex]=80)*(T_PlannedOrders[EffectiveQty]&gt;0)*T_PlannedOrders[Order_Month])),"m月")&amp;"発注)")</f>
        <v/>
      </c>
      <c r="CF891">
        <f>IF(SUMIFS(T_PlannedOrders[EffectiveQty],T_PlannedOrders[Part Name],$A849,T_PlannedOrders[WeekIndex],81)=0,"",SUMIFS(T_PlannedOrders[EffectiveQty],T_PlannedOrders[Part Name],$A849,T_PlannedOrders[WeekIndex],81)&amp;" ("&amp;TEXT(SUMPRODUCT(MAX((T_PlannedOrders[Part Name]=$A849)*(T_PlannedOrders[WeekIndex]=81)*(T_PlannedOrders[EffectiveQty]&gt;0)*T_PlannedOrders[Order_Month])),"m月")&amp;"発注)")</f>
        <v/>
      </c>
      <c r="CG891">
        <f>IF(SUMIFS(T_PlannedOrders[EffectiveQty],T_PlannedOrders[Part Name],$A849,T_PlannedOrders[WeekIndex],82)=0,"",SUMIFS(T_PlannedOrders[EffectiveQty],T_PlannedOrders[Part Name],$A849,T_PlannedOrders[WeekIndex],82)&amp;" ("&amp;TEXT(SUMPRODUCT(MAX((T_PlannedOrders[Part Name]=$A849)*(T_PlannedOrders[WeekIndex]=82)*(T_PlannedOrders[EffectiveQty]&gt;0)*T_PlannedOrders[Order_Month])),"m月")&amp;"発注)")</f>
        <v/>
      </c>
      <c r="CH891">
        <f>IF(SUMIFS(T_PlannedOrders[EffectiveQty],T_PlannedOrders[Part Name],$A849,T_PlannedOrders[WeekIndex],83)=0,"",SUMIFS(T_PlannedOrders[EffectiveQty],T_PlannedOrders[Part Name],$A849,T_PlannedOrders[WeekIndex],83)&amp;" ("&amp;TEXT(SUMPRODUCT(MAX((T_PlannedOrders[Part Name]=$A849)*(T_PlannedOrders[WeekIndex]=83)*(T_PlannedOrders[EffectiveQty]&gt;0)*T_PlannedOrders[Order_Month])),"m月")&amp;"発注)")</f>
        <v/>
      </c>
      <c r="CI891">
        <f>IF(SUMIFS(T_PlannedOrders[EffectiveQty],T_PlannedOrders[Part Name],$A849,T_PlannedOrders[WeekIndex],84)=0,"",SUMIFS(T_PlannedOrders[EffectiveQty],T_PlannedOrders[Part Name],$A849,T_PlannedOrders[WeekIndex],84)&amp;" ("&amp;TEXT(SUMPRODUCT(MAX((T_PlannedOrders[Part Name]=$A849)*(T_PlannedOrders[WeekIndex]=84)*(T_PlannedOrders[EffectiveQty]&gt;0)*T_PlannedOrders[Order_Month])),"m月")&amp;"発注)")</f>
        <v/>
      </c>
      <c r="CJ891">
        <f>IF(SUMIFS(T_PlannedOrders[EffectiveQty],T_PlannedOrders[Part Name],$A849,T_PlannedOrders[WeekIndex],85)=0,"",SUMIFS(T_PlannedOrders[EffectiveQty],T_PlannedOrders[Part Name],$A849,T_PlannedOrders[WeekIndex],85)&amp;" ("&amp;TEXT(SUMPRODUCT(MAX((T_PlannedOrders[Part Name]=$A849)*(T_PlannedOrders[WeekIndex]=85)*(T_PlannedOrders[EffectiveQty]&gt;0)*T_PlannedOrders[Order_Month])),"m月")&amp;"発注)")</f>
        <v/>
      </c>
      <c r="CK891">
        <f>IF(SUMIFS(T_PlannedOrders[EffectiveQty],T_PlannedOrders[Part Name],$A849,T_PlannedOrders[WeekIndex],86)=0,"",SUMIFS(T_PlannedOrders[EffectiveQty],T_PlannedOrders[Part Name],$A849,T_PlannedOrders[WeekIndex],86)&amp;" ("&amp;TEXT(SUMPRODUCT(MAX((T_PlannedOrders[Part Name]=$A849)*(T_PlannedOrders[WeekIndex]=86)*(T_PlannedOrders[EffectiveQty]&gt;0)*T_PlannedOrders[Order_Month])),"m月")&amp;"発注)")</f>
        <v/>
      </c>
      <c r="CL891">
        <f>IF(SUMIFS(T_PlannedOrders[EffectiveQty],T_PlannedOrders[Part Name],$A849,T_PlannedOrders[WeekIndex],87)=0,"",SUMIFS(T_PlannedOrders[EffectiveQty],T_PlannedOrders[Part Name],$A849,T_PlannedOrders[WeekIndex],87)&amp;" ("&amp;TEXT(SUMPRODUCT(MAX((T_PlannedOrders[Part Name]=$A849)*(T_PlannedOrders[WeekIndex]=87)*(T_PlannedOrders[EffectiveQty]&gt;0)*T_PlannedOrders[Order_Month])),"m月")&amp;"発注)")</f>
        <v/>
      </c>
      <c r="CM891">
        <f>IF(SUMIFS(T_PlannedOrders[EffectiveQty],T_PlannedOrders[Part Name],$A849,T_PlannedOrders[WeekIndex],88)=0,"",SUMIFS(T_PlannedOrders[EffectiveQty],T_PlannedOrders[Part Name],$A849,T_PlannedOrders[WeekIndex],88)&amp;" ("&amp;TEXT(SUMPRODUCT(MAX((T_PlannedOrders[Part Name]=$A849)*(T_PlannedOrders[WeekIndex]=88)*(T_PlannedOrders[EffectiveQty]&gt;0)*T_PlannedOrders[Order_Month])),"m月")&amp;"発注)")</f>
        <v/>
      </c>
      <c r="CN891">
        <f>IF(SUMIFS(T_PlannedOrders[EffectiveQty],T_PlannedOrders[Part Name],$A849,T_PlannedOrders[WeekIndex],89)=0,"",SUMIFS(T_PlannedOrders[EffectiveQty],T_PlannedOrders[Part Name],$A849,T_PlannedOrders[WeekIndex],89)&amp;" ("&amp;TEXT(SUMPRODUCT(MAX((T_PlannedOrders[Part Name]=$A849)*(T_PlannedOrders[WeekIndex]=89)*(T_PlannedOrders[EffectiveQty]&gt;0)*T_PlannedOrders[Order_Month])),"m月")&amp;"発注)")</f>
        <v/>
      </c>
      <c r="CO891">
        <f>IF(SUMIFS(T_PlannedOrders[EffectiveQty],T_PlannedOrders[Part Name],$A849,T_PlannedOrders[WeekIndex],90)=0,"",SUMIFS(T_PlannedOrders[EffectiveQty],T_PlannedOrders[Part Name],$A849,T_PlannedOrders[WeekIndex],90)&amp;" ("&amp;TEXT(SUMPRODUCT(MAX((T_PlannedOrders[Part Name]=$A849)*(T_PlannedOrders[WeekIndex]=90)*(T_PlannedOrders[EffectiveQty]&gt;0)*T_PlannedOrders[Order_Month])),"m月")&amp;"発注)")</f>
        <v/>
      </c>
      <c r="CP891">
        <f>IF(SUMIFS(T_PlannedOrders[EffectiveQty],T_PlannedOrders[Part Name],$A849,T_PlannedOrders[WeekIndex],91)=0,"",SUMIFS(T_PlannedOrders[EffectiveQty],T_PlannedOrders[Part Name],$A849,T_PlannedOrders[WeekIndex],91)&amp;" ("&amp;TEXT(SUMPRODUCT(MAX((T_PlannedOrders[Part Name]=$A849)*(T_PlannedOrders[WeekIndex]=91)*(T_PlannedOrders[EffectiveQty]&gt;0)*T_PlannedOrders[Order_Month])),"m月")&amp;"発注)")</f>
        <v/>
      </c>
      <c r="CQ891">
        <f>IF(SUMIFS(T_PlannedOrders[EffectiveQty],T_PlannedOrders[Part Name],$A849,T_PlannedOrders[WeekIndex],92)=0,"",SUMIFS(T_PlannedOrders[EffectiveQty],T_PlannedOrders[Part Name],$A849,T_PlannedOrders[WeekIndex],92)&amp;" ("&amp;TEXT(SUMPRODUCT(MAX((T_PlannedOrders[Part Name]=$A849)*(T_PlannedOrders[WeekIndex]=92)*(T_PlannedOrders[EffectiveQty]&gt;0)*T_PlannedOrders[Order_Month])),"m月")&amp;"発注)")</f>
        <v/>
      </c>
      <c r="CR891">
        <f>IF(SUMIFS(T_PlannedOrders[EffectiveQty],T_PlannedOrders[Part Name],$A849,T_PlannedOrders[WeekIndex],93)=0,"",SUMIFS(T_PlannedOrders[EffectiveQty],T_PlannedOrders[Part Name],$A849,T_PlannedOrders[WeekIndex],93)&amp;" ("&amp;TEXT(SUMPRODUCT(MAX((T_PlannedOrders[Part Name]=$A849)*(T_PlannedOrders[WeekIndex]=93)*(T_PlannedOrders[EffectiveQty]&gt;0)*T_PlannedOrders[Order_Month])),"m月")&amp;"発注)")</f>
        <v/>
      </c>
      <c r="CS891">
        <f>IF(SUMIFS(T_PlannedOrders[EffectiveQty],T_PlannedOrders[Part Name],$A849,T_PlannedOrders[WeekIndex],94)=0,"",SUMIFS(T_PlannedOrders[EffectiveQty],T_PlannedOrders[Part Name],$A849,T_PlannedOrders[WeekIndex],94)&amp;" ("&amp;TEXT(SUMPRODUCT(MAX((T_PlannedOrders[Part Name]=$A849)*(T_PlannedOrders[WeekIndex]=94)*(T_PlannedOrders[EffectiveQty]&gt;0)*T_PlannedOrders[Order_Month])),"m月")&amp;"発注)")</f>
        <v/>
      </c>
      <c r="CT891">
        <f>IF(SUMIFS(T_PlannedOrders[EffectiveQty],T_PlannedOrders[Part Name],$A849,T_PlannedOrders[WeekIndex],95)=0,"",SUMIFS(T_PlannedOrders[EffectiveQty],T_PlannedOrders[Part Name],$A849,T_PlannedOrders[WeekIndex],95)&amp;" ("&amp;TEXT(SUMPRODUCT(MAX((T_PlannedOrders[Part Name]=$A849)*(T_PlannedOrders[WeekIndex]=95)*(T_PlannedOrders[EffectiveQty]&gt;0)*T_PlannedOrders[Order_Month])),"m月")&amp;"発注)")</f>
        <v/>
      </c>
      <c r="CU891">
        <f>IF(SUMIFS(T_PlannedOrders[EffectiveQty],T_PlannedOrders[Part Name],$A849,T_PlannedOrders[WeekIndex],96)=0,"",SUMIFS(T_PlannedOrders[EffectiveQty],T_PlannedOrders[Part Name],$A849,T_PlannedOrders[WeekIndex],96)&amp;" ("&amp;TEXT(SUMPRODUCT(MAX((T_PlannedOrders[Part Name]=$A849)*(T_PlannedOrders[WeekIndex]=96)*(T_PlannedOrders[EffectiveQty]&gt;0)*T_PlannedOrders[Order_Month])),"m月")&amp;"発注)")</f>
        <v/>
      </c>
      <c r="CV891">
        <f>IF(SUMIFS(T_PlannedOrders[EffectiveQty],T_PlannedOrders[Part Name],$A849,T_PlannedOrders[WeekIndex],97)=0,"",SUMIFS(T_PlannedOrders[EffectiveQty],T_PlannedOrders[Part Name],$A849,T_PlannedOrders[WeekIndex],97)&amp;" ("&amp;TEXT(SUMPRODUCT(MAX((T_PlannedOrders[Part Name]=$A849)*(T_PlannedOrders[WeekIndex]=97)*(T_PlannedOrders[EffectiveQty]&gt;0)*T_PlannedOrders[Order_Month])),"m月")&amp;"発注)")</f>
        <v/>
      </c>
      <c r="CW891">
        <f>IF(SUMIFS(T_PlannedOrders[EffectiveQty],T_PlannedOrders[Part Name],$A849,T_PlannedOrders[WeekIndex],98)=0,"",SUMIFS(T_PlannedOrders[EffectiveQty],T_PlannedOrders[Part Name],$A849,T_PlannedOrders[WeekIndex],98)&amp;" ("&amp;TEXT(SUMPRODUCT(MAX((T_PlannedOrders[Part Name]=$A849)*(T_PlannedOrders[WeekIndex]=98)*(T_PlannedOrders[EffectiveQty]&gt;0)*T_PlannedOrders[Order_Month])),"m月")&amp;"発注)")</f>
        <v/>
      </c>
      <c r="CX891">
        <f>IF(SUMIFS(T_PlannedOrders[EffectiveQty],T_PlannedOrders[Part Name],$A849,T_PlannedOrders[WeekIndex],99)=0,"",SUMIFS(T_PlannedOrders[EffectiveQty],T_PlannedOrders[Part Name],$A849,T_PlannedOrders[WeekIndex],99)&amp;" ("&amp;TEXT(SUMPRODUCT(MAX((T_PlannedOrders[Part Name]=$A849)*(T_PlannedOrders[WeekIndex]=99)*(T_PlannedOrders[EffectiveQty]&gt;0)*T_PlannedOrders[Order_Month])),"m月")&amp;"発注)")</f>
        <v/>
      </c>
      <c r="CY891">
        <f>IF(SUMIFS(T_PlannedOrders[EffectiveQty],T_PlannedOrders[Part Name],$A849,T_PlannedOrders[WeekIndex],100)=0,"",SUMIFS(T_PlannedOrders[EffectiveQty],T_PlannedOrders[Part Name],$A849,T_PlannedOrders[WeekIndex],100)&amp;" ("&amp;TEXT(SUMPRODUCT(MAX((T_PlannedOrders[Part Name]=$A849)*(T_PlannedOrders[WeekIndex]=100)*(T_PlannedOrders[EffectiveQty]&gt;0)*T_PlannedOrders[Order_Month])),"m月")&amp;"発注)")</f>
        <v/>
      </c>
      <c r="CZ891">
        <f>IF(SUMIFS(T_PlannedOrders[EffectiveQty],T_PlannedOrders[Part Name],$A849,T_PlannedOrders[WeekIndex],101)=0,"",SUMIFS(T_PlannedOrders[EffectiveQty],T_PlannedOrders[Part Name],$A849,T_PlannedOrders[WeekIndex],101)&amp;" ("&amp;TEXT(SUMPRODUCT(MAX((T_PlannedOrders[Part Name]=$A849)*(T_PlannedOrders[WeekIndex]=101)*(T_PlannedOrders[EffectiveQty]&gt;0)*T_PlannedOrders[Order_Month])),"m月")&amp;"発注)")</f>
        <v/>
      </c>
      <c r="DA891">
        <f>IF(SUMIFS(T_PlannedOrders[EffectiveQty],T_PlannedOrders[Part Name],$A849,T_PlannedOrders[WeekIndex],102)=0,"",SUMIFS(T_PlannedOrders[EffectiveQty],T_PlannedOrders[Part Name],$A849,T_PlannedOrders[WeekIndex],102)&amp;" ("&amp;TEXT(SUMPRODUCT(MAX((T_PlannedOrders[Part Name]=$A849)*(T_PlannedOrders[WeekIndex]=102)*(T_PlannedOrders[EffectiveQty]&gt;0)*T_PlannedOrders[Order_Month])),"m月")&amp;"発注)")</f>
        <v/>
      </c>
      <c r="DB891">
        <f>IF(SUMIFS(T_PlannedOrders[EffectiveQty],T_PlannedOrders[Part Name],$A849,T_PlannedOrders[WeekIndex],103)=0,"",SUMIFS(T_PlannedOrders[EffectiveQty],T_PlannedOrders[Part Name],$A849,T_PlannedOrders[WeekIndex],103)&amp;" ("&amp;TEXT(SUMPRODUCT(MAX((T_PlannedOrders[Part Name]=$A849)*(T_PlannedOrders[WeekIndex]=103)*(T_PlannedOrders[EffectiveQty]&gt;0)*T_PlannedOrders[Order_Month])),"m月")&amp;"発注)")</f>
        <v/>
      </c>
      <c r="DC891">
        <f>IF(SUMIFS(T_PlannedOrders[EffectiveQty],T_PlannedOrders[Part Name],$A849,T_PlannedOrders[WeekIndex],104)=0,"",SUMIFS(T_PlannedOrders[EffectiveQty],T_PlannedOrders[Part Name],$A849,T_PlannedOrders[WeekIndex],104)&amp;" ("&amp;TEXT(SUMPRODUCT(MAX((T_PlannedOrders[Part Name]=$A849)*(T_PlannedOrders[WeekIndex]=104)*(T_PlannedOrders[EffectiveQty]&gt;0)*T_PlannedOrders[Order_Month])),"m月")&amp;"発注)")</f>
        <v/>
      </c>
    </row>
    <row r="892">
      <c r="B892" s="4" t="inlineStr">
        <is>
          <t>合計在庫(週末時点,kg)</t>
        </is>
      </c>
      <c r="D892">
        <f>'Grid_Stock'!B7</f>
        <v/>
      </c>
      <c r="E892">
        <f>'Grid_Stock'!C7</f>
        <v/>
      </c>
      <c r="F892">
        <f>'Grid_Stock'!D7</f>
        <v/>
      </c>
      <c r="G892">
        <f>'Grid_Stock'!E7</f>
        <v/>
      </c>
      <c r="H892">
        <f>'Grid_Stock'!F7</f>
        <v/>
      </c>
      <c r="I892">
        <f>'Grid_Stock'!G7</f>
        <v/>
      </c>
      <c r="J892">
        <f>'Grid_Stock'!H7</f>
        <v/>
      </c>
      <c r="K892">
        <f>'Grid_Stock'!I7</f>
        <v/>
      </c>
      <c r="L892">
        <f>'Grid_Stock'!J7</f>
        <v/>
      </c>
      <c r="M892">
        <f>'Grid_Stock'!K7</f>
        <v/>
      </c>
      <c r="N892">
        <f>'Grid_Stock'!L7</f>
        <v/>
      </c>
      <c r="O892">
        <f>'Grid_Stock'!M7</f>
        <v/>
      </c>
      <c r="P892">
        <f>'Grid_Stock'!N7</f>
        <v/>
      </c>
      <c r="Q892">
        <f>'Grid_Stock'!O7</f>
        <v/>
      </c>
      <c r="R892">
        <f>'Grid_Stock'!P7</f>
        <v/>
      </c>
      <c r="S892">
        <f>'Grid_Stock'!Q7</f>
        <v/>
      </c>
      <c r="T892">
        <f>'Grid_Stock'!R7</f>
        <v/>
      </c>
      <c r="U892">
        <f>'Grid_Stock'!S7</f>
        <v/>
      </c>
      <c r="V892">
        <f>'Grid_Stock'!T7</f>
        <v/>
      </c>
      <c r="W892">
        <f>'Grid_Stock'!U7</f>
        <v/>
      </c>
      <c r="X892">
        <f>'Grid_Stock'!V7</f>
        <v/>
      </c>
      <c r="Y892">
        <f>'Grid_Stock'!W7</f>
        <v/>
      </c>
      <c r="Z892">
        <f>'Grid_Stock'!X7</f>
        <v/>
      </c>
      <c r="AA892">
        <f>'Grid_Stock'!Y7</f>
        <v/>
      </c>
      <c r="AB892">
        <f>'Grid_Stock'!Z7</f>
        <v/>
      </c>
      <c r="AC892">
        <f>'Grid_Stock'!AA7</f>
        <v/>
      </c>
      <c r="AD892">
        <f>'Grid_Stock'!AB7</f>
        <v/>
      </c>
      <c r="AE892">
        <f>'Grid_Stock'!AC7</f>
        <v/>
      </c>
      <c r="AF892">
        <f>'Grid_Stock'!AD7</f>
        <v/>
      </c>
      <c r="AG892">
        <f>'Grid_Stock'!AE7</f>
        <v/>
      </c>
      <c r="AH892">
        <f>'Grid_Stock'!AF7</f>
        <v/>
      </c>
      <c r="AI892">
        <f>'Grid_Stock'!AG7</f>
        <v/>
      </c>
      <c r="AJ892">
        <f>'Grid_Stock'!AH7</f>
        <v/>
      </c>
      <c r="AK892">
        <f>'Grid_Stock'!AI7</f>
        <v/>
      </c>
      <c r="AL892">
        <f>'Grid_Stock'!AJ7</f>
        <v/>
      </c>
      <c r="AM892">
        <f>'Grid_Stock'!AK7</f>
        <v/>
      </c>
      <c r="AN892">
        <f>'Grid_Stock'!AL7</f>
        <v/>
      </c>
      <c r="AO892">
        <f>'Grid_Stock'!AM7</f>
        <v/>
      </c>
      <c r="AP892">
        <f>'Grid_Stock'!AN7</f>
        <v/>
      </c>
      <c r="AQ892">
        <f>'Grid_Stock'!AO7</f>
        <v/>
      </c>
      <c r="AR892">
        <f>'Grid_Stock'!AP7</f>
        <v/>
      </c>
      <c r="AS892">
        <f>'Grid_Stock'!AQ7</f>
        <v/>
      </c>
      <c r="AT892">
        <f>'Grid_Stock'!AR7</f>
        <v/>
      </c>
      <c r="AU892">
        <f>'Grid_Stock'!AS7</f>
        <v/>
      </c>
      <c r="AV892">
        <f>'Grid_Stock'!AT7</f>
        <v/>
      </c>
      <c r="AW892">
        <f>'Grid_Stock'!AU7</f>
        <v/>
      </c>
      <c r="AX892">
        <f>'Grid_Stock'!AV7</f>
        <v/>
      </c>
      <c r="AY892">
        <f>'Grid_Stock'!AW7</f>
        <v/>
      </c>
      <c r="AZ892">
        <f>'Grid_Stock'!AX7</f>
        <v/>
      </c>
      <c r="BA892">
        <f>'Grid_Stock'!AY7</f>
        <v/>
      </c>
      <c r="BB892">
        <f>'Grid_Stock'!AZ7</f>
        <v/>
      </c>
      <c r="BC892">
        <f>'Grid_Stock'!BA7</f>
        <v/>
      </c>
      <c r="BD892">
        <f>'Grid_Stock'!BB7</f>
        <v/>
      </c>
      <c r="BE892">
        <f>'Grid_Stock'!BC7</f>
        <v/>
      </c>
      <c r="BF892">
        <f>'Grid_Stock'!BD7</f>
        <v/>
      </c>
      <c r="BG892">
        <f>'Grid_Stock'!BE7</f>
        <v/>
      </c>
      <c r="BH892">
        <f>'Grid_Stock'!BF7</f>
        <v/>
      </c>
      <c r="BI892">
        <f>'Grid_Stock'!BG7</f>
        <v/>
      </c>
      <c r="BJ892">
        <f>'Grid_Stock'!BH7</f>
        <v/>
      </c>
      <c r="BK892">
        <f>'Grid_Stock'!BI7</f>
        <v/>
      </c>
      <c r="BL892">
        <f>'Grid_Stock'!BJ7</f>
        <v/>
      </c>
      <c r="BM892">
        <f>'Grid_Stock'!BK7</f>
        <v/>
      </c>
      <c r="BN892">
        <f>'Grid_Stock'!BL7</f>
        <v/>
      </c>
      <c r="BO892">
        <f>'Grid_Stock'!BM7</f>
        <v/>
      </c>
      <c r="BP892">
        <f>'Grid_Stock'!BN7</f>
        <v/>
      </c>
      <c r="BQ892">
        <f>'Grid_Stock'!BO7</f>
        <v/>
      </c>
      <c r="BR892">
        <f>'Grid_Stock'!BP7</f>
        <v/>
      </c>
      <c r="BS892">
        <f>'Grid_Stock'!BQ7</f>
        <v/>
      </c>
      <c r="BT892">
        <f>'Grid_Stock'!BR7</f>
        <v/>
      </c>
      <c r="BU892">
        <f>'Grid_Stock'!BS7</f>
        <v/>
      </c>
      <c r="BV892">
        <f>'Grid_Stock'!BT7</f>
        <v/>
      </c>
      <c r="BW892">
        <f>'Grid_Stock'!BU7</f>
        <v/>
      </c>
      <c r="BX892">
        <f>'Grid_Stock'!BV7</f>
        <v/>
      </c>
      <c r="BY892">
        <f>'Grid_Stock'!BW7</f>
        <v/>
      </c>
      <c r="BZ892">
        <f>'Grid_Stock'!BX7</f>
        <v/>
      </c>
      <c r="CA892">
        <f>'Grid_Stock'!BY7</f>
        <v/>
      </c>
      <c r="CB892">
        <f>'Grid_Stock'!BZ7</f>
        <v/>
      </c>
      <c r="CC892">
        <f>'Grid_Stock'!CA7</f>
        <v/>
      </c>
      <c r="CD892">
        <f>'Grid_Stock'!CB7</f>
        <v/>
      </c>
      <c r="CE892">
        <f>'Grid_Stock'!CC7</f>
        <v/>
      </c>
      <c r="CF892">
        <f>'Grid_Stock'!CD7</f>
        <v/>
      </c>
      <c r="CG892">
        <f>'Grid_Stock'!CE7</f>
        <v/>
      </c>
      <c r="CH892">
        <f>'Grid_Stock'!CF7</f>
        <v/>
      </c>
      <c r="CI892">
        <f>'Grid_Stock'!CG7</f>
        <v/>
      </c>
      <c r="CJ892">
        <f>'Grid_Stock'!CH7</f>
        <v/>
      </c>
      <c r="CK892">
        <f>'Grid_Stock'!CI7</f>
        <v/>
      </c>
      <c r="CL892">
        <f>'Grid_Stock'!CJ7</f>
        <v/>
      </c>
      <c r="CM892">
        <f>'Grid_Stock'!CK7</f>
        <v/>
      </c>
      <c r="CN892">
        <f>'Grid_Stock'!CL7</f>
        <v/>
      </c>
      <c r="CO892">
        <f>'Grid_Stock'!CM7</f>
        <v/>
      </c>
      <c r="CP892">
        <f>'Grid_Stock'!CN7</f>
        <v/>
      </c>
      <c r="CQ892">
        <f>'Grid_Stock'!CO7</f>
        <v/>
      </c>
      <c r="CR892">
        <f>'Grid_Stock'!CP7</f>
        <v/>
      </c>
      <c r="CS892">
        <f>'Grid_Stock'!CQ7</f>
        <v/>
      </c>
      <c r="CT892">
        <f>'Grid_Stock'!CR7</f>
        <v/>
      </c>
      <c r="CU892">
        <f>'Grid_Stock'!CS7</f>
        <v/>
      </c>
      <c r="CV892">
        <f>'Grid_Stock'!CT7</f>
        <v/>
      </c>
      <c r="CW892">
        <f>'Grid_Stock'!CU7</f>
        <v/>
      </c>
      <c r="CX892">
        <f>'Grid_Stock'!CV7</f>
        <v/>
      </c>
      <c r="CY892">
        <f>'Grid_Stock'!CW7</f>
        <v/>
      </c>
      <c r="CZ892">
        <f>'Grid_Stock'!CX7</f>
        <v/>
      </c>
      <c r="DA892">
        <f>'Grid_Stock'!CY7</f>
        <v/>
      </c>
      <c r="DB892">
        <f>'Grid_Stock'!CZ7</f>
        <v/>
      </c>
      <c r="DC892">
        <f>'Grid_Stock'!DA7</f>
        <v/>
      </c>
    </row>
    <row r="893">
      <c r="B893" s="16" t="inlineStr">
        <is>
          <t>（発注の目安はDashboardの基準在庫[下限/上限]と色分けを参照）</t>
        </is>
      </c>
    </row>
    <row r="895">
      <c r="A895" s="14" t="inlineStr">
        <is>
          <t>CHEM-1700</t>
        </is>
      </c>
      <c r="B895" s="14" t="inlineStr">
        <is>
          <t>TepyrusCT38</t>
        </is>
      </c>
      <c r="C895" s="15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  <c r="AA895" s="14" t="n"/>
      <c r="AB895" s="14" t="n"/>
      <c r="AC895" s="14" t="n"/>
      <c r="AD895" s="14" t="n"/>
      <c r="AE895" s="14" t="n"/>
      <c r="AF895" s="14" t="n"/>
      <c r="AG895" s="14" t="n"/>
      <c r="AH895" s="14" t="n"/>
      <c r="AI895" s="14" t="n"/>
      <c r="AJ895" s="14" t="n"/>
      <c r="AK895" s="14" t="n"/>
      <c r="AL895" s="14" t="n"/>
      <c r="AM895" s="14" t="n"/>
      <c r="AN895" s="14" t="n"/>
      <c r="AO895" s="14" t="n"/>
      <c r="AP895" s="14" t="n"/>
      <c r="AQ895" s="14" t="n"/>
      <c r="AR895" s="14" t="n"/>
      <c r="AS895" s="14" t="n"/>
      <c r="AT895" s="14" t="n"/>
      <c r="AU895" s="14" t="n"/>
      <c r="AV895" s="14" t="n"/>
      <c r="AW895" s="14" t="n"/>
      <c r="AX895" s="14" t="n"/>
      <c r="AY895" s="14" t="n"/>
      <c r="AZ895" s="14" t="n"/>
      <c r="BA895" s="14" t="n"/>
      <c r="BB895" s="14" t="n"/>
      <c r="BC895" s="14" t="n"/>
      <c r="BD895" s="14" t="n"/>
      <c r="BE895" s="14" t="n"/>
      <c r="BF895" s="14" t="n"/>
      <c r="BG895" s="14" t="n"/>
      <c r="BH895" s="14" t="n"/>
      <c r="BI895" s="14" t="n"/>
      <c r="BJ895" s="14" t="n"/>
      <c r="BK895" s="14" t="n"/>
      <c r="BL895" s="14" t="n"/>
      <c r="BM895" s="14" t="n"/>
      <c r="BN895" s="14" t="n"/>
      <c r="BO895" s="14" t="n"/>
      <c r="BP895" s="14" t="n"/>
      <c r="BQ895" s="14" t="n"/>
      <c r="BR895" s="14" t="n"/>
      <c r="BS895" s="14" t="n"/>
      <c r="BT895" s="14" t="n"/>
      <c r="BU895" s="14" t="n"/>
      <c r="BV895" s="14" t="n"/>
      <c r="BW895" s="14" t="n"/>
      <c r="BX895" s="14" t="n"/>
      <c r="BY895" s="14" t="n"/>
      <c r="BZ895" s="14" t="n"/>
      <c r="CA895" s="14" t="n"/>
      <c r="CB895" s="14" t="n"/>
      <c r="CC895" s="14" t="n"/>
      <c r="CD895" s="14" t="n"/>
      <c r="CE895" s="14" t="n"/>
      <c r="CF895" s="14" t="n"/>
      <c r="CG895" s="14" t="n"/>
      <c r="CH895" s="14" t="n"/>
      <c r="CI895" s="14" t="n"/>
      <c r="CJ895" s="14" t="n"/>
      <c r="CK895" s="14" t="n"/>
      <c r="CL895" s="14" t="n"/>
      <c r="CM895" s="14" t="n"/>
      <c r="CN895" s="14" t="n"/>
      <c r="CO895" s="14" t="n"/>
      <c r="CP895" s="14" t="n"/>
      <c r="CQ895" s="14" t="n"/>
      <c r="CR895" s="14" t="n"/>
      <c r="CS895" s="14" t="n"/>
      <c r="CT895" s="14" t="n"/>
      <c r="CU895" s="14" t="n"/>
      <c r="CV895" s="14" t="n"/>
      <c r="CW895" s="14" t="n"/>
      <c r="CX895" s="14" t="n"/>
      <c r="CY895" s="14" t="n"/>
      <c r="CZ895" s="14" t="n"/>
      <c r="DA895" s="14" t="n"/>
      <c r="DB895" s="14" t="n"/>
      <c r="DC895" s="14" t="n"/>
    </row>
    <row r="896">
      <c r="B896" t="inlineStr">
        <is>
          <t>TSP-620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Name],$A895)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TSP-623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Name],$A895)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TSP-934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Name],$A895)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TSP-935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Name],$A895)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TSP-936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Name],$A895)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TSP-937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Name],$A895)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TSP-1388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Name],$A895)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TSP-1448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Name],$A895)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TSP-1449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Name],$A895)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TSP-1499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Name],$A895)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s="4" t="inlineStr">
        <is>
          <t>合計使用量(kg)/週</t>
        </is>
      </c>
      <c r="D916">
        <f>'Grid_Requirement'!B4</f>
        <v/>
      </c>
      <c r="E916">
        <f>'Grid_Requirement'!C4</f>
        <v/>
      </c>
      <c r="F916">
        <f>'Grid_Requirement'!D4</f>
        <v/>
      </c>
      <c r="G916">
        <f>'Grid_Requirement'!E4</f>
        <v/>
      </c>
      <c r="H916">
        <f>'Grid_Requirement'!F4</f>
        <v/>
      </c>
      <c r="I916">
        <f>'Grid_Requirement'!G4</f>
        <v/>
      </c>
      <c r="J916">
        <f>'Grid_Requirement'!H4</f>
        <v/>
      </c>
      <c r="K916">
        <f>'Grid_Requirement'!I4</f>
        <v/>
      </c>
      <c r="L916">
        <f>'Grid_Requirement'!J4</f>
        <v/>
      </c>
      <c r="M916">
        <f>'Grid_Requirement'!K4</f>
        <v/>
      </c>
      <c r="N916">
        <f>'Grid_Requirement'!L4</f>
        <v/>
      </c>
      <c r="O916">
        <f>'Grid_Requirement'!M4</f>
        <v/>
      </c>
      <c r="P916">
        <f>'Grid_Requirement'!N4</f>
        <v/>
      </c>
      <c r="Q916">
        <f>'Grid_Requirement'!O4</f>
        <v/>
      </c>
      <c r="R916">
        <f>'Grid_Requirement'!P4</f>
        <v/>
      </c>
      <c r="S916">
        <f>'Grid_Requirement'!Q4</f>
        <v/>
      </c>
      <c r="T916">
        <f>'Grid_Requirement'!R4</f>
        <v/>
      </c>
      <c r="U916">
        <f>'Grid_Requirement'!S4</f>
        <v/>
      </c>
      <c r="V916">
        <f>'Grid_Requirement'!T4</f>
        <v/>
      </c>
      <c r="W916">
        <f>'Grid_Requirement'!U4</f>
        <v/>
      </c>
      <c r="X916">
        <f>'Grid_Requirement'!V4</f>
        <v/>
      </c>
      <c r="Y916">
        <f>'Grid_Requirement'!W4</f>
        <v/>
      </c>
      <c r="Z916">
        <f>'Grid_Requirement'!X4</f>
        <v/>
      </c>
      <c r="AA916">
        <f>'Grid_Requirement'!Y4</f>
        <v/>
      </c>
      <c r="AB916">
        <f>'Grid_Requirement'!Z4</f>
        <v/>
      </c>
      <c r="AC916">
        <f>'Grid_Requirement'!AA4</f>
        <v/>
      </c>
      <c r="AD916">
        <f>'Grid_Requirement'!AB4</f>
        <v/>
      </c>
      <c r="AE916">
        <f>'Grid_Requirement'!AC4</f>
        <v/>
      </c>
      <c r="AF916">
        <f>'Grid_Requirement'!AD4</f>
        <v/>
      </c>
      <c r="AG916">
        <f>'Grid_Requirement'!AE4</f>
        <v/>
      </c>
      <c r="AH916">
        <f>'Grid_Requirement'!AF4</f>
        <v/>
      </c>
      <c r="AI916">
        <f>'Grid_Requirement'!AG4</f>
        <v/>
      </c>
      <c r="AJ916">
        <f>'Grid_Requirement'!AH4</f>
        <v/>
      </c>
      <c r="AK916">
        <f>'Grid_Requirement'!AI4</f>
        <v/>
      </c>
      <c r="AL916">
        <f>'Grid_Requirement'!AJ4</f>
        <v/>
      </c>
      <c r="AM916">
        <f>'Grid_Requirement'!AK4</f>
        <v/>
      </c>
      <c r="AN916">
        <f>'Grid_Requirement'!AL4</f>
        <v/>
      </c>
      <c r="AO916">
        <f>'Grid_Requirement'!AM4</f>
        <v/>
      </c>
      <c r="AP916">
        <f>'Grid_Requirement'!AN4</f>
        <v/>
      </c>
      <c r="AQ916">
        <f>'Grid_Requirement'!AO4</f>
        <v/>
      </c>
      <c r="AR916">
        <f>'Grid_Requirement'!AP4</f>
        <v/>
      </c>
      <c r="AS916">
        <f>'Grid_Requirement'!AQ4</f>
        <v/>
      </c>
      <c r="AT916">
        <f>'Grid_Requirement'!AR4</f>
        <v/>
      </c>
      <c r="AU916">
        <f>'Grid_Requirement'!AS4</f>
        <v/>
      </c>
      <c r="AV916">
        <f>'Grid_Requirement'!AT4</f>
        <v/>
      </c>
      <c r="AW916">
        <f>'Grid_Requirement'!AU4</f>
        <v/>
      </c>
      <c r="AX916">
        <f>'Grid_Requirement'!AV4</f>
        <v/>
      </c>
      <c r="AY916">
        <f>'Grid_Requirement'!AW4</f>
        <v/>
      </c>
      <c r="AZ916">
        <f>'Grid_Requirement'!AX4</f>
        <v/>
      </c>
      <c r="BA916">
        <f>'Grid_Requirement'!AY4</f>
        <v/>
      </c>
      <c r="BB916">
        <f>'Grid_Requirement'!AZ4</f>
        <v/>
      </c>
      <c r="BC916">
        <f>'Grid_Requirement'!BA4</f>
        <v/>
      </c>
      <c r="BD916">
        <f>'Grid_Requirement'!BB4</f>
        <v/>
      </c>
      <c r="BE916">
        <f>'Grid_Requirement'!BC4</f>
        <v/>
      </c>
      <c r="BF916">
        <f>'Grid_Requirement'!BD4</f>
        <v/>
      </c>
      <c r="BG916">
        <f>'Grid_Requirement'!BE4</f>
        <v/>
      </c>
      <c r="BH916">
        <f>'Grid_Requirement'!BF4</f>
        <v/>
      </c>
      <c r="BI916">
        <f>'Grid_Requirement'!BG4</f>
        <v/>
      </c>
      <c r="BJ916">
        <f>'Grid_Requirement'!BH4</f>
        <v/>
      </c>
      <c r="BK916">
        <f>'Grid_Requirement'!BI4</f>
        <v/>
      </c>
      <c r="BL916">
        <f>'Grid_Requirement'!BJ4</f>
        <v/>
      </c>
      <c r="BM916">
        <f>'Grid_Requirement'!BK4</f>
        <v/>
      </c>
      <c r="BN916">
        <f>'Grid_Requirement'!BL4</f>
        <v/>
      </c>
      <c r="BO916">
        <f>'Grid_Requirement'!BM4</f>
        <v/>
      </c>
      <c r="BP916">
        <f>'Grid_Requirement'!BN4</f>
        <v/>
      </c>
      <c r="BQ916">
        <f>'Grid_Requirement'!BO4</f>
        <v/>
      </c>
      <c r="BR916">
        <f>'Grid_Requirement'!BP4</f>
        <v/>
      </c>
      <c r="BS916">
        <f>'Grid_Requirement'!BQ4</f>
        <v/>
      </c>
      <c r="BT916">
        <f>'Grid_Requirement'!BR4</f>
        <v/>
      </c>
      <c r="BU916">
        <f>'Grid_Requirement'!BS4</f>
        <v/>
      </c>
      <c r="BV916">
        <f>'Grid_Requirement'!BT4</f>
        <v/>
      </c>
      <c r="BW916">
        <f>'Grid_Requirement'!BU4</f>
        <v/>
      </c>
      <c r="BX916">
        <f>'Grid_Requirement'!BV4</f>
        <v/>
      </c>
      <c r="BY916">
        <f>'Grid_Requirement'!BW4</f>
        <v/>
      </c>
      <c r="BZ916">
        <f>'Grid_Requirement'!BX4</f>
        <v/>
      </c>
      <c r="CA916">
        <f>'Grid_Requirement'!BY4</f>
        <v/>
      </c>
      <c r="CB916">
        <f>'Grid_Requirement'!BZ4</f>
        <v/>
      </c>
      <c r="CC916">
        <f>'Grid_Requirement'!CA4</f>
        <v/>
      </c>
      <c r="CD916">
        <f>'Grid_Requirement'!CB4</f>
        <v/>
      </c>
      <c r="CE916">
        <f>'Grid_Requirement'!CC4</f>
        <v/>
      </c>
      <c r="CF916">
        <f>'Grid_Requirement'!CD4</f>
        <v/>
      </c>
      <c r="CG916">
        <f>'Grid_Requirement'!CE4</f>
        <v/>
      </c>
      <c r="CH916">
        <f>'Grid_Requirement'!CF4</f>
        <v/>
      </c>
      <c r="CI916">
        <f>'Grid_Requirement'!CG4</f>
        <v/>
      </c>
      <c r="CJ916">
        <f>'Grid_Requirement'!CH4</f>
        <v/>
      </c>
      <c r="CK916">
        <f>'Grid_Requirement'!CI4</f>
        <v/>
      </c>
      <c r="CL916">
        <f>'Grid_Requirement'!CJ4</f>
        <v/>
      </c>
      <c r="CM916">
        <f>'Grid_Requirement'!CK4</f>
        <v/>
      </c>
      <c r="CN916">
        <f>'Grid_Requirement'!CL4</f>
        <v/>
      </c>
      <c r="CO916">
        <f>'Grid_Requirement'!CM4</f>
        <v/>
      </c>
      <c r="CP916">
        <f>'Grid_Requirement'!CN4</f>
        <v/>
      </c>
      <c r="CQ916">
        <f>'Grid_Requirement'!CO4</f>
        <v/>
      </c>
      <c r="CR916">
        <f>'Grid_Requirement'!CP4</f>
        <v/>
      </c>
      <c r="CS916">
        <f>'Grid_Requirement'!CQ4</f>
        <v/>
      </c>
      <c r="CT916">
        <f>'Grid_Requirement'!CR4</f>
        <v/>
      </c>
      <c r="CU916">
        <f>'Grid_Requirement'!CS4</f>
        <v/>
      </c>
      <c r="CV916">
        <f>'Grid_Requirement'!CT4</f>
        <v/>
      </c>
      <c r="CW916">
        <f>'Grid_Requirement'!CU4</f>
        <v/>
      </c>
      <c r="CX916">
        <f>'Grid_Requirement'!CV4</f>
        <v/>
      </c>
      <c r="CY916">
        <f>'Grid_Requirement'!CW4</f>
        <v/>
      </c>
      <c r="CZ916">
        <f>'Grid_Requirement'!CX4</f>
        <v/>
      </c>
      <c r="DA916">
        <f>'Grid_Requirement'!CY4</f>
        <v/>
      </c>
      <c r="DB916">
        <f>'Grid_Requirement'!CZ4</f>
        <v/>
      </c>
      <c r="DC916">
        <f>'Grid_Requirement'!DA4</f>
        <v/>
      </c>
    </row>
    <row r="917">
      <c r="B917" t="inlineStr">
        <is>
          <t>TTAF在庫(実績,kg)</t>
        </is>
      </c>
      <c r="D917">
        <f>'T_TTAFStock'!B8</f>
        <v/>
      </c>
      <c r="E917">
        <f>'T_TTAFStock'!C8</f>
        <v/>
      </c>
      <c r="F917">
        <f>'T_TTAFStock'!D8</f>
        <v/>
      </c>
      <c r="G917">
        <f>'T_TTAFStock'!E8</f>
        <v/>
      </c>
      <c r="H917">
        <f>'T_TTAFStock'!F8</f>
        <v/>
      </c>
      <c r="I917">
        <f>'T_TTAFStock'!G8</f>
        <v/>
      </c>
      <c r="J917">
        <f>'T_TTAFStock'!H8</f>
        <v/>
      </c>
      <c r="K917">
        <f>'T_TTAFStock'!I8</f>
        <v/>
      </c>
      <c r="L917">
        <f>'T_TTAFStock'!J8</f>
        <v/>
      </c>
      <c r="M917">
        <f>'T_TTAFStock'!K8</f>
        <v/>
      </c>
      <c r="N917">
        <f>'T_TTAFStock'!L8</f>
        <v/>
      </c>
      <c r="O917">
        <f>'T_TTAFStock'!M8</f>
        <v/>
      </c>
      <c r="P917">
        <f>'T_TTAFStock'!N8</f>
        <v/>
      </c>
      <c r="Q917">
        <f>'T_TTAFStock'!O8</f>
        <v/>
      </c>
      <c r="R917">
        <f>'T_TTAFStock'!P8</f>
        <v/>
      </c>
      <c r="S917">
        <f>'T_TTAFStock'!Q8</f>
        <v/>
      </c>
      <c r="T917">
        <f>'T_TTAFStock'!R8</f>
        <v/>
      </c>
      <c r="U917">
        <f>'T_TTAFStock'!S8</f>
        <v/>
      </c>
      <c r="V917">
        <f>'T_TTAFStock'!T8</f>
        <v/>
      </c>
      <c r="W917">
        <f>'T_TTAFStock'!U8</f>
        <v/>
      </c>
      <c r="X917">
        <f>'T_TTAFStock'!V8</f>
        <v/>
      </c>
      <c r="Y917">
        <f>'T_TTAFStock'!W8</f>
        <v/>
      </c>
      <c r="Z917">
        <f>'T_TTAFStock'!X8</f>
        <v/>
      </c>
      <c r="AA917">
        <f>'T_TTAFStock'!Y8</f>
        <v/>
      </c>
      <c r="AB917">
        <f>'T_TTAFStock'!Z8</f>
        <v/>
      </c>
      <c r="AC917">
        <f>'T_TTAFStock'!AA8</f>
        <v/>
      </c>
      <c r="AD917">
        <f>'T_TTAFStock'!AB8</f>
        <v/>
      </c>
      <c r="AE917">
        <f>'T_TTAFStock'!AC8</f>
        <v/>
      </c>
      <c r="AF917">
        <f>'T_TTAFStock'!AD8</f>
        <v/>
      </c>
      <c r="AG917">
        <f>'T_TTAFStock'!AE8</f>
        <v/>
      </c>
      <c r="AH917">
        <f>'T_TTAFStock'!AF8</f>
        <v/>
      </c>
      <c r="AI917">
        <f>'T_TTAFStock'!AG8</f>
        <v/>
      </c>
      <c r="AJ917">
        <f>'T_TTAFStock'!AH8</f>
        <v/>
      </c>
      <c r="AK917">
        <f>'T_TTAFStock'!AI8</f>
        <v/>
      </c>
      <c r="AL917">
        <f>'T_TTAFStock'!AJ8</f>
        <v/>
      </c>
      <c r="AM917">
        <f>'T_TTAFStock'!AK8</f>
        <v/>
      </c>
      <c r="AN917">
        <f>'T_TTAFStock'!AL8</f>
        <v/>
      </c>
      <c r="AO917">
        <f>'T_TTAFStock'!AM8</f>
        <v/>
      </c>
      <c r="AP917">
        <f>'T_TTAFStock'!AN8</f>
        <v/>
      </c>
      <c r="AQ917">
        <f>'T_TTAFStock'!AO8</f>
        <v/>
      </c>
      <c r="AR917">
        <f>'T_TTAFStock'!AP8</f>
        <v/>
      </c>
      <c r="AS917">
        <f>'T_TTAFStock'!AQ8</f>
        <v/>
      </c>
      <c r="AT917">
        <f>'T_TTAFStock'!AR8</f>
        <v/>
      </c>
      <c r="AU917">
        <f>'T_TTAFStock'!AS8</f>
        <v/>
      </c>
      <c r="AV917">
        <f>'T_TTAFStock'!AT8</f>
        <v/>
      </c>
      <c r="AW917">
        <f>'T_TTAFStock'!AU8</f>
        <v/>
      </c>
      <c r="AX917">
        <f>'T_TTAFStock'!AV8</f>
        <v/>
      </c>
      <c r="AY917">
        <f>'T_TTAFStock'!AW8</f>
        <v/>
      </c>
      <c r="AZ917">
        <f>'T_TTAFStock'!AX8</f>
        <v/>
      </c>
      <c r="BA917">
        <f>'T_TTAFStock'!AY8</f>
        <v/>
      </c>
      <c r="BB917">
        <f>'T_TTAFStock'!AZ8</f>
        <v/>
      </c>
      <c r="BC917">
        <f>'T_TTAFStock'!BA8</f>
        <v/>
      </c>
      <c r="BD917">
        <f>'T_TTAFStock'!BB8</f>
        <v/>
      </c>
      <c r="BE917">
        <f>'T_TTAFStock'!BC8</f>
        <v/>
      </c>
      <c r="BF917">
        <f>'T_TTAFStock'!BD8</f>
        <v/>
      </c>
      <c r="BG917">
        <f>'T_TTAFStock'!BE8</f>
        <v/>
      </c>
      <c r="BH917">
        <f>'T_TTAFStock'!BF8</f>
        <v/>
      </c>
      <c r="BI917">
        <f>'T_TTAFStock'!BG8</f>
        <v/>
      </c>
      <c r="BJ917">
        <f>'T_TTAFStock'!BH8</f>
        <v/>
      </c>
      <c r="BK917">
        <f>'T_TTAFStock'!BI8</f>
        <v/>
      </c>
      <c r="BL917">
        <f>'T_TTAFStock'!BJ8</f>
        <v/>
      </c>
      <c r="BM917">
        <f>'T_TTAFStock'!BK8</f>
        <v/>
      </c>
      <c r="BN917">
        <f>'T_TTAFStock'!BL8</f>
        <v/>
      </c>
      <c r="BO917">
        <f>'T_TTAFStock'!BM8</f>
        <v/>
      </c>
      <c r="BP917">
        <f>'T_TTAFStock'!BN8</f>
        <v/>
      </c>
      <c r="BQ917">
        <f>'T_TTAFStock'!BO8</f>
        <v/>
      </c>
      <c r="BR917">
        <f>'T_TTAFStock'!BP8</f>
        <v/>
      </c>
      <c r="BS917">
        <f>'T_TTAFStock'!BQ8</f>
        <v/>
      </c>
      <c r="BT917">
        <f>'T_TTAFStock'!BR8</f>
        <v/>
      </c>
      <c r="BU917">
        <f>'T_TTAFStock'!BS8</f>
        <v/>
      </c>
      <c r="BV917">
        <f>'T_TTAFStock'!BT8</f>
        <v/>
      </c>
      <c r="BW917">
        <f>'T_TTAFStock'!BU8</f>
        <v/>
      </c>
      <c r="BX917">
        <f>'T_TTAFStock'!BV8</f>
        <v/>
      </c>
      <c r="BY917">
        <f>'T_TTAFStock'!BW8</f>
        <v/>
      </c>
      <c r="BZ917">
        <f>'T_TTAFStock'!BX8</f>
        <v/>
      </c>
      <c r="CA917">
        <f>'T_TTAFStock'!BY8</f>
        <v/>
      </c>
      <c r="CB917">
        <f>'T_TTAFStock'!BZ8</f>
        <v/>
      </c>
      <c r="CC917">
        <f>'T_TTAFStock'!CA8</f>
        <v/>
      </c>
      <c r="CD917">
        <f>'T_TTAFStock'!CB8</f>
        <v/>
      </c>
      <c r="CE917">
        <f>'T_TTAFStock'!CC8</f>
        <v/>
      </c>
      <c r="CF917">
        <f>'T_TTAFStock'!CD8</f>
        <v/>
      </c>
      <c r="CG917">
        <f>'T_TTAFStock'!CE8</f>
        <v/>
      </c>
      <c r="CH917">
        <f>'T_TTAFStock'!CF8</f>
        <v/>
      </c>
      <c r="CI917">
        <f>'T_TTAFStock'!CG8</f>
        <v/>
      </c>
      <c r="CJ917">
        <f>'T_TTAFStock'!CH8</f>
        <v/>
      </c>
      <c r="CK917">
        <f>'T_TTAFStock'!CI8</f>
        <v/>
      </c>
      <c r="CL917">
        <f>'T_TTAFStock'!CJ8</f>
        <v/>
      </c>
      <c r="CM917">
        <f>'T_TTAFStock'!CK8</f>
        <v/>
      </c>
      <c r="CN917">
        <f>'T_TTAFStock'!CL8</f>
        <v/>
      </c>
      <c r="CO917">
        <f>'T_TTAFStock'!CM8</f>
        <v/>
      </c>
      <c r="CP917">
        <f>'T_TTAFStock'!CN8</f>
        <v/>
      </c>
      <c r="CQ917">
        <f>'T_TTAFStock'!CO8</f>
        <v/>
      </c>
      <c r="CR917">
        <f>'T_TTAFStock'!CP8</f>
        <v/>
      </c>
      <c r="CS917">
        <f>'T_TTAFStock'!CQ8</f>
        <v/>
      </c>
      <c r="CT917">
        <f>'T_TTAFStock'!CR8</f>
        <v/>
      </c>
      <c r="CU917">
        <f>'T_TTAFStock'!CS8</f>
        <v/>
      </c>
      <c r="CV917">
        <f>'T_TTAFStock'!CT8</f>
        <v/>
      </c>
      <c r="CW917">
        <f>'T_TTAFStock'!CU8</f>
        <v/>
      </c>
      <c r="CX917">
        <f>'T_TTAFStock'!CV8</f>
        <v/>
      </c>
      <c r="CY917">
        <f>'T_TTAFStock'!CW8</f>
        <v/>
      </c>
      <c r="CZ917">
        <f>'T_TTAFStock'!CX8</f>
        <v/>
      </c>
      <c r="DA917">
        <f>'T_TTAFStock'!CY8</f>
        <v/>
      </c>
      <c r="DB917">
        <f>'T_TTAFStock'!CZ8</f>
        <v/>
      </c>
      <c r="DC917">
        <f>'T_TTAFStock'!DA8</f>
        <v/>
      </c>
    </row>
    <row r="918">
      <c r="B918" t="inlineStr">
        <is>
          <t>自社在庫(実績,kg)</t>
        </is>
      </c>
      <c r="D918">
        <f>'T_SelfStock'!B8</f>
        <v/>
      </c>
      <c r="E918">
        <f>'T_SelfStock'!C8</f>
        <v/>
      </c>
      <c r="F918">
        <f>'T_SelfStock'!D8</f>
        <v/>
      </c>
      <c r="G918">
        <f>'T_SelfStock'!E8</f>
        <v/>
      </c>
      <c r="H918">
        <f>'T_SelfStock'!F8</f>
        <v/>
      </c>
      <c r="I918">
        <f>'T_SelfStock'!G8</f>
        <v/>
      </c>
      <c r="J918">
        <f>'T_SelfStock'!H8</f>
        <v/>
      </c>
      <c r="K918">
        <f>'T_SelfStock'!I8</f>
        <v/>
      </c>
      <c r="L918">
        <f>'T_SelfStock'!J8</f>
        <v/>
      </c>
      <c r="M918">
        <f>'T_SelfStock'!K8</f>
        <v/>
      </c>
      <c r="N918">
        <f>'T_SelfStock'!L8</f>
        <v/>
      </c>
      <c r="O918">
        <f>'T_SelfStock'!M8</f>
        <v/>
      </c>
      <c r="P918">
        <f>'T_SelfStock'!N8</f>
        <v/>
      </c>
      <c r="Q918">
        <f>'T_SelfStock'!O8</f>
        <v/>
      </c>
      <c r="R918">
        <f>'T_SelfStock'!P8</f>
        <v/>
      </c>
      <c r="S918">
        <f>'T_SelfStock'!Q8</f>
        <v/>
      </c>
      <c r="T918">
        <f>'T_SelfStock'!R8</f>
        <v/>
      </c>
      <c r="U918">
        <f>'T_SelfStock'!S8</f>
        <v/>
      </c>
      <c r="V918">
        <f>'T_SelfStock'!T8</f>
        <v/>
      </c>
      <c r="W918">
        <f>'T_SelfStock'!U8</f>
        <v/>
      </c>
      <c r="X918">
        <f>'T_SelfStock'!V8</f>
        <v/>
      </c>
      <c r="Y918">
        <f>'T_SelfStock'!W8</f>
        <v/>
      </c>
      <c r="Z918">
        <f>'T_SelfStock'!X8</f>
        <v/>
      </c>
      <c r="AA918">
        <f>'T_SelfStock'!Y8</f>
        <v/>
      </c>
      <c r="AB918">
        <f>'T_SelfStock'!Z8</f>
        <v/>
      </c>
      <c r="AC918">
        <f>'T_SelfStock'!AA8</f>
        <v/>
      </c>
      <c r="AD918">
        <f>'T_SelfStock'!AB8</f>
        <v/>
      </c>
      <c r="AE918">
        <f>'T_SelfStock'!AC8</f>
        <v/>
      </c>
      <c r="AF918">
        <f>'T_SelfStock'!AD8</f>
        <v/>
      </c>
      <c r="AG918">
        <f>'T_SelfStock'!AE8</f>
        <v/>
      </c>
      <c r="AH918">
        <f>'T_SelfStock'!AF8</f>
        <v/>
      </c>
      <c r="AI918">
        <f>'T_SelfStock'!AG8</f>
        <v/>
      </c>
      <c r="AJ918">
        <f>'T_SelfStock'!AH8</f>
        <v/>
      </c>
      <c r="AK918">
        <f>'T_SelfStock'!AI8</f>
        <v/>
      </c>
      <c r="AL918">
        <f>'T_SelfStock'!AJ8</f>
        <v/>
      </c>
      <c r="AM918">
        <f>'T_SelfStock'!AK8</f>
        <v/>
      </c>
      <c r="AN918">
        <f>'T_SelfStock'!AL8</f>
        <v/>
      </c>
      <c r="AO918">
        <f>'T_SelfStock'!AM8</f>
        <v/>
      </c>
      <c r="AP918">
        <f>'T_SelfStock'!AN8</f>
        <v/>
      </c>
      <c r="AQ918">
        <f>'T_SelfStock'!AO8</f>
        <v/>
      </c>
      <c r="AR918">
        <f>'T_SelfStock'!AP8</f>
        <v/>
      </c>
      <c r="AS918">
        <f>'T_SelfStock'!AQ8</f>
        <v/>
      </c>
      <c r="AT918">
        <f>'T_SelfStock'!AR8</f>
        <v/>
      </c>
      <c r="AU918">
        <f>'T_SelfStock'!AS8</f>
        <v/>
      </c>
      <c r="AV918">
        <f>'T_SelfStock'!AT8</f>
        <v/>
      </c>
      <c r="AW918">
        <f>'T_SelfStock'!AU8</f>
        <v/>
      </c>
      <c r="AX918">
        <f>'T_SelfStock'!AV8</f>
        <v/>
      </c>
      <c r="AY918">
        <f>'T_SelfStock'!AW8</f>
        <v/>
      </c>
      <c r="AZ918">
        <f>'T_SelfStock'!AX8</f>
        <v/>
      </c>
      <c r="BA918">
        <f>'T_SelfStock'!AY8</f>
        <v/>
      </c>
      <c r="BB918">
        <f>'T_SelfStock'!AZ8</f>
        <v/>
      </c>
      <c r="BC918">
        <f>'T_SelfStock'!BA8</f>
        <v/>
      </c>
      <c r="BD918">
        <f>'T_SelfStock'!BB8</f>
        <v/>
      </c>
      <c r="BE918">
        <f>'T_SelfStock'!BC8</f>
        <v/>
      </c>
      <c r="BF918">
        <f>'T_SelfStock'!BD8</f>
        <v/>
      </c>
      <c r="BG918">
        <f>'T_SelfStock'!BE8</f>
        <v/>
      </c>
      <c r="BH918">
        <f>'T_SelfStock'!BF8</f>
        <v/>
      </c>
      <c r="BI918">
        <f>'T_SelfStock'!BG8</f>
        <v/>
      </c>
      <c r="BJ918">
        <f>'T_SelfStock'!BH8</f>
        <v/>
      </c>
      <c r="BK918">
        <f>'T_SelfStock'!BI8</f>
        <v/>
      </c>
      <c r="BL918">
        <f>'T_SelfStock'!BJ8</f>
        <v/>
      </c>
      <c r="BM918">
        <f>'T_SelfStock'!BK8</f>
        <v/>
      </c>
      <c r="BN918">
        <f>'T_SelfStock'!BL8</f>
        <v/>
      </c>
      <c r="BO918">
        <f>'T_SelfStock'!BM8</f>
        <v/>
      </c>
      <c r="BP918">
        <f>'T_SelfStock'!BN8</f>
        <v/>
      </c>
      <c r="BQ918">
        <f>'T_SelfStock'!BO8</f>
        <v/>
      </c>
      <c r="BR918">
        <f>'T_SelfStock'!BP8</f>
        <v/>
      </c>
      <c r="BS918">
        <f>'T_SelfStock'!BQ8</f>
        <v/>
      </c>
      <c r="BT918">
        <f>'T_SelfStock'!BR8</f>
        <v/>
      </c>
      <c r="BU918">
        <f>'T_SelfStock'!BS8</f>
        <v/>
      </c>
      <c r="BV918">
        <f>'T_SelfStock'!BT8</f>
        <v/>
      </c>
      <c r="BW918">
        <f>'T_SelfStock'!BU8</f>
        <v/>
      </c>
      <c r="BX918">
        <f>'T_SelfStock'!BV8</f>
        <v/>
      </c>
      <c r="BY918">
        <f>'T_SelfStock'!BW8</f>
        <v/>
      </c>
      <c r="BZ918">
        <f>'T_SelfStock'!BX8</f>
        <v/>
      </c>
      <c r="CA918">
        <f>'T_SelfStock'!BY8</f>
        <v/>
      </c>
      <c r="CB918">
        <f>'T_SelfStock'!BZ8</f>
        <v/>
      </c>
      <c r="CC918">
        <f>'T_SelfStock'!CA8</f>
        <v/>
      </c>
      <c r="CD918">
        <f>'T_SelfStock'!CB8</f>
        <v/>
      </c>
      <c r="CE918">
        <f>'T_SelfStock'!CC8</f>
        <v/>
      </c>
      <c r="CF918">
        <f>'T_SelfStock'!CD8</f>
        <v/>
      </c>
      <c r="CG918">
        <f>'T_SelfStock'!CE8</f>
        <v/>
      </c>
      <c r="CH918">
        <f>'T_SelfStock'!CF8</f>
        <v/>
      </c>
      <c r="CI918">
        <f>'T_SelfStock'!CG8</f>
        <v/>
      </c>
      <c r="CJ918">
        <f>'T_SelfStock'!CH8</f>
        <v/>
      </c>
      <c r="CK918">
        <f>'T_SelfStock'!CI8</f>
        <v/>
      </c>
      <c r="CL918">
        <f>'T_SelfStock'!CJ8</f>
        <v/>
      </c>
      <c r="CM918">
        <f>'T_SelfStock'!CK8</f>
        <v/>
      </c>
      <c r="CN918">
        <f>'T_SelfStock'!CL8</f>
        <v/>
      </c>
      <c r="CO918">
        <f>'T_SelfStock'!CM8</f>
        <v/>
      </c>
      <c r="CP918">
        <f>'T_SelfStock'!CN8</f>
        <v/>
      </c>
      <c r="CQ918">
        <f>'T_SelfStock'!CO8</f>
        <v/>
      </c>
      <c r="CR918">
        <f>'T_SelfStock'!CP8</f>
        <v/>
      </c>
      <c r="CS918">
        <f>'T_SelfStock'!CQ8</f>
        <v/>
      </c>
      <c r="CT918">
        <f>'T_SelfStock'!CR8</f>
        <v/>
      </c>
      <c r="CU918">
        <f>'T_SelfStock'!CS8</f>
        <v/>
      </c>
      <c r="CV918">
        <f>'T_SelfStock'!CT8</f>
        <v/>
      </c>
      <c r="CW918">
        <f>'T_SelfStock'!CU8</f>
        <v/>
      </c>
      <c r="CX918">
        <f>'T_SelfStock'!CV8</f>
        <v/>
      </c>
      <c r="CY918">
        <f>'T_SelfStock'!CW8</f>
        <v/>
      </c>
      <c r="CZ918">
        <f>'T_SelfStock'!CX8</f>
        <v/>
      </c>
      <c r="DA918">
        <f>'T_SelfStock'!CY8</f>
        <v/>
      </c>
      <c r="DB918">
        <f>'T_SelfStock'!CZ8</f>
        <v/>
      </c>
      <c r="DC918">
        <f>'T_SelfStock'!DA8</f>
        <v/>
      </c>
    </row>
    <row r="919">
      <c r="B919" t="inlineStr">
        <is>
          <t>Order(発注予定,kg)</t>
        </is>
      </c>
      <c r="D919">
        <f>IF(SUMIFS(T_PlannedOrders[EffectiveQty],T_PlannedOrders[Part Name],$A895,T_PlannedOrders[WeekIndex],1)=0,"",SUMIFS(T_PlannedOrders[EffectiveQty],T_PlannedOrders[Part Name],$A895,T_PlannedOrders[WeekIndex],1)&amp;" ("&amp;TEXT(SUMPRODUCT(MAX((T_PlannedOrders[Part Name]=$A895)*(T_PlannedOrders[WeekIndex]=1)*(T_PlannedOrders[EffectiveQty]&gt;0)*T_PlannedOrders[Order_Month])),"m月")&amp;"発注)")</f>
        <v/>
      </c>
      <c r="E919">
        <f>IF(SUMIFS(T_PlannedOrders[EffectiveQty],T_PlannedOrders[Part Name],$A895,T_PlannedOrders[WeekIndex],2)=0,"",SUMIFS(T_PlannedOrders[EffectiveQty],T_PlannedOrders[Part Name],$A895,T_PlannedOrders[WeekIndex],2)&amp;" ("&amp;TEXT(SUMPRODUCT(MAX((T_PlannedOrders[Part Name]=$A895)*(T_PlannedOrders[WeekIndex]=2)*(T_PlannedOrders[EffectiveQty]&gt;0)*T_PlannedOrders[Order_Month])),"m月")&amp;"発注)")</f>
        <v/>
      </c>
      <c r="F919">
        <f>IF(SUMIFS(T_PlannedOrders[EffectiveQty],T_PlannedOrders[Part Name],$A895,T_PlannedOrders[WeekIndex],3)=0,"",SUMIFS(T_PlannedOrders[EffectiveQty],T_PlannedOrders[Part Name],$A895,T_PlannedOrders[WeekIndex],3)&amp;" ("&amp;TEXT(SUMPRODUCT(MAX((T_PlannedOrders[Part Name]=$A895)*(T_PlannedOrders[WeekIndex]=3)*(T_PlannedOrders[EffectiveQty]&gt;0)*T_PlannedOrders[Order_Month])),"m月")&amp;"発注)")</f>
        <v/>
      </c>
      <c r="G919">
        <f>IF(SUMIFS(T_PlannedOrders[EffectiveQty],T_PlannedOrders[Part Name],$A895,T_PlannedOrders[WeekIndex],4)=0,"",SUMIFS(T_PlannedOrders[EffectiveQty],T_PlannedOrders[Part Name],$A895,T_PlannedOrders[WeekIndex],4)&amp;" ("&amp;TEXT(SUMPRODUCT(MAX((T_PlannedOrders[Part Name]=$A895)*(T_PlannedOrders[WeekIndex]=4)*(T_PlannedOrders[EffectiveQty]&gt;0)*T_PlannedOrders[Order_Month])),"m月")&amp;"発注)")</f>
        <v/>
      </c>
      <c r="H919">
        <f>IF(SUMIFS(T_PlannedOrders[EffectiveQty],T_PlannedOrders[Part Name],$A895,T_PlannedOrders[WeekIndex],5)=0,"",SUMIFS(T_PlannedOrders[EffectiveQty],T_PlannedOrders[Part Name],$A895,T_PlannedOrders[WeekIndex],5)&amp;" ("&amp;TEXT(SUMPRODUCT(MAX((T_PlannedOrders[Part Name]=$A895)*(T_PlannedOrders[WeekIndex]=5)*(T_PlannedOrders[EffectiveQty]&gt;0)*T_PlannedOrders[Order_Month])),"m月")&amp;"発注)")</f>
        <v/>
      </c>
      <c r="I919">
        <f>IF(SUMIFS(T_PlannedOrders[EffectiveQty],T_PlannedOrders[Part Name],$A895,T_PlannedOrders[WeekIndex],6)=0,"",SUMIFS(T_PlannedOrders[EffectiveQty],T_PlannedOrders[Part Name],$A895,T_PlannedOrders[WeekIndex],6)&amp;" ("&amp;TEXT(SUMPRODUCT(MAX((T_PlannedOrders[Part Name]=$A895)*(T_PlannedOrders[WeekIndex]=6)*(T_PlannedOrders[EffectiveQty]&gt;0)*T_PlannedOrders[Order_Month])),"m月")&amp;"発注)")</f>
        <v/>
      </c>
      <c r="J919">
        <f>IF(SUMIFS(T_PlannedOrders[EffectiveQty],T_PlannedOrders[Part Name],$A895,T_PlannedOrders[WeekIndex],7)=0,"",SUMIFS(T_PlannedOrders[EffectiveQty],T_PlannedOrders[Part Name],$A895,T_PlannedOrders[WeekIndex],7)&amp;" ("&amp;TEXT(SUMPRODUCT(MAX((T_PlannedOrders[Part Name]=$A895)*(T_PlannedOrders[WeekIndex]=7)*(T_PlannedOrders[EffectiveQty]&gt;0)*T_PlannedOrders[Order_Month])),"m月")&amp;"発注)")</f>
        <v/>
      </c>
      <c r="K919">
        <f>IF(SUMIFS(T_PlannedOrders[EffectiveQty],T_PlannedOrders[Part Name],$A895,T_PlannedOrders[WeekIndex],8)=0,"",SUMIFS(T_PlannedOrders[EffectiveQty],T_PlannedOrders[Part Name],$A895,T_PlannedOrders[WeekIndex],8)&amp;" ("&amp;TEXT(SUMPRODUCT(MAX((T_PlannedOrders[Part Name]=$A895)*(T_PlannedOrders[WeekIndex]=8)*(T_PlannedOrders[EffectiveQty]&gt;0)*T_PlannedOrders[Order_Month])),"m月")&amp;"発注)")</f>
        <v/>
      </c>
      <c r="L919">
        <f>IF(SUMIFS(T_PlannedOrders[EffectiveQty],T_PlannedOrders[Part Name],$A895,T_PlannedOrders[WeekIndex],9)=0,"",SUMIFS(T_PlannedOrders[EffectiveQty],T_PlannedOrders[Part Name],$A895,T_PlannedOrders[WeekIndex],9)&amp;" ("&amp;TEXT(SUMPRODUCT(MAX((T_PlannedOrders[Part Name]=$A895)*(T_PlannedOrders[WeekIndex]=9)*(T_PlannedOrders[EffectiveQty]&gt;0)*T_PlannedOrders[Order_Month])),"m月")&amp;"発注)")</f>
        <v/>
      </c>
      <c r="M919">
        <f>IF(SUMIFS(T_PlannedOrders[EffectiveQty],T_PlannedOrders[Part Name],$A895,T_PlannedOrders[WeekIndex],10)=0,"",SUMIFS(T_PlannedOrders[EffectiveQty],T_PlannedOrders[Part Name],$A895,T_PlannedOrders[WeekIndex],10)&amp;" ("&amp;TEXT(SUMPRODUCT(MAX((T_PlannedOrders[Part Name]=$A895)*(T_PlannedOrders[WeekIndex]=10)*(T_PlannedOrders[EffectiveQty]&gt;0)*T_PlannedOrders[Order_Month])),"m月")&amp;"発注)")</f>
        <v/>
      </c>
      <c r="N919">
        <f>IF(SUMIFS(T_PlannedOrders[EffectiveQty],T_PlannedOrders[Part Name],$A895,T_PlannedOrders[WeekIndex],11)=0,"",SUMIFS(T_PlannedOrders[EffectiveQty],T_PlannedOrders[Part Name],$A895,T_PlannedOrders[WeekIndex],11)&amp;" ("&amp;TEXT(SUMPRODUCT(MAX((T_PlannedOrders[Part Name]=$A895)*(T_PlannedOrders[WeekIndex]=11)*(T_PlannedOrders[EffectiveQty]&gt;0)*T_PlannedOrders[Order_Month])),"m月")&amp;"発注)")</f>
        <v/>
      </c>
      <c r="O919">
        <f>IF(SUMIFS(T_PlannedOrders[EffectiveQty],T_PlannedOrders[Part Name],$A895,T_PlannedOrders[WeekIndex],12)=0,"",SUMIFS(T_PlannedOrders[EffectiveQty],T_PlannedOrders[Part Name],$A895,T_PlannedOrders[WeekIndex],12)&amp;" ("&amp;TEXT(SUMPRODUCT(MAX((T_PlannedOrders[Part Name]=$A895)*(T_PlannedOrders[WeekIndex]=12)*(T_PlannedOrders[EffectiveQty]&gt;0)*T_PlannedOrders[Order_Month])),"m月")&amp;"発注)")</f>
        <v/>
      </c>
      <c r="P919">
        <f>IF(SUMIFS(T_PlannedOrders[EffectiveQty],T_PlannedOrders[Part Name],$A895,T_PlannedOrders[WeekIndex],13)=0,"",SUMIFS(T_PlannedOrders[EffectiveQty],T_PlannedOrders[Part Name],$A895,T_PlannedOrders[WeekIndex],13)&amp;" ("&amp;TEXT(SUMPRODUCT(MAX((T_PlannedOrders[Part Name]=$A895)*(T_PlannedOrders[WeekIndex]=13)*(T_PlannedOrders[EffectiveQty]&gt;0)*T_PlannedOrders[Order_Month])),"m月")&amp;"発注)")</f>
        <v/>
      </c>
      <c r="Q919">
        <f>IF(SUMIFS(T_PlannedOrders[EffectiveQty],T_PlannedOrders[Part Name],$A895,T_PlannedOrders[WeekIndex],14)=0,"",SUMIFS(T_PlannedOrders[EffectiveQty],T_PlannedOrders[Part Name],$A895,T_PlannedOrders[WeekIndex],14)&amp;" ("&amp;TEXT(SUMPRODUCT(MAX((T_PlannedOrders[Part Name]=$A895)*(T_PlannedOrders[WeekIndex]=14)*(T_PlannedOrders[EffectiveQty]&gt;0)*T_PlannedOrders[Order_Month])),"m月")&amp;"発注)")</f>
        <v/>
      </c>
      <c r="R919">
        <f>IF(SUMIFS(T_PlannedOrders[EffectiveQty],T_PlannedOrders[Part Name],$A895,T_PlannedOrders[WeekIndex],15)=0,"",SUMIFS(T_PlannedOrders[EffectiveQty],T_PlannedOrders[Part Name],$A895,T_PlannedOrders[WeekIndex],15)&amp;" ("&amp;TEXT(SUMPRODUCT(MAX((T_PlannedOrders[Part Name]=$A895)*(T_PlannedOrders[WeekIndex]=15)*(T_PlannedOrders[EffectiveQty]&gt;0)*T_PlannedOrders[Order_Month])),"m月")&amp;"発注)")</f>
        <v/>
      </c>
      <c r="S919">
        <f>IF(SUMIFS(T_PlannedOrders[EffectiveQty],T_PlannedOrders[Part Name],$A895,T_PlannedOrders[WeekIndex],16)=0,"",SUMIFS(T_PlannedOrders[EffectiveQty],T_PlannedOrders[Part Name],$A895,T_PlannedOrders[WeekIndex],16)&amp;" ("&amp;TEXT(SUMPRODUCT(MAX((T_PlannedOrders[Part Name]=$A895)*(T_PlannedOrders[WeekIndex]=16)*(T_PlannedOrders[EffectiveQty]&gt;0)*T_PlannedOrders[Order_Month])),"m月")&amp;"発注)")</f>
        <v/>
      </c>
      <c r="T919">
        <f>IF(SUMIFS(T_PlannedOrders[EffectiveQty],T_PlannedOrders[Part Name],$A895,T_PlannedOrders[WeekIndex],17)=0,"",SUMIFS(T_PlannedOrders[EffectiveQty],T_PlannedOrders[Part Name],$A895,T_PlannedOrders[WeekIndex],17)&amp;" ("&amp;TEXT(SUMPRODUCT(MAX((T_PlannedOrders[Part Name]=$A895)*(T_PlannedOrders[WeekIndex]=17)*(T_PlannedOrders[EffectiveQty]&gt;0)*T_PlannedOrders[Order_Month])),"m月")&amp;"発注)")</f>
        <v/>
      </c>
      <c r="U919">
        <f>IF(SUMIFS(T_PlannedOrders[EffectiveQty],T_PlannedOrders[Part Name],$A895,T_PlannedOrders[WeekIndex],18)=0,"",SUMIFS(T_PlannedOrders[EffectiveQty],T_PlannedOrders[Part Name],$A895,T_PlannedOrders[WeekIndex],18)&amp;" ("&amp;TEXT(SUMPRODUCT(MAX((T_PlannedOrders[Part Name]=$A895)*(T_PlannedOrders[WeekIndex]=18)*(T_PlannedOrders[EffectiveQty]&gt;0)*T_PlannedOrders[Order_Month])),"m月")&amp;"発注)")</f>
        <v/>
      </c>
      <c r="V919">
        <f>IF(SUMIFS(T_PlannedOrders[EffectiveQty],T_PlannedOrders[Part Name],$A895,T_PlannedOrders[WeekIndex],19)=0,"",SUMIFS(T_PlannedOrders[EffectiveQty],T_PlannedOrders[Part Name],$A895,T_PlannedOrders[WeekIndex],19)&amp;" ("&amp;TEXT(SUMPRODUCT(MAX((T_PlannedOrders[Part Name]=$A895)*(T_PlannedOrders[WeekIndex]=19)*(T_PlannedOrders[EffectiveQty]&gt;0)*T_PlannedOrders[Order_Month])),"m月")&amp;"発注)")</f>
        <v/>
      </c>
      <c r="W919">
        <f>IF(SUMIFS(T_PlannedOrders[EffectiveQty],T_PlannedOrders[Part Name],$A895,T_PlannedOrders[WeekIndex],20)=0,"",SUMIFS(T_PlannedOrders[EffectiveQty],T_PlannedOrders[Part Name],$A895,T_PlannedOrders[WeekIndex],20)&amp;" ("&amp;TEXT(SUMPRODUCT(MAX((T_PlannedOrders[Part Name]=$A895)*(T_PlannedOrders[WeekIndex]=20)*(T_PlannedOrders[EffectiveQty]&gt;0)*T_PlannedOrders[Order_Month])),"m月")&amp;"発注)")</f>
        <v/>
      </c>
      <c r="X919">
        <f>IF(SUMIFS(T_PlannedOrders[EffectiveQty],T_PlannedOrders[Part Name],$A895,T_PlannedOrders[WeekIndex],21)=0,"",SUMIFS(T_PlannedOrders[EffectiveQty],T_PlannedOrders[Part Name],$A895,T_PlannedOrders[WeekIndex],21)&amp;" ("&amp;TEXT(SUMPRODUCT(MAX((T_PlannedOrders[Part Name]=$A895)*(T_PlannedOrders[WeekIndex]=21)*(T_PlannedOrders[EffectiveQty]&gt;0)*T_PlannedOrders[Order_Month])),"m月")&amp;"発注)")</f>
        <v/>
      </c>
      <c r="Y919">
        <f>IF(SUMIFS(T_PlannedOrders[EffectiveQty],T_PlannedOrders[Part Name],$A895,T_PlannedOrders[WeekIndex],22)=0,"",SUMIFS(T_PlannedOrders[EffectiveQty],T_PlannedOrders[Part Name],$A895,T_PlannedOrders[WeekIndex],22)&amp;" ("&amp;TEXT(SUMPRODUCT(MAX((T_PlannedOrders[Part Name]=$A895)*(T_PlannedOrders[WeekIndex]=22)*(T_PlannedOrders[EffectiveQty]&gt;0)*T_PlannedOrders[Order_Month])),"m月")&amp;"発注)")</f>
        <v/>
      </c>
      <c r="Z919">
        <f>IF(SUMIFS(T_PlannedOrders[EffectiveQty],T_PlannedOrders[Part Name],$A895,T_PlannedOrders[WeekIndex],23)=0,"",SUMIFS(T_PlannedOrders[EffectiveQty],T_PlannedOrders[Part Name],$A895,T_PlannedOrders[WeekIndex],23)&amp;" ("&amp;TEXT(SUMPRODUCT(MAX((T_PlannedOrders[Part Name]=$A895)*(T_PlannedOrders[WeekIndex]=23)*(T_PlannedOrders[EffectiveQty]&gt;0)*T_PlannedOrders[Order_Month])),"m月")&amp;"発注)")</f>
        <v/>
      </c>
      <c r="AA919">
        <f>IF(SUMIFS(T_PlannedOrders[EffectiveQty],T_PlannedOrders[Part Name],$A895,T_PlannedOrders[WeekIndex],24)=0,"",SUMIFS(T_PlannedOrders[EffectiveQty],T_PlannedOrders[Part Name],$A895,T_PlannedOrders[WeekIndex],24)&amp;" ("&amp;TEXT(SUMPRODUCT(MAX((T_PlannedOrders[Part Name]=$A895)*(T_PlannedOrders[WeekIndex]=24)*(T_PlannedOrders[EffectiveQty]&gt;0)*T_PlannedOrders[Order_Month])),"m月")&amp;"発注)")</f>
        <v/>
      </c>
      <c r="AB919">
        <f>IF(SUMIFS(T_PlannedOrders[EffectiveQty],T_PlannedOrders[Part Name],$A895,T_PlannedOrders[WeekIndex],25)=0,"",SUMIFS(T_PlannedOrders[EffectiveQty],T_PlannedOrders[Part Name],$A895,T_PlannedOrders[WeekIndex],25)&amp;" ("&amp;TEXT(SUMPRODUCT(MAX((T_PlannedOrders[Part Name]=$A895)*(T_PlannedOrders[WeekIndex]=25)*(T_PlannedOrders[EffectiveQty]&gt;0)*T_PlannedOrders[Order_Month])),"m月")&amp;"発注)")</f>
        <v/>
      </c>
      <c r="AC919">
        <f>IF(SUMIFS(T_PlannedOrders[EffectiveQty],T_PlannedOrders[Part Name],$A895,T_PlannedOrders[WeekIndex],26)=0,"",SUMIFS(T_PlannedOrders[EffectiveQty],T_PlannedOrders[Part Name],$A895,T_PlannedOrders[WeekIndex],26)&amp;" ("&amp;TEXT(SUMPRODUCT(MAX((T_PlannedOrders[Part Name]=$A895)*(T_PlannedOrders[WeekIndex]=26)*(T_PlannedOrders[EffectiveQty]&gt;0)*T_PlannedOrders[Order_Month])),"m月")&amp;"発注)")</f>
        <v/>
      </c>
      <c r="AD919">
        <f>IF(SUMIFS(T_PlannedOrders[EffectiveQty],T_PlannedOrders[Part Name],$A895,T_PlannedOrders[WeekIndex],27)=0,"",SUMIFS(T_PlannedOrders[EffectiveQty],T_PlannedOrders[Part Name],$A895,T_PlannedOrders[WeekIndex],27)&amp;" ("&amp;TEXT(SUMPRODUCT(MAX((T_PlannedOrders[Part Name]=$A895)*(T_PlannedOrders[WeekIndex]=27)*(T_PlannedOrders[EffectiveQty]&gt;0)*T_PlannedOrders[Order_Month])),"m月")&amp;"発注)")</f>
        <v/>
      </c>
      <c r="AE919">
        <f>IF(SUMIFS(T_PlannedOrders[EffectiveQty],T_PlannedOrders[Part Name],$A895,T_PlannedOrders[WeekIndex],28)=0,"",SUMIFS(T_PlannedOrders[EffectiveQty],T_PlannedOrders[Part Name],$A895,T_PlannedOrders[WeekIndex],28)&amp;" ("&amp;TEXT(SUMPRODUCT(MAX((T_PlannedOrders[Part Name]=$A895)*(T_PlannedOrders[WeekIndex]=28)*(T_PlannedOrders[EffectiveQty]&gt;0)*T_PlannedOrders[Order_Month])),"m月")&amp;"発注)")</f>
        <v/>
      </c>
      <c r="AF919">
        <f>IF(SUMIFS(T_PlannedOrders[EffectiveQty],T_PlannedOrders[Part Name],$A895,T_PlannedOrders[WeekIndex],29)=0,"",SUMIFS(T_PlannedOrders[EffectiveQty],T_PlannedOrders[Part Name],$A895,T_PlannedOrders[WeekIndex],29)&amp;" ("&amp;TEXT(SUMPRODUCT(MAX((T_PlannedOrders[Part Name]=$A895)*(T_PlannedOrders[WeekIndex]=29)*(T_PlannedOrders[EffectiveQty]&gt;0)*T_PlannedOrders[Order_Month])),"m月")&amp;"発注)")</f>
        <v/>
      </c>
      <c r="AG919">
        <f>IF(SUMIFS(T_PlannedOrders[EffectiveQty],T_PlannedOrders[Part Name],$A895,T_PlannedOrders[WeekIndex],30)=0,"",SUMIFS(T_PlannedOrders[EffectiveQty],T_PlannedOrders[Part Name],$A895,T_PlannedOrders[WeekIndex],30)&amp;" ("&amp;TEXT(SUMPRODUCT(MAX((T_PlannedOrders[Part Name]=$A895)*(T_PlannedOrders[WeekIndex]=30)*(T_PlannedOrders[EffectiveQty]&gt;0)*T_PlannedOrders[Order_Month])),"m月")&amp;"発注)")</f>
        <v/>
      </c>
      <c r="AH919">
        <f>IF(SUMIFS(T_PlannedOrders[EffectiveQty],T_PlannedOrders[Part Name],$A895,T_PlannedOrders[WeekIndex],31)=0,"",SUMIFS(T_PlannedOrders[EffectiveQty],T_PlannedOrders[Part Name],$A895,T_PlannedOrders[WeekIndex],31)&amp;" ("&amp;TEXT(SUMPRODUCT(MAX((T_PlannedOrders[Part Name]=$A895)*(T_PlannedOrders[WeekIndex]=31)*(T_PlannedOrders[EffectiveQty]&gt;0)*T_PlannedOrders[Order_Month])),"m月")&amp;"発注)")</f>
        <v/>
      </c>
      <c r="AI919">
        <f>IF(SUMIFS(T_PlannedOrders[EffectiveQty],T_PlannedOrders[Part Name],$A895,T_PlannedOrders[WeekIndex],32)=0,"",SUMIFS(T_PlannedOrders[EffectiveQty],T_PlannedOrders[Part Name],$A895,T_PlannedOrders[WeekIndex],32)&amp;" ("&amp;TEXT(SUMPRODUCT(MAX((T_PlannedOrders[Part Name]=$A895)*(T_PlannedOrders[WeekIndex]=32)*(T_PlannedOrders[EffectiveQty]&gt;0)*T_PlannedOrders[Order_Month])),"m月")&amp;"発注)")</f>
        <v/>
      </c>
      <c r="AJ919">
        <f>IF(SUMIFS(T_PlannedOrders[EffectiveQty],T_PlannedOrders[Part Name],$A895,T_PlannedOrders[WeekIndex],33)=0,"",SUMIFS(T_PlannedOrders[EffectiveQty],T_PlannedOrders[Part Name],$A895,T_PlannedOrders[WeekIndex],33)&amp;" ("&amp;TEXT(SUMPRODUCT(MAX((T_PlannedOrders[Part Name]=$A895)*(T_PlannedOrders[WeekIndex]=33)*(T_PlannedOrders[EffectiveQty]&gt;0)*T_PlannedOrders[Order_Month])),"m月")&amp;"発注)")</f>
        <v/>
      </c>
      <c r="AK919">
        <f>IF(SUMIFS(T_PlannedOrders[EffectiveQty],T_PlannedOrders[Part Name],$A895,T_PlannedOrders[WeekIndex],34)=0,"",SUMIFS(T_PlannedOrders[EffectiveQty],T_PlannedOrders[Part Name],$A895,T_PlannedOrders[WeekIndex],34)&amp;" ("&amp;TEXT(SUMPRODUCT(MAX((T_PlannedOrders[Part Name]=$A895)*(T_PlannedOrders[WeekIndex]=34)*(T_PlannedOrders[EffectiveQty]&gt;0)*T_PlannedOrders[Order_Month])),"m月")&amp;"発注)")</f>
        <v/>
      </c>
      <c r="AL919">
        <f>IF(SUMIFS(T_PlannedOrders[EffectiveQty],T_PlannedOrders[Part Name],$A895,T_PlannedOrders[WeekIndex],35)=0,"",SUMIFS(T_PlannedOrders[EffectiveQty],T_PlannedOrders[Part Name],$A895,T_PlannedOrders[WeekIndex],35)&amp;" ("&amp;TEXT(SUMPRODUCT(MAX((T_PlannedOrders[Part Name]=$A895)*(T_PlannedOrders[WeekIndex]=35)*(T_PlannedOrders[EffectiveQty]&gt;0)*T_PlannedOrders[Order_Month])),"m月")&amp;"発注)")</f>
        <v/>
      </c>
      <c r="AM919">
        <f>IF(SUMIFS(T_PlannedOrders[EffectiveQty],T_PlannedOrders[Part Name],$A895,T_PlannedOrders[WeekIndex],36)=0,"",SUMIFS(T_PlannedOrders[EffectiveQty],T_PlannedOrders[Part Name],$A895,T_PlannedOrders[WeekIndex],36)&amp;" ("&amp;TEXT(SUMPRODUCT(MAX((T_PlannedOrders[Part Name]=$A895)*(T_PlannedOrders[WeekIndex]=36)*(T_PlannedOrders[EffectiveQty]&gt;0)*T_PlannedOrders[Order_Month])),"m月")&amp;"発注)")</f>
        <v/>
      </c>
      <c r="AN919">
        <f>IF(SUMIFS(T_PlannedOrders[EffectiveQty],T_PlannedOrders[Part Name],$A895,T_PlannedOrders[WeekIndex],37)=0,"",SUMIFS(T_PlannedOrders[EffectiveQty],T_PlannedOrders[Part Name],$A895,T_PlannedOrders[WeekIndex],37)&amp;" ("&amp;TEXT(SUMPRODUCT(MAX((T_PlannedOrders[Part Name]=$A895)*(T_PlannedOrders[WeekIndex]=37)*(T_PlannedOrders[EffectiveQty]&gt;0)*T_PlannedOrders[Order_Month])),"m月")&amp;"発注)")</f>
        <v/>
      </c>
      <c r="AO919">
        <f>IF(SUMIFS(T_PlannedOrders[EffectiveQty],T_PlannedOrders[Part Name],$A895,T_PlannedOrders[WeekIndex],38)=0,"",SUMIFS(T_PlannedOrders[EffectiveQty],T_PlannedOrders[Part Name],$A895,T_PlannedOrders[WeekIndex],38)&amp;" ("&amp;TEXT(SUMPRODUCT(MAX((T_PlannedOrders[Part Name]=$A895)*(T_PlannedOrders[WeekIndex]=38)*(T_PlannedOrders[EffectiveQty]&gt;0)*T_PlannedOrders[Order_Month])),"m月")&amp;"発注)")</f>
        <v/>
      </c>
      <c r="AP919">
        <f>IF(SUMIFS(T_PlannedOrders[EffectiveQty],T_PlannedOrders[Part Name],$A895,T_PlannedOrders[WeekIndex],39)=0,"",SUMIFS(T_PlannedOrders[EffectiveQty],T_PlannedOrders[Part Name],$A895,T_PlannedOrders[WeekIndex],39)&amp;" ("&amp;TEXT(SUMPRODUCT(MAX((T_PlannedOrders[Part Name]=$A895)*(T_PlannedOrders[WeekIndex]=39)*(T_PlannedOrders[EffectiveQty]&gt;0)*T_PlannedOrders[Order_Month])),"m月")&amp;"発注)")</f>
        <v/>
      </c>
      <c r="AQ919">
        <f>IF(SUMIFS(T_PlannedOrders[EffectiveQty],T_PlannedOrders[Part Name],$A895,T_PlannedOrders[WeekIndex],40)=0,"",SUMIFS(T_PlannedOrders[EffectiveQty],T_PlannedOrders[Part Name],$A895,T_PlannedOrders[WeekIndex],40)&amp;" ("&amp;TEXT(SUMPRODUCT(MAX((T_PlannedOrders[Part Name]=$A895)*(T_PlannedOrders[WeekIndex]=40)*(T_PlannedOrders[EffectiveQty]&gt;0)*T_PlannedOrders[Order_Month])),"m月")&amp;"発注)")</f>
        <v/>
      </c>
      <c r="AR919">
        <f>IF(SUMIFS(T_PlannedOrders[EffectiveQty],T_PlannedOrders[Part Name],$A895,T_PlannedOrders[WeekIndex],41)=0,"",SUMIFS(T_PlannedOrders[EffectiveQty],T_PlannedOrders[Part Name],$A895,T_PlannedOrders[WeekIndex],41)&amp;" ("&amp;TEXT(SUMPRODUCT(MAX((T_PlannedOrders[Part Name]=$A895)*(T_PlannedOrders[WeekIndex]=41)*(T_PlannedOrders[EffectiveQty]&gt;0)*T_PlannedOrders[Order_Month])),"m月")&amp;"発注)")</f>
        <v/>
      </c>
      <c r="AS919">
        <f>IF(SUMIFS(T_PlannedOrders[EffectiveQty],T_PlannedOrders[Part Name],$A895,T_PlannedOrders[WeekIndex],42)=0,"",SUMIFS(T_PlannedOrders[EffectiveQty],T_PlannedOrders[Part Name],$A895,T_PlannedOrders[WeekIndex],42)&amp;" ("&amp;TEXT(SUMPRODUCT(MAX((T_PlannedOrders[Part Name]=$A895)*(T_PlannedOrders[WeekIndex]=42)*(T_PlannedOrders[EffectiveQty]&gt;0)*T_PlannedOrders[Order_Month])),"m月")&amp;"発注)")</f>
        <v/>
      </c>
      <c r="AT919">
        <f>IF(SUMIFS(T_PlannedOrders[EffectiveQty],T_PlannedOrders[Part Name],$A895,T_PlannedOrders[WeekIndex],43)=0,"",SUMIFS(T_PlannedOrders[EffectiveQty],T_PlannedOrders[Part Name],$A895,T_PlannedOrders[WeekIndex],43)&amp;" ("&amp;TEXT(SUMPRODUCT(MAX((T_PlannedOrders[Part Name]=$A895)*(T_PlannedOrders[WeekIndex]=43)*(T_PlannedOrders[EffectiveQty]&gt;0)*T_PlannedOrders[Order_Month])),"m月")&amp;"発注)")</f>
        <v/>
      </c>
      <c r="AU919">
        <f>IF(SUMIFS(T_PlannedOrders[EffectiveQty],T_PlannedOrders[Part Name],$A895,T_PlannedOrders[WeekIndex],44)=0,"",SUMIFS(T_PlannedOrders[EffectiveQty],T_PlannedOrders[Part Name],$A895,T_PlannedOrders[WeekIndex],44)&amp;" ("&amp;TEXT(SUMPRODUCT(MAX((T_PlannedOrders[Part Name]=$A895)*(T_PlannedOrders[WeekIndex]=44)*(T_PlannedOrders[EffectiveQty]&gt;0)*T_PlannedOrders[Order_Month])),"m月")&amp;"発注)")</f>
        <v/>
      </c>
      <c r="AV919">
        <f>IF(SUMIFS(T_PlannedOrders[EffectiveQty],T_PlannedOrders[Part Name],$A895,T_PlannedOrders[WeekIndex],45)=0,"",SUMIFS(T_PlannedOrders[EffectiveQty],T_PlannedOrders[Part Name],$A895,T_PlannedOrders[WeekIndex],45)&amp;" ("&amp;TEXT(SUMPRODUCT(MAX((T_PlannedOrders[Part Name]=$A895)*(T_PlannedOrders[WeekIndex]=45)*(T_PlannedOrders[EffectiveQty]&gt;0)*T_PlannedOrders[Order_Month])),"m月")&amp;"発注)")</f>
        <v/>
      </c>
      <c r="AW919">
        <f>IF(SUMIFS(T_PlannedOrders[EffectiveQty],T_PlannedOrders[Part Name],$A895,T_PlannedOrders[WeekIndex],46)=0,"",SUMIFS(T_PlannedOrders[EffectiveQty],T_PlannedOrders[Part Name],$A895,T_PlannedOrders[WeekIndex],46)&amp;" ("&amp;TEXT(SUMPRODUCT(MAX((T_PlannedOrders[Part Name]=$A895)*(T_PlannedOrders[WeekIndex]=46)*(T_PlannedOrders[EffectiveQty]&gt;0)*T_PlannedOrders[Order_Month])),"m月")&amp;"発注)")</f>
        <v/>
      </c>
      <c r="AX919">
        <f>IF(SUMIFS(T_PlannedOrders[EffectiveQty],T_PlannedOrders[Part Name],$A895,T_PlannedOrders[WeekIndex],47)=0,"",SUMIFS(T_PlannedOrders[EffectiveQty],T_PlannedOrders[Part Name],$A895,T_PlannedOrders[WeekIndex],47)&amp;" ("&amp;TEXT(SUMPRODUCT(MAX((T_PlannedOrders[Part Name]=$A895)*(T_PlannedOrders[WeekIndex]=47)*(T_PlannedOrders[EffectiveQty]&gt;0)*T_PlannedOrders[Order_Month])),"m月")&amp;"発注)")</f>
        <v/>
      </c>
      <c r="AY919">
        <f>IF(SUMIFS(T_PlannedOrders[EffectiveQty],T_PlannedOrders[Part Name],$A895,T_PlannedOrders[WeekIndex],48)=0,"",SUMIFS(T_PlannedOrders[EffectiveQty],T_PlannedOrders[Part Name],$A895,T_PlannedOrders[WeekIndex],48)&amp;" ("&amp;TEXT(SUMPRODUCT(MAX((T_PlannedOrders[Part Name]=$A895)*(T_PlannedOrders[WeekIndex]=48)*(T_PlannedOrders[EffectiveQty]&gt;0)*T_PlannedOrders[Order_Month])),"m月")&amp;"発注)")</f>
        <v/>
      </c>
      <c r="AZ919">
        <f>IF(SUMIFS(T_PlannedOrders[EffectiveQty],T_PlannedOrders[Part Name],$A895,T_PlannedOrders[WeekIndex],49)=0,"",SUMIFS(T_PlannedOrders[EffectiveQty],T_PlannedOrders[Part Name],$A895,T_PlannedOrders[WeekIndex],49)&amp;" ("&amp;TEXT(SUMPRODUCT(MAX((T_PlannedOrders[Part Name]=$A895)*(T_PlannedOrders[WeekIndex]=49)*(T_PlannedOrders[EffectiveQty]&gt;0)*T_PlannedOrders[Order_Month])),"m月")&amp;"発注)")</f>
        <v/>
      </c>
      <c r="BA919">
        <f>IF(SUMIFS(T_PlannedOrders[EffectiveQty],T_PlannedOrders[Part Name],$A895,T_PlannedOrders[WeekIndex],50)=0,"",SUMIFS(T_PlannedOrders[EffectiveQty],T_PlannedOrders[Part Name],$A895,T_PlannedOrders[WeekIndex],50)&amp;" ("&amp;TEXT(SUMPRODUCT(MAX((T_PlannedOrders[Part Name]=$A895)*(T_PlannedOrders[WeekIndex]=50)*(T_PlannedOrders[EffectiveQty]&gt;0)*T_PlannedOrders[Order_Month])),"m月")&amp;"発注)")</f>
        <v/>
      </c>
      <c r="BB919">
        <f>IF(SUMIFS(T_PlannedOrders[EffectiveQty],T_PlannedOrders[Part Name],$A895,T_PlannedOrders[WeekIndex],51)=0,"",SUMIFS(T_PlannedOrders[EffectiveQty],T_PlannedOrders[Part Name],$A895,T_PlannedOrders[WeekIndex],51)&amp;" ("&amp;TEXT(SUMPRODUCT(MAX((T_PlannedOrders[Part Name]=$A895)*(T_PlannedOrders[WeekIndex]=51)*(T_PlannedOrders[EffectiveQty]&gt;0)*T_PlannedOrders[Order_Month])),"m月")&amp;"発注)")</f>
        <v/>
      </c>
      <c r="BC919">
        <f>IF(SUMIFS(T_PlannedOrders[EffectiveQty],T_PlannedOrders[Part Name],$A895,T_PlannedOrders[WeekIndex],52)=0,"",SUMIFS(T_PlannedOrders[EffectiveQty],T_PlannedOrders[Part Name],$A895,T_PlannedOrders[WeekIndex],52)&amp;" ("&amp;TEXT(SUMPRODUCT(MAX((T_PlannedOrders[Part Name]=$A895)*(T_PlannedOrders[WeekIndex]=52)*(T_PlannedOrders[EffectiveQty]&gt;0)*T_PlannedOrders[Order_Month])),"m月")&amp;"発注)")</f>
        <v/>
      </c>
      <c r="BD919">
        <f>IF(SUMIFS(T_PlannedOrders[EffectiveQty],T_PlannedOrders[Part Name],$A895,T_PlannedOrders[WeekIndex],53)=0,"",SUMIFS(T_PlannedOrders[EffectiveQty],T_PlannedOrders[Part Name],$A895,T_PlannedOrders[WeekIndex],53)&amp;" ("&amp;TEXT(SUMPRODUCT(MAX((T_PlannedOrders[Part Name]=$A895)*(T_PlannedOrders[WeekIndex]=53)*(T_PlannedOrders[EffectiveQty]&gt;0)*T_PlannedOrders[Order_Month])),"m月")&amp;"発注)")</f>
        <v/>
      </c>
      <c r="BE919">
        <f>IF(SUMIFS(T_PlannedOrders[EffectiveQty],T_PlannedOrders[Part Name],$A895,T_PlannedOrders[WeekIndex],54)=0,"",SUMIFS(T_PlannedOrders[EffectiveQty],T_PlannedOrders[Part Name],$A895,T_PlannedOrders[WeekIndex],54)&amp;" ("&amp;TEXT(SUMPRODUCT(MAX((T_PlannedOrders[Part Name]=$A895)*(T_PlannedOrders[WeekIndex]=54)*(T_PlannedOrders[EffectiveQty]&gt;0)*T_PlannedOrders[Order_Month])),"m月")&amp;"発注)")</f>
        <v/>
      </c>
      <c r="BF919">
        <f>IF(SUMIFS(T_PlannedOrders[EffectiveQty],T_PlannedOrders[Part Name],$A895,T_PlannedOrders[WeekIndex],55)=0,"",SUMIFS(T_PlannedOrders[EffectiveQty],T_PlannedOrders[Part Name],$A895,T_PlannedOrders[WeekIndex],55)&amp;" ("&amp;TEXT(SUMPRODUCT(MAX((T_PlannedOrders[Part Name]=$A895)*(T_PlannedOrders[WeekIndex]=55)*(T_PlannedOrders[EffectiveQty]&gt;0)*T_PlannedOrders[Order_Month])),"m月")&amp;"発注)")</f>
        <v/>
      </c>
      <c r="BG919">
        <f>IF(SUMIFS(T_PlannedOrders[EffectiveQty],T_PlannedOrders[Part Name],$A895,T_PlannedOrders[WeekIndex],56)=0,"",SUMIFS(T_PlannedOrders[EffectiveQty],T_PlannedOrders[Part Name],$A895,T_PlannedOrders[WeekIndex],56)&amp;" ("&amp;TEXT(SUMPRODUCT(MAX((T_PlannedOrders[Part Name]=$A895)*(T_PlannedOrders[WeekIndex]=56)*(T_PlannedOrders[EffectiveQty]&gt;0)*T_PlannedOrders[Order_Month])),"m月")&amp;"発注)")</f>
        <v/>
      </c>
      <c r="BH919">
        <f>IF(SUMIFS(T_PlannedOrders[EffectiveQty],T_PlannedOrders[Part Name],$A895,T_PlannedOrders[WeekIndex],57)=0,"",SUMIFS(T_PlannedOrders[EffectiveQty],T_PlannedOrders[Part Name],$A895,T_PlannedOrders[WeekIndex],57)&amp;" ("&amp;TEXT(SUMPRODUCT(MAX((T_PlannedOrders[Part Name]=$A895)*(T_PlannedOrders[WeekIndex]=57)*(T_PlannedOrders[EffectiveQty]&gt;0)*T_PlannedOrders[Order_Month])),"m月")&amp;"発注)")</f>
        <v/>
      </c>
      <c r="BI919">
        <f>IF(SUMIFS(T_PlannedOrders[EffectiveQty],T_PlannedOrders[Part Name],$A895,T_PlannedOrders[WeekIndex],58)=0,"",SUMIFS(T_PlannedOrders[EffectiveQty],T_PlannedOrders[Part Name],$A895,T_PlannedOrders[WeekIndex],58)&amp;" ("&amp;TEXT(SUMPRODUCT(MAX((T_PlannedOrders[Part Name]=$A895)*(T_PlannedOrders[WeekIndex]=58)*(T_PlannedOrders[EffectiveQty]&gt;0)*T_PlannedOrders[Order_Month])),"m月")&amp;"発注)")</f>
        <v/>
      </c>
      <c r="BJ919">
        <f>IF(SUMIFS(T_PlannedOrders[EffectiveQty],T_PlannedOrders[Part Name],$A895,T_PlannedOrders[WeekIndex],59)=0,"",SUMIFS(T_PlannedOrders[EffectiveQty],T_PlannedOrders[Part Name],$A895,T_PlannedOrders[WeekIndex],59)&amp;" ("&amp;TEXT(SUMPRODUCT(MAX((T_PlannedOrders[Part Name]=$A895)*(T_PlannedOrders[WeekIndex]=59)*(T_PlannedOrders[EffectiveQty]&gt;0)*T_PlannedOrders[Order_Month])),"m月")&amp;"発注)")</f>
        <v/>
      </c>
      <c r="BK919">
        <f>IF(SUMIFS(T_PlannedOrders[EffectiveQty],T_PlannedOrders[Part Name],$A895,T_PlannedOrders[WeekIndex],60)=0,"",SUMIFS(T_PlannedOrders[EffectiveQty],T_PlannedOrders[Part Name],$A895,T_PlannedOrders[WeekIndex],60)&amp;" ("&amp;TEXT(SUMPRODUCT(MAX((T_PlannedOrders[Part Name]=$A895)*(T_PlannedOrders[WeekIndex]=60)*(T_PlannedOrders[EffectiveQty]&gt;0)*T_PlannedOrders[Order_Month])),"m月")&amp;"発注)")</f>
        <v/>
      </c>
      <c r="BL919">
        <f>IF(SUMIFS(T_PlannedOrders[EffectiveQty],T_PlannedOrders[Part Name],$A895,T_PlannedOrders[WeekIndex],61)=0,"",SUMIFS(T_PlannedOrders[EffectiveQty],T_PlannedOrders[Part Name],$A895,T_PlannedOrders[WeekIndex],61)&amp;" ("&amp;TEXT(SUMPRODUCT(MAX((T_PlannedOrders[Part Name]=$A895)*(T_PlannedOrders[WeekIndex]=61)*(T_PlannedOrders[EffectiveQty]&gt;0)*T_PlannedOrders[Order_Month])),"m月")&amp;"発注)")</f>
        <v/>
      </c>
      <c r="BM919">
        <f>IF(SUMIFS(T_PlannedOrders[EffectiveQty],T_PlannedOrders[Part Name],$A895,T_PlannedOrders[WeekIndex],62)=0,"",SUMIFS(T_PlannedOrders[EffectiveQty],T_PlannedOrders[Part Name],$A895,T_PlannedOrders[WeekIndex],62)&amp;" ("&amp;TEXT(SUMPRODUCT(MAX((T_PlannedOrders[Part Name]=$A895)*(T_PlannedOrders[WeekIndex]=62)*(T_PlannedOrders[EffectiveQty]&gt;0)*T_PlannedOrders[Order_Month])),"m月")&amp;"発注)")</f>
        <v/>
      </c>
      <c r="BN919">
        <f>IF(SUMIFS(T_PlannedOrders[EffectiveQty],T_PlannedOrders[Part Name],$A895,T_PlannedOrders[WeekIndex],63)=0,"",SUMIFS(T_PlannedOrders[EffectiveQty],T_PlannedOrders[Part Name],$A895,T_PlannedOrders[WeekIndex],63)&amp;" ("&amp;TEXT(SUMPRODUCT(MAX((T_PlannedOrders[Part Name]=$A895)*(T_PlannedOrders[WeekIndex]=63)*(T_PlannedOrders[EffectiveQty]&gt;0)*T_PlannedOrders[Order_Month])),"m月")&amp;"発注)")</f>
        <v/>
      </c>
      <c r="BO919">
        <f>IF(SUMIFS(T_PlannedOrders[EffectiveQty],T_PlannedOrders[Part Name],$A895,T_PlannedOrders[WeekIndex],64)=0,"",SUMIFS(T_PlannedOrders[EffectiveQty],T_PlannedOrders[Part Name],$A895,T_PlannedOrders[WeekIndex],64)&amp;" ("&amp;TEXT(SUMPRODUCT(MAX((T_PlannedOrders[Part Name]=$A895)*(T_PlannedOrders[WeekIndex]=64)*(T_PlannedOrders[EffectiveQty]&gt;0)*T_PlannedOrders[Order_Month])),"m月")&amp;"発注)")</f>
        <v/>
      </c>
      <c r="BP919">
        <f>IF(SUMIFS(T_PlannedOrders[EffectiveQty],T_PlannedOrders[Part Name],$A895,T_PlannedOrders[WeekIndex],65)=0,"",SUMIFS(T_PlannedOrders[EffectiveQty],T_PlannedOrders[Part Name],$A895,T_PlannedOrders[WeekIndex],65)&amp;" ("&amp;TEXT(SUMPRODUCT(MAX((T_PlannedOrders[Part Name]=$A895)*(T_PlannedOrders[WeekIndex]=65)*(T_PlannedOrders[EffectiveQty]&gt;0)*T_PlannedOrders[Order_Month])),"m月")&amp;"発注)")</f>
        <v/>
      </c>
      <c r="BQ919">
        <f>IF(SUMIFS(T_PlannedOrders[EffectiveQty],T_PlannedOrders[Part Name],$A895,T_PlannedOrders[WeekIndex],66)=0,"",SUMIFS(T_PlannedOrders[EffectiveQty],T_PlannedOrders[Part Name],$A895,T_PlannedOrders[WeekIndex],66)&amp;" ("&amp;TEXT(SUMPRODUCT(MAX((T_PlannedOrders[Part Name]=$A895)*(T_PlannedOrders[WeekIndex]=66)*(T_PlannedOrders[EffectiveQty]&gt;0)*T_PlannedOrders[Order_Month])),"m月")&amp;"発注)")</f>
        <v/>
      </c>
      <c r="BR919">
        <f>IF(SUMIFS(T_PlannedOrders[EffectiveQty],T_PlannedOrders[Part Name],$A895,T_PlannedOrders[WeekIndex],67)=0,"",SUMIFS(T_PlannedOrders[EffectiveQty],T_PlannedOrders[Part Name],$A895,T_PlannedOrders[WeekIndex],67)&amp;" ("&amp;TEXT(SUMPRODUCT(MAX((T_PlannedOrders[Part Name]=$A895)*(T_PlannedOrders[WeekIndex]=67)*(T_PlannedOrders[EffectiveQty]&gt;0)*T_PlannedOrders[Order_Month])),"m月")&amp;"発注)")</f>
        <v/>
      </c>
      <c r="BS919">
        <f>IF(SUMIFS(T_PlannedOrders[EffectiveQty],T_PlannedOrders[Part Name],$A895,T_PlannedOrders[WeekIndex],68)=0,"",SUMIFS(T_PlannedOrders[EffectiveQty],T_PlannedOrders[Part Name],$A895,T_PlannedOrders[WeekIndex],68)&amp;" ("&amp;TEXT(SUMPRODUCT(MAX((T_PlannedOrders[Part Name]=$A895)*(T_PlannedOrders[WeekIndex]=68)*(T_PlannedOrders[EffectiveQty]&gt;0)*T_PlannedOrders[Order_Month])),"m月")&amp;"発注)")</f>
        <v/>
      </c>
      <c r="BT919">
        <f>IF(SUMIFS(T_PlannedOrders[EffectiveQty],T_PlannedOrders[Part Name],$A895,T_PlannedOrders[WeekIndex],69)=0,"",SUMIFS(T_PlannedOrders[EffectiveQty],T_PlannedOrders[Part Name],$A895,T_PlannedOrders[WeekIndex],69)&amp;" ("&amp;TEXT(SUMPRODUCT(MAX((T_PlannedOrders[Part Name]=$A895)*(T_PlannedOrders[WeekIndex]=69)*(T_PlannedOrders[EffectiveQty]&gt;0)*T_PlannedOrders[Order_Month])),"m月")&amp;"発注)")</f>
        <v/>
      </c>
      <c r="BU919">
        <f>IF(SUMIFS(T_PlannedOrders[EffectiveQty],T_PlannedOrders[Part Name],$A895,T_PlannedOrders[WeekIndex],70)=0,"",SUMIFS(T_PlannedOrders[EffectiveQty],T_PlannedOrders[Part Name],$A895,T_PlannedOrders[WeekIndex],70)&amp;" ("&amp;TEXT(SUMPRODUCT(MAX((T_PlannedOrders[Part Name]=$A895)*(T_PlannedOrders[WeekIndex]=70)*(T_PlannedOrders[EffectiveQty]&gt;0)*T_PlannedOrders[Order_Month])),"m月")&amp;"発注)")</f>
        <v/>
      </c>
      <c r="BV919">
        <f>IF(SUMIFS(T_PlannedOrders[EffectiveQty],T_PlannedOrders[Part Name],$A895,T_PlannedOrders[WeekIndex],71)=0,"",SUMIFS(T_PlannedOrders[EffectiveQty],T_PlannedOrders[Part Name],$A895,T_PlannedOrders[WeekIndex],71)&amp;" ("&amp;TEXT(SUMPRODUCT(MAX((T_PlannedOrders[Part Name]=$A895)*(T_PlannedOrders[WeekIndex]=71)*(T_PlannedOrders[EffectiveQty]&gt;0)*T_PlannedOrders[Order_Month])),"m月")&amp;"発注)")</f>
        <v/>
      </c>
      <c r="BW919">
        <f>IF(SUMIFS(T_PlannedOrders[EffectiveQty],T_PlannedOrders[Part Name],$A895,T_PlannedOrders[WeekIndex],72)=0,"",SUMIFS(T_PlannedOrders[EffectiveQty],T_PlannedOrders[Part Name],$A895,T_PlannedOrders[WeekIndex],72)&amp;" ("&amp;TEXT(SUMPRODUCT(MAX((T_PlannedOrders[Part Name]=$A895)*(T_PlannedOrders[WeekIndex]=72)*(T_PlannedOrders[EffectiveQty]&gt;0)*T_PlannedOrders[Order_Month])),"m月")&amp;"発注)")</f>
        <v/>
      </c>
      <c r="BX919">
        <f>IF(SUMIFS(T_PlannedOrders[EffectiveQty],T_PlannedOrders[Part Name],$A895,T_PlannedOrders[WeekIndex],73)=0,"",SUMIFS(T_PlannedOrders[EffectiveQty],T_PlannedOrders[Part Name],$A895,T_PlannedOrders[WeekIndex],73)&amp;" ("&amp;TEXT(SUMPRODUCT(MAX((T_PlannedOrders[Part Name]=$A895)*(T_PlannedOrders[WeekIndex]=73)*(T_PlannedOrders[EffectiveQty]&gt;0)*T_PlannedOrders[Order_Month])),"m月")&amp;"発注)")</f>
        <v/>
      </c>
      <c r="BY919">
        <f>IF(SUMIFS(T_PlannedOrders[EffectiveQty],T_PlannedOrders[Part Name],$A895,T_PlannedOrders[WeekIndex],74)=0,"",SUMIFS(T_PlannedOrders[EffectiveQty],T_PlannedOrders[Part Name],$A895,T_PlannedOrders[WeekIndex],74)&amp;" ("&amp;TEXT(SUMPRODUCT(MAX((T_PlannedOrders[Part Name]=$A895)*(T_PlannedOrders[WeekIndex]=74)*(T_PlannedOrders[EffectiveQty]&gt;0)*T_PlannedOrders[Order_Month])),"m月")&amp;"発注)")</f>
        <v/>
      </c>
      <c r="BZ919">
        <f>IF(SUMIFS(T_PlannedOrders[EffectiveQty],T_PlannedOrders[Part Name],$A895,T_PlannedOrders[WeekIndex],75)=0,"",SUMIFS(T_PlannedOrders[EffectiveQty],T_PlannedOrders[Part Name],$A895,T_PlannedOrders[WeekIndex],75)&amp;" ("&amp;TEXT(SUMPRODUCT(MAX((T_PlannedOrders[Part Name]=$A895)*(T_PlannedOrders[WeekIndex]=75)*(T_PlannedOrders[EffectiveQty]&gt;0)*T_PlannedOrders[Order_Month])),"m月")&amp;"発注)")</f>
        <v/>
      </c>
      <c r="CA919">
        <f>IF(SUMIFS(T_PlannedOrders[EffectiveQty],T_PlannedOrders[Part Name],$A895,T_PlannedOrders[WeekIndex],76)=0,"",SUMIFS(T_PlannedOrders[EffectiveQty],T_PlannedOrders[Part Name],$A895,T_PlannedOrders[WeekIndex],76)&amp;" ("&amp;TEXT(SUMPRODUCT(MAX((T_PlannedOrders[Part Name]=$A895)*(T_PlannedOrders[WeekIndex]=76)*(T_PlannedOrders[EffectiveQty]&gt;0)*T_PlannedOrders[Order_Month])),"m月")&amp;"発注)")</f>
        <v/>
      </c>
      <c r="CB919">
        <f>IF(SUMIFS(T_PlannedOrders[EffectiveQty],T_PlannedOrders[Part Name],$A895,T_PlannedOrders[WeekIndex],77)=0,"",SUMIFS(T_PlannedOrders[EffectiveQty],T_PlannedOrders[Part Name],$A895,T_PlannedOrders[WeekIndex],77)&amp;" ("&amp;TEXT(SUMPRODUCT(MAX((T_PlannedOrders[Part Name]=$A895)*(T_PlannedOrders[WeekIndex]=77)*(T_PlannedOrders[EffectiveQty]&gt;0)*T_PlannedOrders[Order_Month])),"m月")&amp;"発注)")</f>
        <v/>
      </c>
      <c r="CC919">
        <f>IF(SUMIFS(T_PlannedOrders[EffectiveQty],T_PlannedOrders[Part Name],$A895,T_PlannedOrders[WeekIndex],78)=0,"",SUMIFS(T_PlannedOrders[EffectiveQty],T_PlannedOrders[Part Name],$A895,T_PlannedOrders[WeekIndex],78)&amp;" ("&amp;TEXT(SUMPRODUCT(MAX((T_PlannedOrders[Part Name]=$A895)*(T_PlannedOrders[WeekIndex]=78)*(T_PlannedOrders[EffectiveQty]&gt;0)*T_PlannedOrders[Order_Month])),"m月")&amp;"発注)")</f>
        <v/>
      </c>
      <c r="CD919">
        <f>IF(SUMIFS(T_PlannedOrders[EffectiveQty],T_PlannedOrders[Part Name],$A895,T_PlannedOrders[WeekIndex],79)=0,"",SUMIFS(T_PlannedOrders[EffectiveQty],T_PlannedOrders[Part Name],$A895,T_PlannedOrders[WeekIndex],79)&amp;" ("&amp;TEXT(SUMPRODUCT(MAX((T_PlannedOrders[Part Name]=$A895)*(T_PlannedOrders[WeekIndex]=79)*(T_PlannedOrders[EffectiveQty]&gt;0)*T_PlannedOrders[Order_Month])),"m月")&amp;"発注)")</f>
        <v/>
      </c>
      <c r="CE919">
        <f>IF(SUMIFS(T_PlannedOrders[EffectiveQty],T_PlannedOrders[Part Name],$A895,T_PlannedOrders[WeekIndex],80)=0,"",SUMIFS(T_PlannedOrders[EffectiveQty],T_PlannedOrders[Part Name],$A895,T_PlannedOrders[WeekIndex],80)&amp;" ("&amp;TEXT(SUMPRODUCT(MAX((T_PlannedOrders[Part Name]=$A895)*(T_PlannedOrders[WeekIndex]=80)*(T_PlannedOrders[EffectiveQty]&gt;0)*T_PlannedOrders[Order_Month])),"m月")&amp;"発注)")</f>
        <v/>
      </c>
      <c r="CF919">
        <f>IF(SUMIFS(T_PlannedOrders[EffectiveQty],T_PlannedOrders[Part Name],$A895,T_PlannedOrders[WeekIndex],81)=0,"",SUMIFS(T_PlannedOrders[EffectiveQty],T_PlannedOrders[Part Name],$A895,T_PlannedOrders[WeekIndex],81)&amp;" ("&amp;TEXT(SUMPRODUCT(MAX((T_PlannedOrders[Part Name]=$A895)*(T_PlannedOrders[WeekIndex]=81)*(T_PlannedOrders[EffectiveQty]&gt;0)*T_PlannedOrders[Order_Month])),"m月")&amp;"発注)")</f>
        <v/>
      </c>
      <c r="CG919">
        <f>IF(SUMIFS(T_PlannedOrders[EffectiveQty],T_PlannedOrders[Part Name],$A895,T_PlannedOrders[WeekIndex],82)=0,"",SUMIFS(T_PlannedOrders[EffectiveQty],T_PlannedOrders[Part Name],$A895,T_PlannedOrders[WeekIndex],82)&amp;" ("&amp;TEXT(SUMPRODUCT(MAX((T_PlannedOrders[Part Name]=$A895)*(T_PlannedOrders[WeekIndex]=82)*(T_PlannedOrders[EffectiveQty]&gt;0)*T_PlannedOrders[Order_Month])),"m月")&amp;"発注)")</f>
        <v/>
      </c>
      <c r="CH919">
        <f>IF(SUMIFS(T_PlannedOrders[EffectiveQty],T_PlannedOrders[Part Name],$A895,T_PlannedOrders[WeekIndex],83)=0,"",SUMIFS(T_PlannedOrders[EffectiveQty],T_PlannedOrders[Part Name],$A895,T_PlannedOrders[WeekIndex],83)&amp;" ("&amp;TEXT(SUMPRODUCT(MAX((T_PlannedOrders[Part Name]=$A895)*(T_PlannedOrders[WeekIndex]=83)*(T_PlannedOrders[EffectiveQty]&gt;0)*T_PlannedOrders[Order_Month])),"m月")&amp;"発注)")</f>
        <v/>
      </c>
      <c r="CI919">
        <f>IF(SUMIFS(T_PlannedOrders[EffectiveQty],T_PlannedOrders[Part Name],$A895,T_PlannedOrders[WeekIndex],84)=0,"",SUMIFS(T_PlannedOrders[EffectiveQty],T_PlannedOrders[Part Name],$A895,T_PlannedOrders[WeekIndex],84)&amp;" ("&amp;TEXT(SUMPRODUCT(MAX((T_PlannedOrders[Part Name]=$A895)*(T_PlannedOrders[WeekIndex]=84)*(T_PlannedOrders[EffectiveQty]&gt;0)*T_PlannedOrders[Order_Month])),"m月")&amp;"発注)")</f>
        <v/>
      </c>
      <c r="CJ919">
        <f>IF(SUMIFS(T_PlannedOrders[EffectiveQty],T_PlannedOrders[Part Name],$A895,T_PlannedOrders[WeekIndex],85)=0,"",SUMIFS(T_PlannedOrders[EffectiveQty],T_PlannedOrders[Part Name],$A895,T_PlannedOrders[WeekIndex],85)&amp;" ("&amp;TEXT(SUMPRODUCT(MAX((T_PlannedOrders[Part Name]=$A895)*(T_PlannedOrders[WeekIndex]=85)*(T_PlannedOrders[EffectiveQty]&gt;0)*T_PlannedOrders[Order_Month])),"m月")&amp;"発注)")</f>
        <v/>
      </c>
      <c r="CK919">
        <f>IF(SUMIFS(T_PlannedOrders[EffectiveQty],T_PlannedOrders[Part Name],$A895,T_PlannedOrders[WeekIndex],86)=0,"",SUMIFS(T_PlannedOrders[EffectiveQty],T_PlannedOrders[Part Name],$A895,T_PlannedOrders[WeekIndex],86)&amp;" ("&amp;TEXT(SUMPRODUCT(MAX((T_PlannedOrders[Part Name]=$A895)*(T_PlannedOrders[WeekIndex]=86)*(T_PlannedOrders[EffectiveQty]&gt;0)*T_PlannedOrders[Order_Month])),"m月")&amp;"発注)")</f>
        <v/>
      </c>
      <c r="CL919">
        <f>IF(SUMIFS(T_PlannedOrders[EffectiveQty],T_PlannedOrders[Part Name],$A895,T_PlannedOrders[WeekIndex],87)=0,"",SUMIFS(T_PlannedOrders[EffectiveQty],T_PlannedOrders[Part Name],$A895,T_PlannedOrders[WeekIndex],87)&amp;" ("&amp;TEXT(SUMPRODUCT(MAX((T_PlannedOrders[Part Name]=$A895)*(T_PlannedOrders[WeekIndex]=87)*(T_PlannedOrders[EffectiveQty]&gt;0)*T_PlannedOrders[Order_Month])),"m月")&amp;"発注)")</f>
        <v/>
      </c>
      <c r="CM919">
        <f>IF(SUMIFS(T_PlannedOrders[EffectiveQty],T_PlannedOrders[Part Name],$A895,T_PlannedOrders[WeekIndex],88)=0,"",SUMIFS(T_PlannedOrders[EffectiveQty],T_PlannedOrders[Part Name],$A895,T_PlannedOrders[WeekIndex],88)&amp;" ("&amp;TEXT(SUMPRODUCT(MAX((T_PlannedOrders[Part Name]=$A895)*(T_PlannedOrders[WeekIndex]=88)*(T_PlannedOrders[EffectiveQty]&gt;0)*T_PlannedOrders[Order_Month])),"m月")&amp;"発注)")</f>
        <v/>
      </c>
      <c r="CN919">
        <f>IF(SUMIFS(T_PlannedOrders[EffectiveQty],T_PlannedOrders[Part Name],$A895,T_PlannedOrders[WeekIndex],89)=0,"",SUMIFS(T_PlannedOrders[EffectiveQty],T_PlannedOrders[Part Name],$A895,T_PlannedOrders[WeekIndex],89)&amp;" ("&amp;TEXT(SUMPRODUCT(MAX((T_PlannedOrders[Part Name]=$A895)*(T_PlannedOrders[WeekIndex]=89)*(T_PlannedOrders[EffectiveQty]&gt;0)*T_PlannedOrders[Order_Month])),"m月")&amp;"発注)")</f>
        <v/>
      </c>
      <c r="CO919">
        <f>IF(SUMIFS(T_PlannedOrders[EffectiveQty],T_PlannedOrders[Part Name],$A895,T_PlannedOrders[WeekIndex],90)=0,"",SUMIFS(T_PlannedOrders[EffectiveQty],T_PlannedOrders[Part Name],$A895,T_PlannedOrders[WeekIndex],90)&amp;" ("&amp;TEXT(SUMPRODUCT(MAX((T_PlannedOrders[Part Name]=$A895)*(T_PlannedOrders[WeekIndex]=90)*(T_PlannedOrders[EffectiveQty]&gt;0)*T_PlannedOrders[Order_Month])),"m月")&amp;"発注)")</f>
        <v/>
      </c>
      <c r="CP919">
        <f>IF(SUMIFS(T_PlannedOrders[EffectiveQty],T_PlannedOrders[Part Name],$A895,T_PlannedOrders[WeekIndex],91)=0,"",SUMIFS(T_PlannedOrders[EffectiveQty],T_PlannedOrders[Part Name],$A895,T_PlannedOrders[WeekIndex],91)&amp;" ("&amp;TEXT(SUMPRODUCT(MAX((T_PlannedOrders[Part Name]=$A895)*(T_PlannedOrders[WeekIndex]=91)*(T_PlannedOrders[EffectiveQty]&gt;0)*T_PlannedOrders[Order_Month])),"m月")&amp;"発注)")</f>
        <v/>
      </c>
      <c r="CQ919">
        <f>IF(SUMIFS(T_PlannedOrders[EffectiveQty],T_PlannedOrders[Part Name],$A895,T_PlannedOrders[WeekIndex],92)=0,"",SUMIFS(T_PlannedOrders[EffectiveQty],T_PlannedOrders[Part Name],$A895,T_PlannedOrders[WeekIndex],92)&amp;" ("&amp;TEXT(SUMPRODUCT(MAX((T_PlannedOrders[Part Name]=$A895)*(T_PlannedOrders[WeekIndex]=92)*(T_PlannedOrders[EffectiveQty]&gt;0)*T_PlannedOrders[Order_Month])),"m月")&amp;"発注)")</f>
        <v/>
      </c>
      <c r="CR919">
        <f>IF(SUMIFS(T_PlannedOrders[EffectiveQty],T_PlannedOrders[Part Name],$A895,T_PlannedOrders[WeekIndex],93)=0,"",SUMIFS(T_PlannedOrders[EffectiveQty],T_PlannedOrders[Part Name],$A895,T_PlannedOrders[WeekIndex],93)&amp;" ("&amp;TEXT(SUMPRODUCT(MAX((T_PlannedOrders[Part Name]=$A895)*(T_PlannedOrders[WeekIndex]=93)*(T_PlannedOrders[EffectiveQty]&gt;0)*T_PlannedOrders[Order_Month])),"m月")&amp;"発注)")</f>
        <v/>
      </c>
      <c r="CS919">
        <f>IF(SUMIFS(T_PlannedOrders[EffectiveQty],T_PlannedOrders[Part Name],$A895,T_PlannedOrders[WeekIndex],94)=0,"",SUMIFS(T_PlannedOrders[EffectiveQty],T_PlannedOrders[Part Name],$A895,T_PlannedOrders[WeekIndex],94)&amp;" ("&amp;TEXT(SUMPRODUCT(MAX((T_PlannedOrders[Part Name]=$A895)*(T_PlannedOrders[WeekIndex]=94)*(T_PlannedOrders[EffectiveQty]&gt;0)*T_PlannedOrders[Order_Month])),"m月")&amp;"発注)")</f>
        <v/>
      </c>
      <c r="CT919">
        <f>IF(SUMIFS(T_PlannedOrders[EffectiveQty],T_PlannedOrders[Part Name],$A895,T_PlannedOrders[WeekIndex],95)=0,"",SUMIFS(T_PlannedOrders[EffectiveQty],T_PlannedOrders[Part Name],$A895,T_PlannedOrders[WeekIndex],95)&amp;" ("&amp;TEXT(SUMPRODUCT(MAX((T_PlannedOrders[Part Name]=$A895)*(T_PlannedOrders[WeekIndex]=95)*(T_PlannedOrders[EffectiveQty]&gt;0)*T_PlannedOrders[Order_Month])),"m月")&amp;"発注)")</f>
        <v/>
      </c>
      <c r="CU919">
        <f>IF(SUMIFS(T_PlannedOrders[EffectiveQty],T_PlannedOrders[Part Name],$A895,T_PlannedOrders[WeekIndex],96)=0,"",SUMIFS(T_PlannedOrders[EffectiveQty],T_PlannedOrders[Part Name],$A895,T_PlannedOrders[WeekIndex],96)&amp;" ("&amp;TEXT(SUMPRODUCT(MAX((T_PlannedOrders[Part Name]=$A895)*(T_PlannedOrders[WeekIndex]=96)*(T_PlannedOrders[EffectiveQty]&gt;0)*T_PlannedOrders[Order_Month])),"m月")&amp;"発注)")</f>
        <v/>
      </c>
      <c r="CV919">
        <f>IF(SUMIFS(T_PlannedOrders[EffectiveQty],T_PlannedOrders[Part Name],$A895,T_PlannedOrders[WeekIndex],97)=0,"",SUMIFS(T_PlannedOrders[EffectiveQty],T_PlannedOrders[Part Name],$A895,T_PlannedOrders[WeekIndex],97)&amp;" ("&amp;TEXT(SUMPRODUCT(MAX((T_PlannedOrders[Part Name]=$A895)*(T_PlannedOrders[WeekIndex]=97)*(T_PlannedOrders[EffectiveQty]&gt;0)*T_PlannedOrders[Order_Month])),"m月")&amp;"発注)")</f>
        <v/>
      </c>
      <c r="CW919">
        <f>IF(SUMIFS(T_PlannedOrders[EffectiveQty],T_PlannedOrders[Part Name],$A895,T_PlannedOrders[WeekIndex],98)=0,"",SUMIFS(T_PlannedOrders[EffectiveQty],T_PlannedOrders[Part Name],$A895,T_PlannedOrders[WeekIndex],98)&amp;" ("&amp;TEXT(SUMPRODUCT(MAX((T_PlannedOrders[Part Name]=$A895)*(T_PlannedOrders[WeekIndex]=98)*(T_PlannedOrders[EffectiveQty]&gt;0)*T_PlannedOrders[Order_Month])),"m月")&amp;"発注)")</f>
        <v/>
      </c>
      <c r="CX919">
        <f>IF(SUMIFS(T_PlannedOrders[EffectiveQty],T_PlannedOrders[Part Name],$A895,T_PlannedOrders[WeekIndex],99)=0,"",SUMIFS(T_PlannedOrders[EffectiveQty],T_PlannedOrders[Part Name],$A895,T_PlannedOrders[WeekIndex],99)&amp;" ("&amp;TEXT(SUMPRODUCT(MAX((T_PlannedOrders[Part Name]=$A895)*(T_PlannedOrders[WeekIndex]=99)*(T_PlannedOrders[EffectiveQty]&gt;0)*T_PlannedOrders[Order_Month])),"m月")&amp;"発注)")</f>
        <v/>
      </c>
      <c r="CY919">
        <f>IF(SUMIFS(T_PlannedOrders[EffectiveQty],T_PlannedOrders[Part Name],$A895,T_PlannedOrders[WeekIndex],100)=0,"",SUMIFS(T_PlannedOrders[EffectiveQty],T_PlannedOrders[Part Name],$A895,T_PlannedOrders[WeekIndex],100)&amp;" ("&amp;TEXT(SUMPRODUCT(MAX((T_PlannedOrders[Part Name]=$A895)*(T_PlannedOrders[WeekIndex]=100)*(T_PlannedOrders[EffectiveQty]&gt;0)*T_PlannedOrders[Order_Month])),"m月")&amp;"発注)")</f>
        <v/>
      </c>
      <c r="CZ919">
        <f>IF(SUMIFS(T_PlannedOrders[EffectiveQty],T_PlannedOrders[Part Name],$A895,T_PlannedOrders[WeekIndex],101)=0,"",SUMIFS(T_PlannedOrders[EffectiveQty],T_PlannedOrders[Part Name],$A895,T_PlannedOrders[WeekIndex],101)&amp;" ("&amp;TEXT(SUMPRODUCT(MAX((T_PlannedOrders[Part Name]=$A895)*(T_PlannedOrders[WeekIndex]=101)*(T_PlannedOrders[EffectiveQty]&gt;0)*T_PlannedOrders[Order_Month])),"m月")&amp;"発注)")</f>
        <v/>
      </c>
      <c r="DA919">
        <f>IF(SUMIFS(T_PlannedOrders[EffectiveQty],T_PlannedOrders[Part Name],$A895,T_PlannedOrders[WeekIndex],102)=0,"",SUMIFS(T_PlannedOrders[EffectiveQty],T_PlannedOrders[Part Name],$A895,T_PlannedOrders[WeekIndex],102)&amp;" ("&amp;TEXT(SUMPRODUCT(MAX((T_PlannedOrders[Part Name]=$A895)*(T_PlannedOrders[WeekIndex]=102)*(T_PlannedOrders[EffectiveQty]&gt;0)*T_PlannedOrders[Order_Month])),"m月")&amp;"発注)")</f>
        <v/>
      </c>
      <c r="DB919">
        <f>IF(SUMIFS(T_PlannedOrders[EffectiveQty],T_PlannedOrders[Part Name],$A895,T_PlannedOrders[WeekIndex],103)=0,"",SUMIFS(T_PlannedOrders[EffectiveQty],T_PlannedOrders[Part Name],$A895,T_PlannedOrders[WeekIndex],103)&amp;" ("&amp;TEXT(SUMPRODUCT(MAX((T_PlannedOrders[Part Name]=$A895)*(T_PlannedOrders[WeekIndex]=103)*(T_PlannedOrders[EffectiveQty]&gt;0)*T_PlannedOrders[Order_Month])),"m月")&amp;"発注)")</f>
        <v/>
      </c>
      <c r="DC919">
        <f>IF(SUMIFS(T_PlannedOrders[EffectiveQty],T_PlannedOrders[Part Name],$A895,T_PlannedOrders[WeekIndex],104)=0,"",SUMIFS(T_PlannedOrders[EffectiveQty],T_PlannedOrders[Part Name],$A895,T_PlannedOrders[WeekIndex],104)&amp;" ("&amp;TEXT(SUMPRODUCT(MAX((T_PlannedOrders[Part Name]=$A895)*(T_PlannedOrders[WeekIndex]=104)*(T_PlannedOrders[EffectiveQty]&gt;0)*T_PlannedOrders[Order_Month])),"m月")&amp;"発注)")</f>
        <v/>
      </c>
    </row>
    <row r="920">
      <c r="B920" s="4" t="inlineStr">
        <is>
          <t>合計在庫(週末時点,kg)</t>
        </is>
      </c>
      <c r="D920">
        <f>'Grid_Stock'!B4</f>
        <v/>
      </c>
      <c r="E920">
        <f>'Grid_Stock'!C4</f>
        <v/>
      </c>
      <c r="F920">
        <f>'Grid_Stock'!D4</f>
        <v/>
      </c>
      <c r="G920">
        <f>'Grid_Stock'!E4</f>
        <v/>
      </c>
      <c r="H920">
        <f>'Grid_Stock'!F4</f>
        <v/>
      </c>
      <c r="I920">
        <f>'Grid_Stock'!G4</f>
        <v/>
      </c>
      <c r="J920">
        <f>'Grid_Stock'!H4</f>
        <v/>
      </c>
      <c r="K920">
        <f>'Grid_Stock'!I4</f>
        <v/>
      </c>
      <c r="L920">
        <f>'Grid_Stock'!J4</f>
        <v/>
      </c>
      <c r="M920">
        <f>'Grid_Stock'!K4</f>
        <v/>
      </c>
      <c r="N920">
        <f>'Grid_Stock'!L4</f>
        <v/>
      </c>
      <c r="O920">
        <f>'Grid_Stock'!M4</f>
        <v/>
      </c>
      <c r="P920">
        <f>'Grid_Stock'!N4</f>
        <v/>
      </c>
      <c r="Q920">
        <f>'Grid_Stock'!O4</f>
        <v/>
      </c>
      <c r="R920">
        <f>'Grid_Stock'!P4</f>
        <v/>
      </c>
      <c r="S920">
        <f>'Grid_Stock'!Q4</f>
        <v/>
      </c>
      <c r="T920">
        <f>'Grid_Stock'!R4</f>
        <v/>
      </c>
      <c r="U920">
        <f>'Grid_Stock'!S4</f>
        <v/>
      </c>
      <c r="V920">
        <f>'Grid_Stock'!T4</f>
        <v/>
      </c>
      <c r="W920">
        <f>'Grid_Stock'!U4</f>
        <v/>
      </c>
      <c r="X920">
        <f>'Grid_Stock'!V4</f>
        <v/>
      </c>
      <c r="Y920">
        <f>'Grid_Stock'!W4</f>
        <v/>
      </c>
      <c r="Z920">
        <f>'Grid_Stock'!X4</f>
        <v/>
      </c>
      <c r="AA920">
        <f>'Grid_Stock'!Y4</f>
        <v/>
      </c>
      <c r="AB920">
        <f>'Grid_Stock'!Z4</f>
        <v/>
      </c>
      <c r="AC920">
        <f>'Grid_Stock'!AA4</f>
        <v/>
      </c>
      <c r="AD920">
        <f>'Grid_Stock'!AB4</f>
        <v/>
      </c>
      <c r="AE920">
        <f>'Grid_Stock'!AC4</f>
        <v/>
      </c>
      <c r="AF920">
        <f>'Grid_Stock'!AD4</f>
        <v/>
      </c>
      <c r="AG920">
        <f>'Grid_Stock'!AE4</f>
        <v/>
      </c>
      <c r="AH920">
        <f>'Grid_Stock'!AF4</f>
        <v/>
      </c>
      <c r="AI920">
        <f>'Grid_Stock'!AG4</f>
        <v/>
      </c>
      <c r="AJ920">
        <f>'Grid_Stock'!AH4</f>
        <v/>
      </c>
      <c r="AK920">
        <f>'Grid_Stock'!AI4</f>
        <v/>
      </c>
      <c r="AL920">
        <f>'Grid_Stock'!AJ4</f>
        <v/>
      </c>
      <c r="AM920">
        <f>'Grid_Stock'!AK4</f>
        <v/>
      </c>
      <c r="AN920">
        <f>'Grid_Stock'!AL4</f>
        <v/>
      </c>
      <c r="AO920">
        <f>'Grid_Stock'!AM4</f>
        <v/>
      </c>
      <c r="AP920">
        <f>'Grid_Stock'!AN4</f>
        <v/>
      </c>
      <c r="AQ920">
        <f>'Grid_Stock'!AO4</f>
        <v/>
      </c>
      <c r="AR920">
        <f>'Grid_Stock'!AP4</f>
        <v/>
      </c>
      <c r="AS920">
        <f>'Grid_Stock'!AQ4</f>
        <v/>
      </c>
      <c r="AT920">
        <f>'Grid_Stock'!AR4</f>
        <v/>
      </c>
      <c r="AU920">
        <f>'Grid_Stock'!AS4</f>
        <v/>
      </c>
      <c r="AV920">
        <f>'Grid_Stock'!AT4</f>
        <v/>
      </c>
      <c r="AW920">
        <f>'Grid_Stock'!AU4</f>
        <v/>
      </c>
      <c r="AX920">
        <f>'Grid_Stock'!AV4</f>
        <v/>
      </c>
      <c r="AY920">
        <f>'Grid_Stock'!AW4</f>
        <v/>
      </c>
      <c r="AZ920">
        <f>'Grid_Stock'!AX4</f>
        <v/>
      </c>
      <c r="BA920">
        <f>'Grid_Stock'!AY4</f>
        <v/>
      </c>
      <c r="BB920">
        <f>'Grid_Stock'!AZ4</f>
        <v/>
      </c>
      <c r="BC920">
        <f>'Grid_Stock'!BA4</f>
        <v/>
      </c>
      <c r="BD920">
        <f>'Grid_Stock'!BB4</f>
        <v/>
      </c>
      <c r="BE920">
        <f>'Grid_Stock'!BC4</f>
        <v/>
      </c>
      <c r="BF920">
        <f>'Grid_Stock'!BD4</f>
        <v/>
      </c>
      <c r="BG920">
        <f>'Grid_Stock'!BE4</f>
        <v/>
      </c>
      <c r="BH920">
        <f>'Grid_Stock'!BF4</f>
        <v/>
      </c>
      <c r="BI920">
        <f>'Grid_Stock'!BG4</f>
        <v/>
      </c>
      <c r="BJ920">
        <f>'Grid_Stock'!BH4</f>
        <v/>
      </c>
      <c r="BK920">
        <f>'Grid_Stock'!BI4</f>
        <v/>
      </c>
      <c r="BL920">
        <f>'Grid_Stock'!BJ4</f>
        <v/>
      </c>
      <c r="BM920">
        <f>'Grid_Stock'!BK4</f>
        <v/>
      </c>
      <c r="BN920">
        <f>'Grid_Stock'!BL4</f>
        <v/>
      </c>
      <c r="BO920">
        <f>'Grid_Stock'!BM4</f>
        <v/>
      </c>
      <c r="BP920">
        <f>'Grid_Stock'!BN4</f>
        <v/>
      </c>
      <c r="BQ920">
        <f>'Grid_Stock'!BO4</f>
        <v/>
      </c>
      <c r="BR920">
        <f>'Grid_Stock'!BP4</f>
        <v/>
      </c>
      <c r="BS920">
        <f>'Grid_Stock'!BQ4</f>
        <v/>
      </c>
      <c r="BT920">
        <f>'Grid_Stock'!BR4</f>
        <v/>
      </c>
      <c r="BU920">
        <f>'Grid_Stock'!BS4</f>
        <v/>
      </c>
      <c r="BV920">
        <f>'Grid_Stock'!BT4</f>
        <v/>
      </c>
      <c r="BW920">
        <f>'Grid_Stock'!BU4</f>
        <v/>
      </c>
      <c r="BX920">
        <f>'Grid_Stock'!BV4</f>
        <v/>
      </c>
      <c r="BY920">
        <f>'Grid_Stock'!BW4</f>
        <v/>
      </c>
      <c r="BZ920">
        <f>'Grid_Stock'!BX4</f>
        <v/>
      </c>
      <c r="CA920">
        <f>'Grid_Stock'!BY4</f>
        <v/>
      </c>
      <c r="CB920">
        <f>'Grid_Stock'!BZ4</f>
        <v/>
      </c>
      <c r="CC920">
        <f>'Grid_Stock'!CA4</f>
        <v/>
      </c>
      <c r="CD920">
        <f>'Grid_Stock'!CB4</f>
        <v/>
      </c>
      <c r="CE920">
        <f>'Grid_Stock'!CC4</f>
        <v/>
      </c>
      <c r="CF920">
        <f>'Grid_Stock'!CD4</f>
        <v/>
      </c>
      <c r="CG920">
        <f>'Grid_Stock'!CE4</f>
        <v/>
      </c>
      <c r="CH920">
        <f>'Grid_Stock'!CF4</f>
        <v/>
      </c>
      <c r="CI920">
        <f>'Grid_Stock'!CG4</f>
        <v/>
      </c>
      <c r="CJ920">
        <f>'Grid_Stock'!CH4</f>
        <v/>
      </c>
      <c r="CK920">
        <f>'Grid_Stock'!CI4</f>
        <v/>
      </c>
      <c r="CL920">
        <f>'Grid_Stock'!CJ4</f>
        <v/>
      </c>
      <c r="CM920">
        <f>'Grid_Stock'!CK4</f>
        <v/>
      </c>
      <c r="CN920">
        <f>'Grid_Stock'!CL4</f>
        <v/>
      </c>
      <c r="CO920">
        <f>'Grid_Stock'!CM4</f>
        <v/>
      </c>
      <c r="CP920">
        <f>'Grid_Stock'!CN4</f>
        <v/>
      </c>
      <c r="CQ920">
        <f>'Grid_Stock'!CO4</f>
        <v/>
      </c>
      <c r="CR920">
        <f>'Grid_Stock'!CP4</f>
        <v/>
      </c>
      <c r="CS920">
        <f>'Grid_Stock'!CQ4</f>
        <v/>
      </c>
      <c r="CT920">
        <f>'Grid_Stock'!CR4</f>
        <v/>
      </c>
      <c r="CU920">
        <f>'Grid_Stock'!CS4</f>
        <v/>
      </c>
      <c r="CV920">
        <f>'Grid_Stock'!CT4</f>
        <v/>
      </c>
      <c r="CW920">
        <f>'Grid_Stock'!CU4</f>
        <v/>
      </c>
      <c r="CX920">
        <f>'Grid_Stock'!CV4</f>
        <v/>
      </c>
      <c r="CY920">
        <f>'Grid_Stock'!CW4</f>
        <v/>
      </c>
      <c r="CZ920">
        <f>'Grid_Stock'!CX4</f>
        <v/>
      </c>
      <c r="DA920">
        <f>'Grid_Stock'!CY4</f>
        <v/>
      </c>
      <c r="DB920">
        <f>'Grid_Stock'!CZ4</f>
        <v/>
      </c>
      <c r="DC920">
        <f>'Grid_Stock'!DA4</f>
        <v/>
      </c>
    </row>
    <row r="921">
      <c r="B921" s="16" t="inlineStr">
        <is>
          <t>（発注の目安はDashboardの基準在庫[下限/上限]と色分けを参照）</t>
        </is>
      </c>
    </row>
    <row r="923">
      <c r="A923" s="14" t="inlineStr">
        <is>
          <t>CHEM-1720</t>
        </is>
      </c>
      <c r="B923" s="14" t="inlineStr">
        <is>
          <t>CeZr oxide(TPZ-868)</t>
        </is>
      </c>
      <c r="C923" s="15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  <c r="AA923" s="14" t="n"/>
      <c r="AB923" s="14" t="n"/>
      <c r="AC923" s="14" t="n"/>
      <c r="AD923" s="14" t="n"/>
      <c r="AE923" s="14" t="n"/>
      <c r="AF923" s="14" t="n"/>
      <c r="AG923" s="14" t="n"/>
      <c r="AH923" s="14" t="n"/>
      <c r="AI923" s="14" t="n"/>
      <c r="AJ923" s="14" t="n"/>
      <c r="AK923" s="14" t="n"/>
      <c r="AL923" s="14" t="n"/>
      <c r="AM923" s="14" t="n"/>
      <c r="AN923" s="14" t="n"/>
      <c r="AO923" s="14" t="n"/>
      <c r="AP923" s="14" t="n"/>
      <c r="AQ923" s="14" t="n"/>
      <c r="AR923" s="14" t="n"/>
      <c r="AS923" s="14" t="n"/>
      <c r="AT923" s="14" t="n"/>
      <c r="AU923" s="14" t="n"/>
      <c r="AV923" s="14" t="n"/>
      <c r="AW923" s="14" t="n"/>
      <c r="AX923" s="14" t="n"/>
      <c r="AY923" s="14" t="n"/>
      <c r="AZ923" s="14" t="n"/>
      <c r="BA923" s="14" t="n"/>
      <c r="BB923" s="14" t="n"/>
      <c r="BC923" s="14" t="n"/>
      <c r="BD923" s="14" t="n"/>
      <c r="BE923" s="14" t="n"/>
      <c r="BF923" s="14" t="n"/>
      <c r="BG923" s="14" t="n"/>
      <c r="BH923" s="14" t="n"/>
      <c r="BI923" s="14" t="n"/>
      <c r="BJ923" s="14" t="n"/>
      <c r="BK923" s="14" t="n"/>
      <c r="BL923" s="14" t="n"/>
      <c r="BM923" s="14" t="n"/>
      <c r="BN923" s="14" t="n"/>
      <c r="BO923" s="14" t="n"/>
      <c r="BP923" s="14" t="n"/>
      <c r="BQ923" s="14" t="n"/>
      <c r="BR923" s="14" t="n"/>
      <c r="BS923" s="14" t="n"/>
      <c r="BT923" s="14" t="n"/>
      <c r="BU923" s="14" t="n"/>
      <c r="BV923" s="14" t="n"/>
      <c r="BW923" s="14" t="n"/>
      <c r="BX923" s="14" t="n"/>
      <c r="BY923" s="14" t="n"/>
      <c r="BZ923" s="14" t="n"/>
      <c r="CA923" s="14" t="n"/>
      <c r="CB923" s="14" t="n"/>
      <c r="CC923" s="14" t="n"/>
      <c r="CD923" s="14" t="n"/>
      <c r="CE923" s="14" t="n"/>
      <c r="CF923" s="14" t="n"/>
      <c r="CG923" s="14" t="n"/>
      <c r="CH923" s="14" t="n"/>
      <c r="CI923" s="14" t="n"/>
      <c r="CJ923" s="14" t="n"/>
      <c r="CK923" s="14" t="n"/>
      <c r="CL923" s="14" t="n"/>
      <c r="CM923" s="14" t="n"/>
      <c r="CN923" s="14" t="n"/>
      <c r="CO923" s="14" t="n"/>
      <c r="CP923" s="14" t="n"/>
      <c r="CQ923" s="14" t="n"/>
      <c r="CR923" s="14" t="n"/>
      <c r="CS923" s="14" t="n"/>
      <c r="CT923" s="14" t="n"/>
      <c r="CU923" s="14" t="n"/>
      <c r="CV923" s="14" t="n"/>
      <c r="CW923" s="14" t="n"/>
      <c r="CX923" s="14" t="n"/>
      <c r="CY923" s="14" t="n"/>
      <c r="CZ923" s="14" t="n"/>
      <c r="DA923" s="14" t="n"/>
      <c r="DB923" s="14" t="n"/>
      <c r="DC923" s="14" t="n"/>
    </row>
    <row r="924">
      <c r="B924" t="inlineStr">
        <is>
          <t>TSP-927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Name],$A923)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TSP-928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Name],$A923)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TSP-929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Name],$A923)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TSP-930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Name],$A923)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TSP-934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Name],$A923)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TSP-935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7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Name],$A923)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TSP-936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7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Name],$A923)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TSP-937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7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Name],$A923)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TSP-1444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7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Name],$A923)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TSP-1448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7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Name],$A923)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TSP-1445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7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Name],$A923)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TSP-1446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7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Name],$A923)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TSP-1449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7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Name],$A923)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t="inlineStr">
        <is>
          <t>TSP-1499</t>
        </is>
      </c>
      <c r="C950" t="inlineStr">
        <is>
          <t>No. of batches</t>
        </is>
      </c>
      <c r="D950">
        <f>IFERROR(INDEX(PP_Grid[#Data],$DD950,2),0)</f>
        <v/>
      </c>
      <c r="E950">
        <f>IFERROR(INDEX(PP_Grid[#Data],$DD950,3),0)</f>
        <v/>
      </c>
      <c r="F950">
        <f>IFERROR(INDEX(PP_Grid[#Data],$DD950,4),0)</f>
        <v/>
      </c>
      <c r="G950">
        <f>IFERROR(INDEX(PP_Grid[#Data],$DD950,5),0)</f>
        <v/>
      </c>
      <c r="H950">
        <f>IFERROR(INDEX(PP_Grid[#Data],$DD950,6),0)</f>
        <v/>
      </c>
      <c r="I950">
        <f>IFERROR(INDEX(PP_Grid[#Data],$DD950,7),0)</f>
        <v/>
      </c>
      <c r="J950">
        <f>IFERROR(INDEX(PP_Grid[#Data],$DD950,8),0)</f>
        <v/>
      </c>
      <c r="K950">
        <f>IFERROR(INDEX(PP_Grid[#Data],$DD950,9),0)</f>
        <v/>
      </c>
      <c r="L950">
        <f>IFERROR(INDEX(PP_Grid[#Data],$DD950,10),0)</f>
        <v/>
      </c>
      <c r="M950">
        <f>IFERROR(INDEX(PP_Grid[#Data],$DD950,11),0)</f>
        <v/>
      </c>
      <c r="N950">
        <f>IFERROR(INDEX(PP_Grid[#Data],$DD950,12),0)</f>
        <v/>
      </c>
      <c r="O950">
        <f>IFERROR(INDEX(PP_Grid[#Data],$DD950,13),0)</f>
        <v/>
      </c>
      <c r="P950">
        <f>IFERROR(INDEX(PP_Grid[#Data],$DD950,14),0)</f>
        <v/>
      </c>
      <c r="Q950">
        <f>IFERROR(INDEX(PP_Grid[#Data],$DD950,15),0)</f>
        <v/>
      </c>
      <c r="R950">
        <f>IFERROR(INDEX(PP_Grid[#Data],$DD950,16),0)</f>
        <v/>
      </c>
      <c r="S950">
        <f>IFERROR(INDEX(PP_Grid[#Data],$DD950,17),0)</f>
        <v/>
      </c>
      <c r="T950">
        <f>IFERROR(INDEX(PP_Grid[#Data],$DD950,18),0)</f>
        <v/>
      </c>
      <c r="U950">
        <f>IFERROR(INDEX(PP_Grid[#Data],$DD950,19),0)</f>
        <v/>
      </c>
      <c r="V950">
        <f>IFERROR(INDEX(PP_Grid[#Data],$DD950,20),0)</f>
        <v/>
      </c>
      <c r="W950">
        <f>IFERROR(INDEX(PP_Grid[#Data],$DD950,21),0)</f>
        <v/>
      </c>
      <c r="X950">
        <f>IFERROR(INDEX(PP_Grid[#Data],$DD950,22),0)</f>
        <v/>
      </c>
      <c r="Y950">
        <f>IFERROR(INDEX(PP_Grid[#Data],$DD950,23),0)</f>
        <v/>
      </c>
      <c r="Z950">
        <f>IFERROR(INDEX(PP_Grid[#Data],$DD950,24),0)</f>
        <v/>
      </c>
      <c r="AA950">
        <f>IFERROR(INDEX(PP_Grid[#Data],$DD950,25),0)</f>
        <v/>
      </c>
      <c r="AB950">
        <f>IFERROR(INDEX(PP_Grid[#Data],$DD950,26),0)</f>
        <v/>
      </c>
      <c r="AC950">
        <f>IFERROR(INDEX(PP_Grid[#Data],$DD950,27),0)</f>
        <v/>
      </c>
      <c r="AD950">
        <f>IFERROR(INDEX(PP_Grid[#Data],$DD950,28),0)</f>
        <v/>
      </c>
      <c r="AE950">
        <f>IFERROR(INDEX(PP_Grid[#Data],$DD950,29),0)</f>
        <v/>
      </c>
      <c r="AF950">
        <f>IFERROR(INDEX(PP_Grid[#Data],$DD950,30),0)</f>
        <v/>
      </c>
      <c r="AG950">
        <f>IFERROR(INDEX(PP_Grid[#Data],$DD950,31),0)</f>
        <v/>
      </c>
      <c r="AH950">
        <f>IFERROR(INDEX(PP_Grid[#Data],$DD950,32),0)</f>
        <v/>
      </c>
      <c r="AI950">
        <f>IFERROR(INDEX(PP_Grid[#Data],$DD950,33),0)</f>
        <v/>
      </c>
      <c r="AJ950">
        <f>IFERROR(INDEX(PP_Grid[#Data],$DD950,34),0)</f>
        <v/>
      </c>
      <c r="AK950">
        <f>IFERROR(INDEX(PP_Grid[#Data],$DD950,35),0)</f>
        <v/>
      </c>
      <c r="AL950">
        <f>IFERROR(INDEX(PP_Grid[#Data],$DD950,36),0)</f>
        <v/>
      </c>
      <c r="AM950">
        <f>IFERROR(INDEX(PP_Grid[#Data],$DD950,37),0)</f>
        <v/>
      </c>
      <c r="AN950">
        <f>IFERROR(INDEX(PP_Grid[#Data],$DD950,38),0)</f>
        <v/>
      </c>
      <c r="AO950">
        <f>IFERROR(INDEX(PP_Grid[#Data],$DD950,39),0)</f>
        <v/>
      </c>
      <c r="AP950">
        <f>IFERROR(INDEX(PP_Grid[#Data],$DD950,40),0)</f>
        <v/>
      </c>
      <c r="AQ950">
        <f>IFERROR(INDEX(PP_Grid[#Data],$DD950,41),0)</f>
        <v/>
      </c>
      <c r="AR950">
        <f>IFERROR(INDEX(PP_Grid[#Data],$DD950,42),0)</f>
        <v/>
      </c>
      <c r="AS950">
        <f>IFERROR(INDEX(PP_Grid[#Data],$DD950,43),0)</f>
        <v/>
      </c>
      <c r="AT950">
        <f>IFERROR(INDEX(PP_Grid[#Data],$DD950,44),0)</f>
        <v/>
      </c>
      <c r="AU950">
        <f>IFERROR(INDEX(PP_Grid[#Data],$DD950,45),0)</f>
        <v/>
      </c>
      <c r="AV950">
        <f>IFERROR(INDEX(PP_Grid[#Data],$DD950,46),0)</f>
        <v/>
      </c>
      <c r="AW950">
        <f>IFERROR(INDEX(PP_Grid[#Data],$DD950,47),0)</f>
        <v/>
      </c>
      <c r="AX950">
        <f>IFERROR(INDEX(PP_Grid[#Data],$DD950,48),0)</f>
        <v/>
      </c>
      <c r="AY950">
        <f>IFERROR(INDEX(PP_Grid[#Data],$DD950,49),0)</f>
        <v/>
      </c>
      <c r="AZ950">
        <f>IFERROR(INDEX(PP_Grid[#Data],$DD950,50),0)</f>
        <v/>
      </c>
      <c r="BA950">
        <f>IFERROR(INDEX(PP_Grid[#Data],$DD950,51),0)</f>
        <v/>
      </c>
      <c r="BB950">
        <f>IFERROR(INDEX(PP_Grid[#Data],$DD950,52),0)</f>
        <v/>
      </c>
      <c r="BC950">
        <f>IFERROR(INDEX(PP_Grid[#Data],$DD950,53),0)</f>
        <v/>
      </c>
      <c r="BD950">
        <f>IFERROR(INDEX(PP_Grid[#Data],$DD950,54),0)</f>
        <v/>
      </c>
      <c r="BE950">
        <f>IFERROR(INDEX(PP_Grid[#Data],$DD950,55),0)</f>
        <v/>
      </c>
      <c r="BF950">
        <f>IFERROR(INDEX(PP_Grid[#Data],$DD950,56),0)</f>
        <v/>
      </c>
      <c r="BG950">
        <f>IFERROR(INDEX(PP_Grid[#Data],$DD950,57),0)</f>
        <v/>
      </c>
      <c r="BH950">
        <f>IFERROR(INDEX(PP_Grid[#Data],$DD950,58),0)</f>
        <v/>
      </c>
      <c r="BI950">
        <f>IFERROR(INDEX(PP_Grid[#Data],$DD950,59),0)</f>
        <v/>
      </c>
      <c r="BJ950">
        <f>IFERROR(INDEX(PP_Grid[#Data],$DD950,60),0)</f>
        <v/>
      </c>
      <c r="BK950">
        <f>IFERROR(INDEX(PP_Grid[#Data],$DD950,61),0)</f>
        <v/>
      </c>
      <c r="BL950">
        <f>IFERROR(INDEX(PP_Grid[#Data],$DD950,62),0)</f>
        <v/>
      </c>
      <c r="BM950">
        <f>IFERROR(INDEX(PP_Grid[#Data],$DD950,63),0)</f>
        <v/>
      </c>
      <c r="BN950">
        <f>IFERROR(INDEX(PP_Grid[#Data],$DD950,64),0)</f>
        <v/>
      </c>
      <c r="BO950">
        <f>IFERROR(INDEX(PP_Grid[#Data],$DD950,65),0)</f>
        <v/>
      </c>
      <c r="BP950">
        <f>IFERROR(INDEX(PP_Grid[#Data],$DD950,66),0)</f>
        <v/>
      </c>
      <c r="BQ950">
        <f>IFERROR(INDEX(PP_Grid[#Data],$DD950,67),0)</f>
        <v/>
      </c>
      <c r="BR950">
        <f>IFERROR(INDEX(PP_Grid[#Data],$DD950,68),0)</f>
        <v/>
      </c>
      <c r="BS950">
        <f>IFERROR(INDEX(PP_Grid[#Data],$DD950,69),0)</f>
        <v/>
      </c>
      <c r="BT950">
        <f>IFERROR(INDEX(PP_Grid[#Data],$DD950,70),0)</f>
        <v/>
      </c>
      <c r="BU950">
        <f>IFERROR(INDEX(PP_Grid[#Data],$DD950,71),0)</f>
        <v/>
      </c>
      <c r="BV950">
        <f>IFERROR(INDEX(PP_Grid[#Data],$DD950,72),0)</f>
        <v/>
      </c>
      <c r="BW950">
        <f>IFERROR(INDEX(PP_Grid[#Data],$DD950,73),0)</f>
        <v/>
      </c>
      <c r="BX950">
        <f>IFERROR(INDEX(PP_Grid[#Data],$DD950,74),0)</f>
        <v/>
      </c>
      <c r="BY950">
        <f>IFERROR(INDEX(PP_Grid[#Data],$DD950,75),0)</f>
        <v/>
      </c>
      <c r="BZ950">
        <f>IFERROR(INDEX(PP_Grid[#Data],$DD950,76),0)</f>
        <v/>
      </c>
      <c r="CA950">
        <f>IFERROR(INDEX(PP_Grid[#Data],$DD950,77),0)</f>
        <v/>
      </c>
      <c r="CB950">
        <f>IFERROR(INDEX(PP_Grid[#Data],$DD950,78),0)</f>
        <v/>
      </c>
      <c r="CC950">
        <f>IFERROR(INDEX(PP_Grid[#Data],$DD950,79),0)</f>
        <v/>
      </c>
      <c r="CD950">
        <f>IFERROR(INDEX(PP_Grid[#Data],$DD950,80),0)</f>
        <v/>
      </c>
      <c r="CE950">
        <f>IFERROR(INDEX(PP_Grid[#Data],$DD950,81),0)</f>
        <v/>
      </c>
      <c r="CF950">
        <f>IFERROR(INDEX(PP_Grid[#Data],$DD950,82),0)</f>
        <v/>
      </c>
      <c r="CG950">
        <f>IFERROR(INDEX(PP_Grid[#Data],$DD950,83),0)</f>
        <v/>
      </c>
      <c r="CH950">
        <f>IFERROR(INDEX(PP_Grid[#Data],$DD950,84),0)</f>
        <v/>
      </c>
      <c r="CI950">
        <f>IFERROR(INDEX(PP_Grid[#Data],$DD950,85),0)</f>
        <v/>
      </c>
      <c r="CJ950">
        <f>IFERROR(INDEX(PP_Grid[#Data],$DD950,86),0)</f>
        <v/>
      </c>
      <c r="CK950">
        <f>IFERROR(INDEX(PP_Grid[#Data],$DD950,87),0)</f>
        <v/>
      </c>
      <c r="CL950">
        <f>IFERROR(INDEX(PP_Grid[#Data],$DD950,88),0)</f>
        <v/>
      </c>
      <c r="CM950">
        <f>IFERROR(INDEX(PP_Grid[#Data],$DD950,89),0)</f>
        <v/>
      </c>
      <c r="CN950">
        <f>IFERROR(INDEX(PP_Grid[#Data],$DD950,90),0)</f>
        <v/>
      </c>
      <c r="CO950">
        <f>IFERROR(INDEX(PP_Grid[#Data],$DD950,91),0)</f>
        <v/>
      </c>
      <c r="CP950">
        <f>IFERROR(INDEX(PP_Grid[#Data],$DD950,92),0)</f>
        <v/>
      </c>
      <c r="CQ950">
        <f>IFERROR(INDEX(PP_Grid[#Data],$DD950,93),0)</f>
        <v/>
      </c>
      <c r="CR950">
        <f>IFERROR(INDEX(PP_Grid[#Data],$DD950,94),0)</f>
        <v/>
      </c>
      <c r="CS950">
        <f>IFERROR(INDEX(PP_Grid[#Data],$DD950,95),0)</f>
        <v/>
      </c>
      <c r="CT950">
        <f>IFERROR(INDEX(PP_Grid[#Data],$DD950,96),0)</f>
        <v/>
      </c>
      <c r="CU950">
        <f>IFERROR(INDEX(PP_Grid[#Data],$DD950,97),0)</f>
        <v/>
      </c>
      <c r="CV950">
        <f>IFERROR(INDEX(PP_Grid[#Data],$DD950,98),0)</f>
        <v/>
      </c>
      <c r="CW950">
        <f>IFERROR(INDEX(PP_Grid[#Data],$DD950,99),0)</f>
        <v/>
      </c>
      <c r="CX950">
        <f>IFERROR(INDEX(PP_Grid[#Data],$DD950,100),0)</f>
        <v/>
      </c>
      <c r="CY950">
        <f>IFERROR(INDEX(PP_Grid[#Data],$DD950,101),0)</f>
        <v/>
      </c>
      <c r="CZ950">
        <f>IFERROR(INDEX(PP_Grid[#Data],$DD950,102),0)</f>
        <v/>
      </c>
      <c r="DA950">
        <f>IFERROR(INDEX(PP_Grid[#Data],$DD950,103),0)</f>
        <v/>
      </c>
      <c r="DB950">
        <f>IFERROR(INDEX(PP_Grid[#Data],$DD950,104),0)</f>
        <v/>
      </c>
      <c r="DC950">
        <f>IFERROR(INDEX(PP_Grid[#Data],$DD950,105),0)</f>
        <v/>
      </c>
      <c r="DD950" s="7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SUMIFS(M_BOM[RM_Qty_Per_Batch],M_BOM[Intermediate],$B950,M_BOM[Part Name],$A923)</f>
        <v/>
      </c>
      <c r="D951">
        <f>$C951*D950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</row>
    <row r="952">
      <c r="B952" s="4" t="inlineStr">
        <is>
          <t>合計使用量(kg)/週</t>
        </is>
      </c>
      <c r="D952">
        <f>'Grid_Requirement'!B9</f>
        <v/>
      </c>
      <c r="E952">
        <f>'Grid_Requirement'!C9</f>
        <v/>
      </c>
      <c r="F952">
        <f>'Grid_Requirement'!D9</f>
        <v/>
      </c>
      <c r="G952">
        <f>'Grid_Requirement'!E9</f>
        <v/>
      </c>
      <c r="H952">
        <f>'Grid_Requirement'!F9</f>
        <v/>
      </c>
      <c r="I952">
        <f>'Grid_Requirement'!G9</f>
        <v/>
      </c>
      <c r="J952">
        <f>'Grid_Requirement'!H9</f>
        <v/>
      </c>
      <c r="K952">
        <f>'Grid_Requirement'!I9</f>
        <v/>
      </c>
      <c r="L952">
        <f>'Grid_Requirement'!J9</f>
        <v/>
      </c>
      <c r="M952">
        <f>'Grid_Requirement'!K9</f>
        <v/>
      </c>
      <c r="N952">
        <f>'Grid_Requirement'!L9</f>
        <v/>
      </c>
      <c r="O952">
        <f>'Grid_Requirement'!M9</f>
        <v/>
      </c>
      <c r="P952">
        <f>'Grid_Requirement'!N9</f>
        <v/>
      </c>
      <c r="Q952">
        <f>'Grid_Requirement'!O9</f>
        <v/>
      </c>
      <c r="R952">
        <f>'Grid_Requirement'!P9</f>
        <v/>
      </c>
      <c r="S952">
        <f>'Grid_Requirement'!Q9</f>
        <v/>
      </c>
      <c r="T952">
        <f>'Grid_Requirement'!R9</f>
        <v/>
      </c>
      <c r="U952">
        <f>'Grid_Requirement'!S9</f>
        <v/>
      </c>
      <c r="V952">
        <f>'Grid_Requirement'!T9</f>
        <v/>
      </c>
      <c r="W952">
        <f>'Grid_Requirement'!U9</f>
        <v/>
      </c>
      <c r="X952">
        <f>'Grid_Requirement'!V9</f>
        <v/>
      </c>
      <c r="Y952">
        <f>'Grid_Requirement'!W9</f>
        <v/>
      </c>
      <c r="Z952">
        <f>'Grid_Requirement'!X9</f>
        <v/>
      </c>
      <c r="AA952">
        <f>'Grid_Requirement'!Y9</f>
        <v/>
      </c>
      <c r="AB952">
        <f>'Grid_Requirement'!Z9</f>
        <v/>
      </c>
      <c r="AC952">
        <f>'Grid_Requirement'!AA9</f>
        <v/>
      </c>
      <c r="AD952">
        <f>'Grid_Requirement'!AB9</f>
        <v/>
      </c>
      <c r="AE952">
        <f>'Grid_Requirement'!AC9</f>
        <v/>
      </c>
      <c r="AF952">
        <f>'Grid_Requirement'!AD9</f>
        <v/>
      </c>
      <c r="AG952">
        <f>'Grid_Requirement'!AE9</f>
        <v/>
      </c>
      <c r="AH952">
        <f>'Grid_Requirement'!AF9</f>
        <v/>
      </c>
      <c r="AI952">
        <f>'Grid_Requirement'!AG9</f>
        <v/>
      </c>
      <c r="AJ952">
        <f>'Grid_Requirement'!AH9</f>
        <v/>
      </c>
      <c r="AK952">
        <f>'Grid_Requirement'!AI9</f>
        <v/>
      </c>
      <c r="AL952">
        <f>'Grid_Requirement'!AJ9</f>
        <v/>
      </c>
      <c r="AM952">
        <f>'Grid_Requirement'!AK9</f>
        <v/>
      </c>
      <c r="AN952">
        <f>'Grid_Requirement'!AL9</f>
        <v/>
      </c>
      <c r="AO952">
        <f>'Grid_Requirement'!AM9</f>
        <v/>
      </c>
      <c r="AP952">
        <f>'Grid_Requirement'!AN9</f>
        <v/>
      </c>
      <c r="AQ952">
        <f>'Grid_Requirement'!AO9</f>
        <v/>
      </c>
      <c r="AR952">
        <f>'Grid_Requirement'!AP9</f>
        <v/>
      </c>
      <c r="AS952">
        <f>'Grid_Requirement'!AQ9</f>
        <v/>
      </c>
      <c r="AT952">
        <f>'Grid_Requirement'!AR9</f>
        <v/>
      </c>
      <c r="AU952">
        <f>'Grid_Requirement'!AS9</f>
        <v/>
      </c>
      <c r="AV952">
        <f>'Grid_Requirement'!AT9</f>
        <v/>
      </c>
      <c r="AW952">
        <f>'Grid_Requirement'!AU9</f>
        <v/>
      </c>
      <c r="AX952">
        <f>'Grid_Requirement'!AV9</f>
        <v/>
      </c>
      <c r="AY952">
        <f>'Grid_Requirement'!AW9</f>
        <v/>
      </c>
      <c r="AZ952">
        <f>'Grid_Requirement'!AX9</f>
        <v/>
      </c>
      <c r="BA952">
        <f>'Grid_Requirement'!AY9</f>
        <v/>
      </c>
      <c r="BB952">
        <f>'Grid_Requirement'!AZ9</f>
        <v/>
      </c>
      <c r="BC952">
        <f>'Grid_Requirement'!BA9</f>
        <v/>
      </c>
      <c r="BD952">
        <f>'Grid_Requirement'!BB9</f>
        <v/>
      </c>
      <c r="BE952">
        <f>'Grid_Requirement'!BC9</f>
        <v/>
      </c>
      <c r="BF952">
        <f>'Grid_Requirement'!BD9</f>
        <v/>
      </c>
      <c r="BG952">
        <f>'Grid_Requirement'!BE9</f>
        <v/>
      </c>
      <c r="BH952">
        <f>'Grid_Requirement'!BF9</f>
        <v/>
      </c>
      <c r="BI952">
        <f>'Grid_Requirement'!BG9</f>
        <v/>
      </c>
      <c r="BJ952">
        <f>'Grid_Requirement'!BH9</f>
        <v/>
      </c>
      <c r="BK952">
        <f>'Grid_Requirement'!BI9</f>
        <v/>
      </c>
      <c r="BL952">
        <f>'Grid_Requirement'!BJ9</f>
        <v/>
      </c>
      <c r="BM952">
        <f>'Grid_Requirement'!BK9</f>
        <v/>
      </c>
      <c r="BN952">
        <f>'Grid_Requirement'!BL9</f>
        <v/>
      </c>
      <c r="BO952">
        <f>'Grid_Requirement'!BM9</f>
        <v/>
      </c>
      <c r="BP952">
        <f>'Grid_Requirement'!BN9</f>
        <v/>
      </c>
      <c r="BQ952">
        <f>'Grid_Requirement'!BO9</f>
        <v/>
      </c>
      <c r="BR952">
        <f>'Grid_Requirement'!BP9</f>
        <v/>
      </c>
      <c r="BS952">
        <f>'Grid_Requirement'!BQ9</f>
        <v/>
      </c>
      <c r="BT952">
        <f>'Grid_Requirement'!BR9</f>
        <v/>
      </c>
      <c r="BU952">
        <f>'Grid_Requirement'!BS9</f>
        <v/>
      </c>
      <c r="BV952">
        <f>'Grid_Requirement'!BT9</f>
        <v/>
      </c>
      <c r="BW952">
        <f>'Grid_Requirement'!BU9</f>
        <v/>
      </c>
      <c r="BX952">
        <f>'Grid_Requirement'!BV9</f>
        <v/>
      </c>
      <c r="BY952">
        <f>'Grid_Requirement'!BW9</f>
        <v/>
      </c>
      <c r="BZ952">
        <f>'Grid_Requirement'!BX9</f>
        <v/>
      </c>
      <c r="CA952">
        <f>'Grid_Requirement'!BY9</f>
        <v/>
      </c>
      <c r="CB952">
        <f>'Grid_Requirement'!BZ9</f>
        <v/>
      </c>
      <c r="CC952">
        <f>'Grid_Requirement'!CA9</f>
        <v/>
      </c>
      <c r="CD952">
        <f>'Grid_Requirement'!CB9</f>
        <v/>
      </c>
      <c r="CE952">
        <f>'Grid_Requirement'!CC9</f>
        <v/>
      </c>
      <c r="CF952">
        <f>'Grid_Requirement'!CD9</f>
        <v/>
      </c>
      <c r="CG952">
        <f>'Grid_Requirement'!CE9</f>
        <v/>
      </c>
      <c r="CH952">
        <f>'Grid_Requirement'!CF9</f>
        <v/>
      </c>
      <c r="CI952">
        <f>'Grid_Requirement'!CG9</f>
        <v/>
      </c>
      <c r="CJ952">
        <f>'Grid_Requirement'!CH9</f>
        <v/>
      </c>
      <c r="CK952">
        <f>'Grid_Requirement'!CI9</f>
        <v/>
      </c>
      <c r="CL952">
        <f>'Grid_Requirement'!CJ9</f>
        <v/>
      </c>
      <c r="CM952">
        <f>'Grid_Requirement'!CK9</f>
        <v/>
      </c>
      <c r="CN952">
        <f>'Grid_Requirement'!CL9</f>
        <v/>
      </c>
      <c r="CO952">
        <f>'Grid_Requirement'!CM9</f>
        <v/>
      </c>
      <c r="CP952">
        <f>'Grid_Requirement'!CN9</f>
        <v/>
      </c>
      <c r="CQ952">
        <f>'Grid_Requirement'!CO9</f>
        <v/>
      </c>
      <c r="CR952">
        <f>'Grid_Requirement'!CP9</f>
        <v/>
      </c>
      <c r="CS952">
        <f>'Grid_Requirement'!CQ9</f>
        <v/>
      </c>
      <c r="CT952">
        <f>'Grid_Requirement'!CR9</f>
        <v/>
      </c>
      <c r="CU952">
        <f>'Grid_Requirement'!CS9</f>
        <v/>
      </c>
      <c r="CV952">
        <f>'Grid_Requirement'!CT9</f>
        <v/>
      </c>
      <c r="CW952">
        <f>'Grid_Requirement'!CU9</f>
        <v/>
      </c>
      <c r="CX952">
        <f>'Grid_Requirement'!CV9</f>
        <v/>
      </c>
      <c r="CY952">
        <f>'Grid_Requirement'!CW9</f>
        <v/>
      </c>
      <c r="CZ952">
        <f>'Grid_Requirement'!CX9</f>
        <v/>
      </c>
      <c r="DA952">
        <f>'Grid_Requirement'!CY9</f>
        <v/>
      </c>
      <c r="DB952">
        <f>'Grid_Requirement'!CZ9</f>
        <v/>
      </c>
      <c r="DC952">
        <f>'Grid_Requirement'!DA9</f>
        <v/>
      </c>
    </row>
    <row r="953">
      <c r="B953" t="inlineStr">
        <is>
          <t>TTAF在庫(実績,kg)</t>
        </is>
      </c>
      <c r="D953">
        <f>'T_TTAFStock'!B13</f>
        <v/>
      </c>
      <c r="E953">
        <f>'T_TTAFStock'!C13</f>
        <v/>
      </c>
      <c r="F953">
        <f>'T_TTAFStock'!D13</f>
        <v/>
      </c>
      <c r="G953">
        <f>'T_TTAFStock'!E13</f>
        <v/>
      </c>
      <c r="H953">
        <f>'T_TTAFStock'!F13</f>
        <v/>
      </c>
      <c r="I953">
        <f>'T_TTAFStock'!G13</f>
        <v/>
      </c>
      <c r="J953">
        <f>'T_TTAFStock'!H13</f>
        <v/>
      </c>
      <c r="K953">
        <f>'T_TTAFStock'!I13</f>
        <v/>
      </c>
      <c r="L953">
        <f>'T_TTAFStock'!J13</f>
        <v/>
      </c>
      <c r="M953">
        <f>'T_TTAFStock'!K13</f>
        <v/>
      </c>
      <c r="N953">
        <f>'T_TTAFStock'!L13</f>
        <v/>
      </c>
      <c r="O953">
        <f>'T_TTAFStock'!M13</f>
        <v/>
      </c>
      <c r="P953">
        <f>'T_TTAFStock'!N13</f>
        <v/>
      </c>
      <c r="Q953">
        <f>'T_TTAFStock'!O13</f>
        <v/>
      </c>
      <c r="R953">
        <f>'T_TTAFStock'!P13</f>
        <v/>
      </c>
      <c r="S953">
        <f>'T_TTAFStock'!Q13</f>
        <v/>
      </c>
      <c r="T953">
        <f>'T_TTAFStock'!R13</f>
        <v/>
      </c>
      <c r="U953">
        <f>'T_TTAFStock'!S13</f>
        <v/>
      </c>
      <c r="V953">
        <f>'T_TTAFStock'!T13</f>
        <v/>
      </c>
      <c r="W953">
        <f>'T_TTAFStock'!U13</f>
        <v/>
      </c>
      <c r="X953">
        <f>'T_TTAFStock'!V13</f>
        <v/>
      </c>
      <c r="Y953">
        <f>'T_TTAFStock'!W13</f>
        <v/>
      </c>
      <c r="Z953">
        <f>'T_TTAFStock'!X13</f>
        <v/>
      </c>
      <c r="AA953">
        <f>'T_TTAFStock'!Y13</f>
        <v/>
      </c>
      <c r="AB953">
        <f>'T_TTAFStock'!Z13</f>
        <v/>
      </c>
      <c r="AC953">
        <f>'T_TTAFStock'!AA13</f>
        <v/>
      </c>
      <c r="AD953">
        <f>'T_TTAFStock'!AB13</f>
        <v/>
      </c>
      <c r="AE953">
        <f>'T_TTAFStock'!AC13</f>
        <v/>
      </c>
      <c r="AF953">
        <f>'T_TTAFStock'!AD13</f>
        <v/>
      </c>
      <c r="AG953">
        <f>'T_TTAFStock'!AE13</f>
        <v/>
      </c>
      <c r="AH953">
        <f>'T_TTAFStock'!AF13</f>
        <v/>
      </c>
      <c r="AI953">
        <f>'T_TTAFStock'!AG13</f>
        <v/>
      </c>
      <c r="AJ953">
        <f>'T_TTAFStock'!AH13</f>
        <v/>
      </c>
      <c r="AK953">
        <f>'T_TTAFStock'!AI13</f>
        <v/>
      </c>
      <c r="AL953">
        <f>'T_TTAFStock'!AJ13</f>
        <v/>
      </c>
      <c r="AM953">
        <f>'T_TTAFStock'!AK13</f>
        <v/>
      </c>
      <c r="AN953">
        <f>'T_TTAFStock'!AL13</f>
        <v/>
      </c>
      <c r="AO953">
        <f>'T_TTAFStock'!AM13</f>
        <v/>
      </c>
      <c r="AP953">
        <f>'T_TTAFStock'!AN13</f>
        <v/>
      </c>
      <c r="AQ953">
        <f>'T_TTAFStock'!AO13</f>
        <v/>
      </c>
      <c r="AR953">
        <f>'T_TTAFStock'!AP13</f>
        <v/>
      </c>
      <c r="AS953">
        <f>'T_TTAFStock'!AQ13</f>
        <v/>
      </c>
      <c r="AT953">
        <f>'T_TTAFStock'!AR13</f>
        <v/>
      </c>
      <c r="AU953">
        <f>'T_TTAFStock'!AS13</f>
        <v/>
      </c>
      <c r="AV953">
        <f>'T_TTAFStock'!AT13</f>
        <v/>
      </c>
      <c r="AW953">
        <f>'T_TTAFStock'!AU13</f>
        <v/>
      </c>
      <c r="AX953">
        <f>'T_TTAFStock'!AV13</f>
        <v/>
      </c>
      <c r="AY953">
        <f>'T_TTAFStock'!AW13</f>
        <v/>
      </c>
      <c r="AZ953">
        <f>'T_TTAFStock'!AX13</f>
        <v/>
      </c>
      <c r="BA953">
        <f>'T_TTAFStock'!AY13</f>
        <v/>
      </c>
      <c r="BB953">
        <f>'T_TTAFStock'!AZ13</f>
        <v/>
      </c>
      <c r="BC953">
        <f>'T_TTAFStock'!BA13</f>
        <v/>
      </c>
      <c r="BD953">
        <f>'T_TTAFStock'!BB13</f>
        <v/>
      </c>
      <c r="BE953">
        <f>'T_TTAFStock'!BC13</f>
        <v/>
      </c>
      <c r="BF953">
        <f>'T_TTAFStock'!BD13</f>
        <v/>
      </c>
      <c r="BG953">
        <f>'T_TTAFStock'!BE13</f>
        <v/>
      </c>
      <c r="BH953">
        <f>'T_TTAFStock'!BF13</f>
        <v/>
      </c>
      <c r="BI953">
        <f>'T_TTAFStock'!BG13</f>
        <v/>
      </c>
      <c r="BJ953">
        <f>'T_TTAFStock'!BH13</f>
        <v/>
      </c>
      <c r="BK953">
        <f>'T_TTAFStock'!BI13</f>
        <v/>
      </c>
      <c r="BL953">
        <f>'T_TTAFStock'!BJ13</f>
        <v/>
      </c>
      <c r="BM953">
        <f>'T_TTAFStock'!BK13</f>
        <v/>
      </c>
      <c r="BN953">
        <f>'T_TTAFStock'!BL13</f>
        <v/>
      </c>
      <c r="BO953">
        <f>'T_TTAFStock'!BM13</f>
        <v/>
      </c>
      <c r="BP953">
        <f>'T_TTAFStock'!BN13</f>
        <v/>
      </c>
      <c r="BQ953">
        <f>'T_TTAFStock'!BO13</f>
        <v/>
      </c>
      <c r="BR953">
        <f>'T_TTAFStock'!BP13</f>
        <v/>
      </c>
      <c r="BS953">
        <f>'T_TTAFStock'!BQ13</f>
        <v/>
      </c>
      <c r="BT953">
        <f>'T_TTAFStock'!BR13</f>
        <v/>
      </c>
      <c r="BU953">
        <f>'T_TTAFStock'!BS13</f>
        <v/>
      </c>
      <c r="BV953">
        <f>'T_TTAFStock'!BT13</f>
        <v/>
      </c>
      <c r="BW953">
        <f>'T_TTAFStock'!BU13</f>
        <v/>
      </c>
      <c r="BX953">
        <f>'T_TTAFStock'!BV13</f>
        <v/>
      </c>
      <c r="BY953">
        <f>'T_TTAFStock'!BW13</f>
        <v/>
      </c>
      <c r="BZ953">
        <f>'T_TTAFStock'!BX13</f>
        <v/>
      </c>
      <c r="CA953">
        <f>'T_TTAFStock'!BY13</f>
        <v/>
      </c>
      <c r="CB953">
        <f>'T_TTAFStock'!BZ13</f>
        <v/>
      </c>
      <c r="CC953">
        <f>'T_TTAFStock'!CA13</f>
        <v/>
      </c>
      <c r="CD953">
        <f>'T_TTAFStock'!CB13</f>
        <v/>
      </c>
      <c r="CE953">
        <f>'T_TTAFStock'!CC13</f>
        <v/>
      </c>
      <c r="CF953">
        <f>'T_TTAFStock'!CD13</f>
        <v/>
      </c>
      <c r="CG953">
        <f>'T_TTAFStock'!CE13</f>
        <v/>
      </c>
      <c r="CH953">
        <f>'T_TTAFStock'!CF13</f>
        <v/>
      </c>
      <c r="CI953">
        <f>'T_TTAFStock'!CG13</f>
        <v/>
      </c>
      <c r="CJ953">
        <f>'T_TTAFStock'!CH13</f>
        <v/>
      </c>
      <c r="CK953">
        <f>'T_TTAFStock'!CI13</f>
        <v/>
      </c>
      <c r="CL953">
        <f>'T_TTAFStock'!CJ13</f>
        <v/>
      </c>
      <c r="CM953">
        <f>'T_TTAFStock'!CK13</f>
        <v/>
      </c>
      <c r="CN953">
        <f>'T_TTAFStock'!CL13</f>
        <v/>
      </c>
      <c r="CO953">
        <f>'T_TTAFStock'!CM13</f>
        <v/>
      </c>
      <c r="CP953">
        <f>'T_TTAFStock'!CN13</f>
        <v/>
      </c>
      <c r="CQ953">
        <f>'T_TTAFStock'!CO13</f>
        <v/>
      </c>
      <c r="CR953">
        <f>'T_TTAFStock'!CP13</f>
        <v/>
      </c>
      <c r="CS953">
        <f>'T_TTAFStock'!CQ13</f>
        <v/>
      </c>
      <c r="CT953">
        <f>'T_TTAFStock'!CR13</f>
        <v/>
      </c>
      <c r="CU953">
        <f>'T_TTAFStock'!CS13</f>
        <v/>
      </c>
      <c r="CV953">
        <f>'T_TTAFStock'!CT13</f>
        <v/>
      </c>
      <c r="CW953">
        <f>'T_TTAFStock'!CU13</f>
        <v/>
      </c>
      <c r="CX953">
        <f>'T_TTAFStock'!CV13</f>
        <v/>
      </c>
      <c r="CY953">
        <f>'T_TTAFStock'!CW13</f>
        <v/>
      </c>
      <c r="CZ953">
        <f>'T_TTAFStock'!CX13</f>
        <v/>
      </c>
      <c r="DA953">
        <f>'T_TTAFStock'!CY13</f>
        <v/>
      </c>
      <c r="DB953">
        <f>'T_TTAFStock'!CZ13</f>
        <v/>
      </c>
      <c r="DC953">
        <f>'T_TTAFStock'!DA13</f>
        <v/>
      </c>
    </row>
    <row r="954">
      <c r="B954" t="inlineStr">
        <is>
          <t>自社在庫(実績,kg)</t>
        </is>
      </c>
      <c r="D954">
        <f>'T_SelfStock'!B13</f>
        <v/>
      </c>
      <c r="E954">
        <f>'T_SelfStock'!C13</f>
        <v/>
      </c>
      <c r="F954">
        <f>'T_SelfStock'!D13</f>
        <v/>
      </c>
      <c r="G954">
        <f>'T_SelfStock'!E13</f>
        <v/>
      </c>
      <c r="H954">
        <f>'T_SelfStock'!F13</f>
        <v/>
      </c>
      <c r="I954">
        <f>'T_SelfStock'!G13</f>
        <v/>
      </c>
      <c r="J954">
        <f>'T_SelfStock'!H13</f>
        <v/>
      </c>
      <c r="K954">
        <f>'T_SelfStock'!I13</f>
        <v/>
      </c>
      <c r="L954">
        <f>'T_SelfStock'!J13</f>
        <v/>
      </c>
      <c r="M954">
        <f>'T_SelfStock'!K13</f>
        <v/>
      </c>
      <c r="N954">
        <f>'T_SelfStock'!L13</f>
        <v/>
      </c>
      <c r="O954">
        <f>'T_SelfStock'!M13</f>
        <v/>
      </c>
      <c r="P954">
        <f>'T_SelfStock'!N13</f>
        <v/>
      </c>
      <c r="Q954">
        <f>'T_SelfStock'!O13</f>
        <v/>
      </c>
      <c r="R954">
        <f>'T_SelfStock'!P13</f>
        <v/>
      </c>
      <c r="S954">
        <f>'T_SelfStock'!Q13</f>
        <v/>
      </c>
      <c r="T954">
        <f>'T_SelfStock'!R13</f>
        <v/>
      </c>
      <c r="U954">
        <f>'T_SelfStock'!S13</f>
        <v/>
      </c>
      <c r="V954">
        <f>'T_SelfStock'!T13</f>
        <v/>
      </c>
      <c r="W954">
        <f>'T_SelfStock'!U13</f>
        <v/>
      </c>
      <c r="X954">
        <f>'T_SelfStock'!V13</f>
        <v/>
      </c>
      <c r="Y954">
        <f>'T_SelfStock'!W13</f>
        <v/>
      </c>
      <c r="Z954">
        <f>'T_SelfStock'!X13</f>
        <v/>
      </c>
      <c r="AA954">
        <f>'T_SelfStock'!Y13</f>
        <v/>
      </c>
      <c r="AB954">
        <f>'T_SelfStock'!Z13</f>
        <v/>
      </c>
      <c r="AC954">
        <f>'T_SelfStock'!AA13</f>
        <v/>
      </c>
      <c r="AD954">
        <f>'T_SelfStock'!AB13</f>
        <v/>
      </c>
      <c r="AE954">
        <f>'T_SelfStock'!AC13</f>
        <v/>
      </c>
      <c r="AF954">
        <f>'T_SelfStock'!AD13</f>
        <v/>
      </c>
      <c r="AG954">
        <f>'T_SelfStock'!AE13</f>
        <v/>
      </c>
      <c r="AH954">
        <f>'T_SelfStock'!AF13</f>
        <v/>
      </c>
      <c r="AI954">
        <f>'T_SelfStock'!AG13</f>
        <v/>
      </c>
      <c r="AJ954">
        <f>'T_SelfStock'!AH13</f>
        <v/>
      </c>
      <c r="AK954">
        <f>'T_SelfStock'!AI13</f>
        <v/>
      </c>
      <c r="AL954">
        <f>'T_SelfStock'!AJ13</f>
        <v/>
      </c>
      <c r="AM954">
        <f>'T_SelfStock'!AK13</f>
        <v/>
      </c>
      <c r="AN954">
        <f>'T_SelfStock'!AL13</f>
        <v/>
      </c>
      <c r="AO954">
        <f>'T_SelfStock'!AM13</f>
        <v/>
      </c>
      <c r="AP954">
        <f>'T_SelfStock'!AN13</f>
        <v/>
      </c>
      <c r="AQ954">
        <f>'T_SelfStock'!AO13</f>
        <v/>
      </c>
      <c r="AR954">
        <f>'T_SelfStock'!AP13</f>
        <v/>
      </c>
      <c r="AS954">
        <f>'T_SelfStock'!AQ13</f>
        <v/>
      </c>
      <c r="AT954">
        <f>'T_SelfStock'!AR13</f>
        <v/>
      </c>
      <c r="AU954">
        <f>'T_SelfStock'!AS13</f>
        <v/>
      </c>
      <c r="AV954">
        <f>'T_SelfStock'!AT13</f>
        <v/>
      </c>
      <c r="AW954">
        <f>'T_SelfStock'!AU13</f>
        <v/>
      </c>
      <c r="AX954">
        <f>'T_SelfStock'!AV13</f>
        <v/>
      </c>
      <c r="AY954">
        <f>'T_SelfStock'!AW13</f>
        <v/>
      </c>
      <c r="AZ954">
        <f>'T_SelfStock'!AX13</f>
        <v/>
      </c>
      <c r="BA954">
        <f>'T_SelfStock'!AY13</f>
        <v/>
      </c>
      <c r="BB954">
        <f>'T_SelfStock'!AZ13</f>
        <v/>
      </c>
      <c r="BC954">
        <f>'T_SelfStock'!BA13</f>
        <v/>
      </c>
      <c r="BD954">
        <f>'T_SelfStock'!BB13</f>
        <v/>
      </c>
      <c r="BE954">
        <f>'T_SelfStock'!BC13</f>
        <v/>
      </c>
      <c r="BF954">
        <f>'T_SelfStock'!BD13</f>
        <v/>
      </c>
      <c r="BG954">
        <f>'T_SelfStock'!BE13</f>
        <v/>
      </c>
      <c r="BH954">
        <f>'T_SelfStock'!BF13</f>
        <v/>
      </c>
      <c r="BI954">
        <f>'T_SelfStock'!BG13</f>
        <v/>
      </c>
      <c r="BJ954">
        <f>'T_SelfStock'!BH13</f>
        <v/>
      </c>
      <c r="BK954">
        <f>'T_SelfStock'!BI13</f>
        <v/>
      </c>
      <c r="BL954">
        <f>'T_SelfStock'!BJ13</f>
        <v/>
      </c>
      <c r="BM954">
        <f>'T_SelfStock'!BK13</f>
        <v/>
      </c>
      <c r="BN954">
        <f>'T_SelfStock'!BL13</f>
        <v/>
      </c>
      <c r="BO954">
        <f>'T_SelfStock'!BM13</f>
        <v/>
      </c>
      <c r="BP954">
        <f>'T_SelfStock'!BN13</f>
        <v/>
      </c>
      <c r="BQ954">
        <f>'T_SelfStock'!BO13</f>
        <v/>
      </c>
      <c r="BR954">
        <f>'T_SelfStock'!BP13</f>
        <v/>
      </c>
      <c r="BS954">
        <f>'T_SelfStock'!BQ13</f>
        <v/>
      </c>
      <c r="BT954">
        <f>'T_SelfStock'!BR13</f>
        <v/>
      </c>
      <c r="BU954">
        <f>'T_SelfStock'!BS13</f>
        <v/>
      </c>
      <c r="BV954">
        <f>'T_SelfStock'!BT13</f>
        <v/>
      </c>
      <c r="BW954">
        <f>'T_SelfStock'!BU13</f>
        <v/>
      </c>
      <c r="BX954">
        <f>'T_SelfStock'!BV13</f>
        <v/>
      </c>
      <c r="BY954">
        <f>'T_SelfStock'!BW13</f>
        <v/>
      </c>
      <c r="BZ954">
        <f>'T_SelfStock'!BX13</f>
        <v/>
      </c>
      <c r="CA954">
        <f>'T_SelfStock'!BY13</f>
        <v/>
      </c>
      <c r="CB954">
        <f>'T_SelfStock'!BZ13</f>
        <v/>
      </c>
      <c r="CC954">
        <f>'T_SelfStock'!CA13</f>
        <v/>
      </c>
      <c r="CD954">
        <f>'T_SelfStock'!CB13</f>
        <v/>
      </c>
      <c r="CE954">
        <f>'T_SelfStock'!CC13</f>
        <v/>
      </c>
      <c r="CF954">
        <f>'T_SelfStock'!CD13</f>
        <v/>
      </c>
      <c r="CG954">
        <f>'T_SelfStock'!CE13</f>
        <v/>
      </c>
      <c r="CH954">
        <f>'T_SelfStock'!CF13</f>
        <v/>
      </c>
      <c r="CI954">
        <f>'T_SelfStock'!CG13</f>
        <v/>
      </c>
      <c r="CJ954">
        <f>'T_SelfStock'!CH13</f>
        <v/>
      </c>
      <c r="CK954">
        <f>'T_SelfStock'!CI13</f>
        <v/>
      </c>
      <c r="CL954">
        <f>'T_SelfStock'!CJ13</f>
        <v/>
      </c>
      <c r="CM954">
        <f>'T_SelfStock'!CK13</f>
        <v/>
      </c>
      <c r="CN954">
        <f>'T_SelfStock'!CL13</f>
        <v/>
      </c>
      <c r="CO954">
        <f>'T_SelfStock'!CM13</f>
        <v/>
      </c>
      <c r="CP954">
        <f>'T_SelfStock'!CN13</f>
        <v/>
      </c>
      <c r="CQ954">
        <f>'T_SelfStock'!CO13</f>
        <v/>
      </c>
      <c r="CR954">
        <f>'T_SelfStock'!CP13</f>
        <v/>
      </c>
      <c r="CS954">
        <f>'T_SelfStock'!CQ13</f>
        <v/>
      </c>
      <c r="CT954">
        <f>'T_SelfStock'!CR13</f>
        <v/>
      </c>
      <c r="CU954">
        <f>'T_SelfStock'!CS13</f>
        <v/>
      </c>
      <c r="CV954">
        <f>'T_SelfStock'!CT13</f>
        <v/>
      </c>
      <c r="CW954">
        <f>'T_SelfStock'!CU13</f>
        <v/>
      </c>
      <c r="CX954">
        <f>'T_SelfStock'!CV13</f>
        <v/>
      </c>
      <c r="CY954">
        <f>'T_SelfStock'!CW13</f>
        <v/>
      </c>
      <c r="CZ954">
        <f>'T_SelfStock'!CX13</f>
        <v/>
      </c>
      <c r="DA954">
        <f>'T_SelfStock'!CY13</f>
        <v/>
      </c>
      <c r="DB954">
        <f>'T_SelfStock'!CZ13</f>
        <v/>
      </c>
      <c r="DC954">
        <f>'T_SelfStock'!DA13</f>
        <v/>
      </c>
    </row>
    <row r="955">
      <c r="B955" t="inlineStr">
        <is>
          <t>Order(発注予定,kg)</t>
        </is>
      </c>
      <c r="D955">
        <f>IF(SUMIFS(T_PlannedOrders[EffectiveQty],T_PlannedOrders[Part Name],$A923,T_PlannedOrders[WeekIndex],1)=0,"",SUMIFS(T_PlannedOrders[EffectiveQty],T_PlannedOrders[Part Name],$A923,T_PlannedOrders[WeekIndex],1)&amp;" ("&amp;TEXT(SUMPRODUCT(MAX((T_PlannedOrders[Part Name]=$A923)*(T_PlannedOrders[WeekIndex]=1)*(T_PlannedOrders[EffectiveQty]&gt;0)*T_PlannedOrders[Order_Month])),"m月")&amp;"発注)")</f>
        <v/>
      </c>
      <c r="E955">
        <f>IF(SUMIFS(T_PlannedOrders[EffectiveQty],T_PlannedOrders[Part Name],$A923,T_PlannedOrders[WeekIndex],2)=0,"",SUMIFS(T_PlannedOrders[EffectiveQty],T_PlannedOrders[Part Name],$A923,T_PlannedOrders[WeekIndex],2)&amp;" ("&amp;TEXT(SUMPRODUCT(MAX((T_PlannedOrders[Part Name]=$A923)*(T_PlannedOrders[WeekIndex]=2)*(T_PlannedOrders[EffectiveQty]&gt;0)*T_PlannedOrders[Order_Month])),"m月")&amp;"発注)")</f>
        <v/>
      </c>
      <c r="F955">
        <f>IF(SUMIFS(T_PlannedOrders[EffectiveQty],T_PlannedOrders[Part Name],$A923,T_PlannedOrders[WeekIndex],3)=0,"",SUMIFS(T_PlannedOrders[EffectiveQty],T_PlannedOrders[Part Name],$A923,T_PlannedOrders[WeekIndex],3)&amp;" ("&amp;TEXT(SUMPRODUCT(MAX((T_PlannedOrders[Part Name]=$A923)*(T_PlannedOrders[WeekIndex]=3)*(T_PlannedOrders[EffectiveQty]&gt;0)*T_PlannedOrders[Order_Month])),"m月")&amp;"発注)")</f>
        <v/>
      </c>
      <c r="G955">
        <f>IF(SUMIFS(T_PlannedOrders[EffectiveQty],T_PlannedOrders[Part Name],$A923,T_PlannedOrders[WeekIndex],4)=0,"",SUMIFS(T_PlannedOrders[EffectiveQty],T_PlannedOrders[Part Name],$A923,T_PlannedOrders[WeekIndex],4)&amp;" ("&amp;TEXT(SUMPRODUCT(MAX((T_PlannedOrders[Part Name]=$A923)*(T_PlannedOrders[WeekIndex]=4)*(T_PlannedOrders[EffectiveQty]&gt;0)*T_PlannedOrders[Order_Month])),"m月")&amp;"発注)")</f>
        <v/>
      </c>
      <c r="H955">
        <f>IF(SUMIFS(T_PlannedOrders[EffectiveQty],T_PlannedOrders[Part Name],$A923,T_PlannedOrders[WeekIndex],5)=0,"",SUMIFS(T_PlannedOrders[EffectiveQty],T_PlannedOrders[Part Name],$A923,T_PlannedOrders[WeekIndex],5)&amp;" ("&amp;TEXT(SUMPRODUCT(MAX((T_PlannedOrders[Part Name]=$A923)*(T_PlannedOrders[WeekIndex]=5)*(T_PlannedOrders[EffectiveQty]&gt;0)*T_PlannedOrders[Order_Month])),"m月")&amp;"発注)")</f>
        <v/>
      </c>
      <c r="I955">
        <f>IF(SUMIFS(T_PlannedOrders[EffectiveQty],T_PlannedOrders[Part Name],$A923,T_PlannedOrders[WeekIndex],6)=0,"",SUMIFS(T_PlannedOrders[EffectiveQty],T_PlannedOrders[Part Name],$A923,T_PlannedOrders[WeekIndex],6)&amp;" ("&amp;TEXT(SUMPRODUCT(MAX((T_PlannedOrders[Part Name]=$A923)*(T_PlannedOrders[WeekIndex]=6)*(T_PlannedOrders[EffectiveQty]&gt;0)*T_PlannedOrders[Order_Month])),"m月")&amp;"発注)")</f>
        <v/>
      </c>
      <c r="J955">
        <f>IF(SUMIFS(T_PlannedOrders[EffectiveQty],T_PlannedOrders[Part Name],$A923,T_PlannedOrders[WeekIndex],7)=0,"",SUMIFS(T_PlannedOrders[EffectiveQty],T_PlannedOrders[Part Name],$A923,T_PlannedOrders[WeekIndex],7)&amp;" ("&amp;TEXT(SUMPRODUCT(MAX((T_PlannedOrders[Part Name]=$A923)*(T_PlannedOrders[WeekIndex]=7)*(T_PlannedOrders[EffectiveQty]&gt;0)*T_PlannedOrders[Order_Month])),"m月")&amp;"発注)")</f>
        <v/>
      </c>
      <c r="K955">
        <f>IF(SUMIFS(T_PlannedOrders[EffectiveQty],T_PlannedOrders[Part Name],$A923,T_PlannedOrders[WeekIndex],8)=0,"",SUMIFS(T_PlannedOrders[EffectiveQty],T_PlannedOrders[Part Name],$A923,T_PlannedOrders[WeekIndex],8)&amp;" ("&amp;TEXT(SUMPRODUCT(MAX((T_PlannedOrders[Part Name]=$A923)*(T_PlannedOrders[WeekIndex]=8)*(T_PlannedOrders[EffectiveQty]&gt;0)*T_PlannedOrders[Order_Month])),"m月")&amp;"発注)")</f>
        <v/>
      </c>
      <c r="L955">
        <f>IF(SUMIFS(T_PlannedOrders[EffectiveQty],T_PlannedOrders[Part Name],$A923,T_PlannedOrders[WeekIndex],9)=0,"",SUMIFS(T_PlannedOrders[EffectiveQty],T_PlannedOrders[Part Name],$A923,T_PlannedOrders[WeekIndex],9)&amp;" ("&amp;TEXT(SUMPRODUCT(MAX((T_PlannedOrders[Part Name]=$A923)*(T_PlannedOrders[WeekIndex]=9)*(T_PlannedOrders[EffectiveQty]&gt;0)*T_PlannedOrders[Order_Month])),"m月")&amp;"発注)")</f>
        <v/>
      </c>
      <c r="M955">
        <f>IF(SUMIFS(T_PlannedOrders[EffectiveQty],T_PlannedOrders[Part Name],$A923,T_PlannedOrders[WeekIndex],10)=0,"",SUMIFS(T_PlannedOrders[EffectiveQty],T_PlannedOrders[Part Name],$A923,T_PlannedOrders[WeekIndex],10)&amp;" ("&amp;TEXT(SUMPRODUCT(MAX((T_PlannedOrders[Part Name]=$A923)*(T_PlannedOrders[WeekIndex]=10)*(T_PlannedOrders[EffectiveQty]&gt;0)*T_PlannedOrders[Order_Month])),"m月")&amp;"発注)")</f>
        <v/>
      </c>
      <c r="N955">
        <f>IF(SUMIFS(T_PlannedOrders[EffectiveQty],T_PlannedOrders[Part Name],$A923,T_PlannedOrders[WeekIndex],11)=0,"",SUMIFS(T_PlannedOrders[EffectiveQty],T_PlannedOrders[Part Name],$A923,T_PlannedOrders[WeekIndex],11)&amp;" ("&amp;TEXT(SUMPRODUCT(MAX((T_PlannedOrders[Part Name]=$A923)*(T_PlannedOrders[WeekIndex]=11)*(T_PlannedOrders[EffectiveQty]&gt;0)*T_PlannedOrders[Order_Month])),"m月")&amp;"発注)")</f>
        <v/>
      </c>
      <c r="O955">
        <f>IF(SUMIFS(T_PlannedOrders[EffectiveQty],T_PlannedOrders[Part Name],$A923,T_PlannedOrders[WeekIndex],12)=0,"",SUMIFS(T_PlannedOrders[EffectiveQty],T_PlannedOrders[Part Name],$A923,T_PlannedOrders[WeekIndex],12)&amp;" ("&amp;TEXT(SUMPRODUCT(MAX((T_PlannedOrders[Part Name]=$A923)*(T_PlannedOrders[WeekIndex]=12)*(T_PlannedOrders[EffectiveQty]&gt;0)*T_PlannedOrders[Order_Month])),"m月")&amp;"発注)")</f>
        <v/>
      </c>
      <c r="P955">
        <f>IF(SUMIFS(T_PlannedOrders[EffectiveQty],T_PlannedOrders[Part Name],$A923,T_PlannedOrders[WeekIndex],13)=0,"",SUMIFS(T_PlannedOrders[EffectiveQty],T_PlannedOrders[Part Name],$A923,T_PlannedOrders[WeekIndex],13)&amp;" ("&amp;TEXT(SUMPRODUCT(MAX((T_PlannedOrders[Part Name]=$A923)*(T_PlannedOrders[WeekIndex]=13)*(T_PlannedOrders[EffectiveQty]&gt;0)*T_PlannedOrders[Order_Month])),"m月")&amp;"発注)")</f>
        <v/>
      </c>
      <c r="Q955">
        <f>IF(SUMIFS(T_PlannedOrders[EffectiveQty],T_PlannedOrders[Part Name],$A923,T_PlannedOrders[WeekIndex],14)=0,"",SUMIFS(T_PlannedOrders[EffectiveQty],T_PlannedOrders[Part Name],$A923,T_PlannedOrders[WeekIndex],14)&amp;" ("&amp;TEXT(SUMPRODUCT(MAX((T_PlannedOrders[Part Name]=$A923)*(T_PlannedOrders[WeekIndex]=14)*(T_PlannedOrders[EffectiveQty]&gt;0)*T_PlannedOrders[Order_Month])),"m月")&amp;"発注)")</f>
        <v/>
      </c>
      <c r="R955">
        <f>IF(SUMIFS(T_PlannedOrders[EffectiveQty],T_PlannedOrders[Part Name],$A923,T_PlannedOrders[WeekIndex],15)=0,"",SUMIFS(T_PlannedOrders[EffectiveQty],T_PlannedOrders[Part Name],$A923,T_PlannedOrders[WeekIndex],15)&amp;" ("&amp;TEXT(SUMPRODUCT(MAX((T_PlannedOrders[Part Name]=$A923)*(T_PlannedOrders[WeekIndex]=15)*(T_PlannedOrders[EffectiveQty]&gt;0)*T_PlannedOrders[Order_Month])),"m月")&amp;"発注)")</f>
        <v/>
      </c>
      <c r="S955">
        <f>IF(SUMIFS(T_PlannedOrders[EffectiveQty],T_PlannedOrders[Part Name],$A923,T_PlannedOrders[WeekIndex],16)=0,"",SUMIFS(T_PlannedOrders[EffectiveQty],T_PlannedOrders[Part Name],$A923,T_PlannedOrders[WeekIndex],16)&amp;" ("&amp;TEXT(SUMPRODUCT(MAX((T_PlannedOrders[Part Name]=$A923)*(T_PlannedOrders[WeekIndex]=16)*(T_PlannedOrders[EffectiveQty]&gt;0)*T_PlannedOrders[Order_Month])),"m月")&amp;"発注)")</f>
        <v/>
      </c>
      <c r="T955">
        <f>IF(SUMIFS(T_PlannedOrders[EffectiveQty],T_PlannedOrders[Part Name],$A923,T_PlannedOrders[WeekIndex],17)=0,"",SUMIFS(T_PlannedOrders[EffectiveQty],T_PlannedOrders[Part Name],$A923,T_PlannedOrders[WeekIndex],17)&amp;" ("&amp;TEXT(SUMPRODUCT(MAX((T_PlannedOrders[Part Name]=$A923)*(T_PlannedOrders[WeekIndex]=17)*(T_PlannedOrders[EffectiveQty]&gt;0)*T_PlannedOrders[Order_Month])),"m月")&amp;"発注)")</f>
        <v/>
      </c>
      <c r="U955">
        <f>IF(SUMIFS(T_PlannedOrders[EffectiveQty],T_PlannedOrders[Part Name],$A923,T_PlannedOrders[WeekIndex],18)=0,"",SUMIFS(T_PlannedOrders[EffectiveQty],T_PlannedOrders[Part Name],$A923,T_PlannedOrders[WeekIndex],18)&amp;" ("&amp;TEXT(SUMPRODUCT(MAX((T_PlannedOrders[Part Name]=$A923)*(T_PlannedOrders[WeekIndex]=18)*(T_PlannedOrders[EffectiveQty]&gt;0)*T_PlannedOrders[Order_Month])),"m月")&amp;"発注)")</f>
        <v/>
      </c>
      <c r="V955">
        <f>IF(SUMIFS(T_PlannedOrders[EffectiveQty],T_PlannedOrders[Part Name],$A923,T_PlannedOrders[WeekIndex],19)=0,"",SUMIFS(T_PlannedOrders[EffectiveQty],T_PlannedOrders[Part Name],$A923,T_PlannedOrders[WeekIndex],19)&amp;" ("&amp;TEXT(SUMPRODUCT(MAX((T_PlannedOrders[Part Name]=$A923)*(T_PlannedOrders[WeekIndex]=19)*(T_PlannedOrders[EffectiveQty]&gt;0)*T_PlannedOrders[Order_Month])),"m月")&amp;"発注)")</f>
        <v/>
      </c>
      <c r="W955">
        <f>IF(SUMIFS(T_PlannedOrders[EffectiveQty],T_PlannedOrders[Part Name],$A923,T_PlannedOrders[WeekIndex],20)=0,"",SUMIFS(T_PlannedOrders[EffectiveQty],T_PlannedOrders[Part Name],$A923,T_PlannedOrders[WeekIndex],20)&amp;" ("&amp;TEXT(SUMPRODUCT(MAX((T_PlannedOrders[Part Name]=$A923)*(T_PlannedOrders[WeekIndex]=20)*(T_PlannedOrders[EffectiveQty]&gt;0)*T_PlannedOrders[Order_Month])),"m月")&amp;"発注)")</f>
        <v/>
      </c>
      <c r="X955">
        <f>IF(SUMIFS(T_PlannedOrders[EffectiveQty],T_PlannedOrders[Part Name],$A923,T_PlannedOrders[WeekIndex],21)=0,"",SUMIFS(T_PlannedOrders[EffectiveQty],T_PlannedOrders[Part Name],$A923,T_PlannedOrders[WeekIndex],21)&amp;" ("&amp;TEXT(SUMPRODUCT(MAX((T_PlannedOrders[Part Name]=$A923)*(T_PlannedOrders[WeekIndex]=21)*(T_PlannedOrders[EffectiveQty]&gt;0)*T_PlannedOrders[Order_Month])),"m月")&amp;"発注)")</f>
        <v/>
      </c>
      <c r="Y955">
        <f>IF(SUMIFS(T_PlannedOrders[EffectiveQty],T_PlannedOrders[Part Name],$A923,T_PlannedOrders[WeekIndex],22)=0,"",SUMIFS(T_PlannedOrders[EffectiveQty],T_PlannedOrders[Part Name],$A923,T_PlannedOrders[WeekIndex],22)&amp;" ("&amp;TEXT(SUMPRODUCT(MAX((T_PlannedOrders[Part Name]=$A923)*(T_PlannedOrders[WeekIndex]=22)*(T_PlannedOrders[EffectiveQty]&gt;0)*T_PlannedOrders[Order_Month])),"m月")&amp;"発注)")</f>
        <v/>
      </c>
      <c r="Z955">
        <f>IF(SUMIFS(T_PlannedOrders[EffectiveQty],T_PlannedOrders[Part Name],$A923,T_PlannedOrders[WeekIndex],23)=0,"",SUMIFS(T_PlannedOrders[EffectiveQty],T_PlannedOrders[Part Name],$A923,T_PlannedOrders[WeekIndex],23)&amp;" ("&amp;TEXT(SUMPRODUCT(MAX((T_PlannedOrders[Part Name]=$A923)*(T_PlannedOrders[WeekIndex]=23)*(T_PlannedOrders[EffectiveQty]&gt;0)*T_PlannedOrders[Order_Month])),"m月")&amp;"発注)")</f>
        <v/>
      </c>
      <c r="AA955">
        <f>IF(SUMIFS(T_PlannedOrders[EffectiveQty],T_PlannedOrders[Part Name],$A923,T_PlannedOrders[WeekIndex],24)=0,"",SUMIFS(T_PlannedOrders[EffectiveQty],T_PlannedOrders[Part Name],$A923,T_PlannedOrders[WeekIndex],24)&amp;" ("&amp;TEXT(SUMPRODUCT(MAX((T_PlannedOrders[Part Name]=$A923)*(T_PlannedOrders[WeekIndex]=24)*(T_PlannedOrders[EffectiveQty]&gt;0)*T_PlannedOrders[Order_Month])),"m月")&amp;"発注)")</f>
        <v/>
      </c>
      <c r="AB955">
        <f>IF(SUMIFS(T_PlannedOrders[EffectiveQty],T_PlannedOrders[Part Name],$A923,T_PlannedOrders[WeekIndex],25)=0,"",SUMIFS(T_PlannedOrders[EffectiveQty],T_PlannedOrders[Part Name],$A923,T_PlannedOrders[WeekIndex],25)&amp;" ("&amp;TEXT(SUMPRODUCT(MAX((T_PlannedOrders[Part Name]=$A923)*(T_PlannedOrders[WeekIndex]=25)*(T_PlannedOrders[EffectiveQty]&gt;0)*T_PlannedOrders[Order_Month])),"m月")&amp;"発注)")</f>
        <v/>
      </c>
      <c r="AC955">
        <f>IF(SUMIFS(T_PlannedOrders[EffectiveQty],T_PlannedOrders[Part Name],$A923,T_PlannedOrders[WeekIndex],26)=0,"",SUMIFS(T_PlannedOrders[EffectiveQty],T_PlannedOrders[Part Name],$A923,T_PlannedOrders[WeekIndex],26)&amp;" ("&amp;TEXT(SUMPRODUCT(MAX((T_PlannedOrders[Part Name]=$A923)*(T_PlannedOrders[WeekIndex]=26)*(T_PlannedOrders[EffectiveQty]&gt;0)*T_PlannedOrders[Order_Month])),"m月")&amp;"発注)")</f>
        <v/>
      </c>
      <c r="AD955">
        <f>IF(SUMIFS(T_PlannedOrders[EffectiveQty],T_PlannedOrders[Part Name],$A923,T_PlannedOrders[WeekIndex],27)=0,"",SUMIFS(T_PlannedOrders[EffectiveQty],T_PlannedOrders[Part Name],$A923,T_PlannedOrders[WeekIndex],27)&amp;" ("&amp;TEXT(SUMPRODUCT(MAX((T_PlannedOrders[Part Name]=$A923)*(T_PlannedOrders[WeekIndex]=27)*(T_PlannedOrders[EffectiveQty]&gt;0)*T_PlannedOrders[Order_Month])),"m月")&amp;"発注)")</f>
        <v/>
      </c>
      <c r="AE955">
        <f>IF(SUMIFS(T_PlannedOrders[EffectiveQty],T_PlannedOrders[Part Name],$A923,T_PlannedOrders[WeekIndex],28)=0,"",SUMIFS(T_PlannedOrders[EffectiveQty],T_PlannedOrders[Part Name],$A923,T_PlannedOrders[WeekIndex],28)&amp;" ("&amp;TEXT(SUMPRODUCT(MAX((T_PlannedOrders[Part Name]=$A923)*(T_PlannedOrders[WeekIndex]=28)*(T_PlannedOrders[EffectiveQty]&gt;0)*T_PlannedOrders[Order_Month])),"m月")&amp;"発注)")</f>
        <v/>
      </c>
      <c r="AF955">
        <f>IF(SUMIFS(T_PlannedOrders[EffectiveQty],T_PlannedOrders[Part Name],$A923,T_PlannedOrders[WeekIndex],29)=0,"",SUMIFS(T_PlannedOrders[EffectiveQty],T_PlannedOrders[Part Name],$A923,T_PlannedOrders[WeekIndex],29)&amp;" ("&amp;TEXT(SUMPRODUCT(MAX((T_PlannedOrders[Part Name]=$A923)*(T_PlannedOrders[WeekIndex]=29)*(T_PlannedOrders[EffectiveQty]&gt;0)*T_PlannedOrders[Order_Month])),"m月")&amp;"発注)")</f>
        <v/>
      </c>
      <c r="AG955">
        <f>IF(SUMIFS(T_PlannedOrders[EffectiveQty],T_PlannedOrders[Part Name],$A923,T_PlannedOrders[WeekIndex],30)=0,"",SUMIFS(T_PlannedOrders[EffectiveQty],T_PlannedOrders[Part Name],$A923,T_PlannedOrders[WeekIndex],30)&amp;" ("&amp;TEXT(SUMPRODUCT(MAX((T_PlannedOrders[Part Name]=$A923)*(T_PlannedOrders[WeekIndex]=30)*(T_PlannedOrders[EffectiveQty]&gt;0)*T_PlannedOrders[Order_Month])),"m月")&amp;"発注)")</f>
        <v/>
      </c>
      <c r="AH955">
        <f>IF(SUMIFS(T_PlannedOrders[EffectiveQty],T_PlannedOrders[Part Name],$A923,T_PlannedOrders[WeekIndex],31)=0,"",SUMIFS(T_PlannedOrders[EffectiveQty],T_PlannedOrders[Part Name],$A923,T_PlannedOrders[WeekIndex],31)&amp;" ("&amp;TEXT(SUMPRODUCT(MAX((T_PlannedOrders[Part Name]=$A923)*(T_PlannedOrders[WeekIndex]=31)*(T_PlannedOrders[EffectiveQty]&gt;0)*T_PlannedOrders[Order_Month])),"m月")&amp;"発注)")</f>
        <v/>
      </c>
      <c r="AI955">
        <f>IF(SUMIFS(T_PlannedOrders[EffectiveQty],T_PlannedOrders[Part Name],$A923,T_PlannedOrders[WeekIndex],32)=0,"",SUMIFS(T_PlannedOrders[EffectiveQty],T_PlannedOrders[Part Name],$A923,T_PlannedOrders[WeekIndex],32)&amp;" ("&amp;TEXT(SUMPRODUCT(MAX((T_PlannedOrders[Part Name]=$A923)*(T_PlannedOrders[WeekIndex]=32)*(T_PlannedOrders[EffectiveQty]&gt;0)*T_PlannedOrders[Order_Month])),"m月")&amp;"発注)")</f>
        <v/>
      </c>
      <c r="AJ955">
        <f>IF(SUMIFS(T_PlannedOrders[EffectiveQty],T_PlannedOrders[Part Name],$A923,T_PlannedOrders[WeekIndex],33)=0,"",SUMIFS(T_PlannedOrders[EffectiveQty],T_PlannedOrders[Part Name],$A923,T_PlannedOrders[WeekIndex],33)&amp;" ("&amp;TEXT(SUMPRODUCT(MAX((T_PlannedOrders[Part Name]=$A923)*(T_PlannedOrders[WeekIndex]=33)*(T_PlannedOrders[EffectiveQty]&gt;0)*T_PlannedOrders[Order_Month])),"m月")&amp;"発注)")</f>
        <v/>
      </c>
      <c r="AK955">
        <f>IF(SUMIFS(T_PlannedOrders[EffectiveQty],T_PlannedOrders[Part Name],$A923,T_PlannedOrders[WeekIndex],34)=0,"",SUMIFS(T_PlannedOrders[EffectiveQty],T_PlannedOrders[Part Name],$A923,T_PlannedOrders[WeekIndex],34)&amp;" ("&amp;TEXT(SUMPRODUCT(MAX((T_PlannedOrders[Part Name]=$A923)*(T_PlannedOrders[WeekIndex]=34)*(T_PlannedOrders[EffectiveQty]&gt;0)*T_PlannedOrders[Order_Month])),"m月")&amp;"発注)")</f>
        <v/>
      </c>
      <c r="AL955">
        <f>IF(SUMIFS(T_PlannedOrders[EffectiveQty],T_PlannedOrders[Part Name],$A923,T_PlannedOrders[WeekIndex],35)=0,"",SUMIFS(T_PlannedOrders[EffectiveQty],T_PlannedOrders[Part Name],$A923,T_PlannedOrders[WeekIndex],35)&amp;" ("&amp;TEXT(SUMPRODUCT(MAX((T_PlannedOrders[Part Name]=$A923)*(T_PlannedOrders[WeekIndex]=35)*(T_PlannedOrders[EffectiveQty]&gt;0)*T_PlannedOrders[Order_Month])),"m月")&amp;"発注)")</f>
        <v/>
      </c>
      <c r="AM955">
        <f>IF(SUMIFS(T_PlannedOrders[EffectiveQty],T_PlannedOrders[Part Name],$A923,T_PlannedOrders[WeekIndex],36)=0,"",SUMIFS(T_PlannedOrders[EffectiveQty],T_PlannedOrders[Part Name],$A923,T_PlannedOrders[WeekIndex],36)&amp;" ("&amp;TEXT(SUMPRODUCT(MAX((T_PlannedOrders[Part Name]=$A923)*(T_PlannedOrders[WeekIndex]=36)*(T_PlannedOrders[EffectiveQty]&gt;0)*T_PlannedOrders[Order_Month])),"m月")&amp;"発注)")</f>
        <v/>
      </c>
      <c r="AN955">
        <f>IF(SUMIFS(T_PlannedOrders[EffectiveQty],T_PlannedOrders[Part Name],$A923,T_PlannedOrders[WeekIndex],37)=0,"",SUMIFS(T_PlannedOrders[EffectiveQty],T_PlannedOrders[Part Name],$A923,T_PlannedOrders[WeekIndex],37)&amp;" ("&amp;TEXT(SUMPRODUCT(MAX((T_PlannedOrders[Part Name]=$A923)*(T_PlannedOrders[WeekIndex]=37)*(T_PlannedOrders[EffectiveQty]&gt;0)*T_PlannedOrders[Order_Month])),"m月")&amp;"発注)")</f>
        <v/>
      </c>
      <c r="AO955">
        <f>IF(SUMIFS(T_PlannedOrders[EffectiveQty],T_PlannedOrders[Part Name],$A923,T_PlannedOrders[WeekIndex],38)=0,"",SUMIFS(T_PlannedOrders[EffectiveQty],T_PlannedOrders[Part Name],$A923,T_PlannedOrders[WeekIndex],38)&amp;" ("&amp;TEXT(SUMPRODUCT(MAX((T_PlannedOrders[Part Name]=$A923)*(T_PlannedOrders[WeekIndex]=38)*(T_PlannedOrders[EffectiveQty]&gt;0)*T_PlannedOrders[Order_Month])),"m月")&amp;"発注)")</f>
        <v/>
      </c>
      <c r="AP955">
        <f>IF(SUMIFS(T_PlannedOrders[EffectiveQty],T_PlannedOrders[Part Name],$A923,T_PlannedOrders[WeekIndex],39)=0,"",SUMIFS(T_PlannedOrders[EffectiveQty],T_PlannedOrders[Part Name],$A923,T_PlannedOrders[WeekIndex],39)&amp;" ("&amp;TEXT(SUMPRODUCT(MAX((T_PlannedOrders[Part Name]=$A923)*(T_PlannedOrders[WeekIndex]=39)*(T_PlannedOrders[EffectiveQty]&gt;0)*T_PlannedOrders[Order_Month])),"m月")&amp;"発注)")</f>
        <v/>
      </c>
      <c r="AQ955">
        <f>IF(SUMIFS(T_PlannedOrders[EffectiveQty],T_PlannedOrders[Part Name],$A923,T_PlannedOrders[WeekIndex],40)=0,"",SUMIFS(T_PlannedOrders[EffectiveQty],T_PlannedOrders[Part Name],$A923,T_PlannedOrders[WeekIndex],40)&amp;" ("&amp;TEXT(SUMPRODUCT(MAX((T_PlannedOrders[Part Name]=$A923)*(T_PlannedOrders[WeekIndex]=40)*(T_PlannedOrders[EffectiveQty]&gt;0)*T_PlannedOrders[Order_Month])),"m月")&amp;"発注)")</f>
        <v/>
      </c>
      <c r="AR955">
        <f>IF(SUMIFS(T_PlannedOrders[EffectiveQty],T_PlannedOrders[Part Name],$A923,T_PlannedOrders[WeekIndex],41)=0,"",SUMIFS(T_PlannedOrders[EffectiveQty],T_PlannedOrders[Part Name],$A923,T_PlannedOrders[WeekIndex],41)&amp;" ("&amp;TEXT(SUMPRODUCT(MAX((T_PlannedOrders[Part Name]=$A923)*(T_PlannedOrders[WeekIndex]=41)*(T_PlannedOrders[EffectiveQty]&gt;0)*T_PlannedOrders[Order_Month])),"m月")&amp;"発注)")</f>
        <v/>
      </c>
      <c r="AS955">
        <f>IF(SUMIFS(T_PlannedOrders[EffectiveQty],T_PlannedOrders[Part Name],$A923,T_PlannedOrders[WeekIndex],42)=0,"",SUMIFS(T_PlannedOrders[EffectiveQty],T_PlannedOrders[Part Name],$A923,T_PlannedOrders[WeekIndex],42)&amp;" ("&amp;TEXT(SUMPRODUCT(MAX((T_PlannedOrders[Part Name]=$A923)*(T_PlannedOrders[WeekIndex]=42)*(T_PlannedOrders[EffectiveQty]&gt;0)*T_PlannedOrders[Order_Month])),"m月")&amp;"発注)")</f>
        <v/>
      </c>
      <c r="AT955">
        <f>IF(SUMIFS(T_PlannedOrders[EffectiveQty],T_PlannedOrders[Part Name],$A923,T_PlannedOrders[WeekIndex],43)=0,"",SUMIFS(T_PlannedOrders[EffectiveQty],T_PlannedOrders[Part Name],$A923,T_PlannedOrders[WeekIndex],43)&amp;" ("&amp;TEXT(SUMPRODUCT(MAX((T_PlannedOrders[Part Name]=$A923)*(T_PlannedOrders[WeekIndex]=43)*(T_PlannedOrders[EffectiveQty]&gt;0)*T_PlannedOrders[Order_Month])),"m月")&amp;"発注)")</f>
        <v/>
      </c>
      <c r="AU955">
        <f>IF(SUMIFS(T_PlannedOrders[EffectiveQty],T_PlannedOrders[Part Name],$A923,T_PlannedOrders[WeekIndex],44)=0,"",SUMIFS(T_PlannedOrders[EffectiveQty],T_PlannedOrders[Part Name],$A923,T_PlannedOrders[WeekIndex],44)&amp;" ("&amp;TEXT(SUMPRODUCT(MAX((T_PlannedOrders[Part Name]=$A923)*(T_PlannedOrders[WeekIndex]=44)*(T_PlannedOrders[EffectiveQty]&gt;0)*T_PlannedOrders[Order_Month])),"m月")&amp;"発注)")</f>
        <v/>
      </c>
      <c r="AV955">
        <f>IF(SUMIFS(T_PlannedOrders[EffectiveQty],T_PlannedOrders[Part Name],$A923,T_PlannedOrders[WeekIndex],45)=0,"",SUMIFS(T_PlannedOrders[EffectiveQty],T_PlannedOrders[Part Name],$A923,T_PlannedOrders[WeekIndex],45)&amp;" ("&amp;TEXT(SUMPRODUCT(MAX((T_PlannedOrders[Part Name]=$A923)*(T_PlannedOrders[WeekIndex]=45)*(T_PlannedOrders[EffectiveQty]&gt;0)*T_PlannedOrders[Order_Month])),"m月")&amp;"発注)")</f>
        <v/>
      </c>
      <c r="AW955">
        <f>IF(SUMIFS(T_PlannedOrders[EffectiveQty],T_PlannedOrders[Part Name],$A923,T_PlannedOrders[WeekIndex],46)=0,"",SUMIFS(T_PlannedOrders[EffectiveQty],T_PlannedOrders[Part Name],$A923,T_PlannedOrders[WeekIndex],46)&amp;" ("&amp;TEXT(SUMPRODUCT(MAX((T_PlannedOrders[Part Name]=$A923)*(T_PlannedOrders[WeekIndex]=46)*(T_PlannedOrders[EffectiveQty]&gt;0)*T_PlannedOrders[Order_Month])),"m月")&amp;"発注)")</f>
        <v/>
      </c>
      <c r="AX955">
        <f>IF(SUMIFS(T_PlannedOrders[EffectiveQty],T_PlannedOrders[Part Name],$A923,T_PlannedOrders[WeekIndex],47)=0,"",SUMIFS(T_PlannedOrders[EffectiveQty],T_PlannedOrders[Part Name],$A923,T_PlannedOrders[WeekIndex],47)&amp;" ("&amp;TEXT(SUMPRODUCT(MAX((T_PlannedOrders[Part Name]=$A923)*(T_PlannedOrders[WeekIndex]=47)*(T_PlannedOrders[EffectiveQty]&gt;0)*T_PlannedOrders[Order_Month])),"m月")&amp;"発注)")</f>
        <v/>
      </c>
      <c r="AY955">
        <f>IF(SUMIFS(T_PlannedOrders[EffectiveQty],T_PlannedOrders[Part Name],$A923,T_PlannedOrders[WeekIndex],48)=0,"",SUMIFS(T_PlannedOrders[EffectiveQty],T_PlannedOrders[Part Name],$A923,T_PlannedOrders[WeekIndex],48)&amp;" ("&amp;TEXT(SUMPRODUCT(MAX((T_PlannedOrders[Part Name]=$A923)*(T_PlannedOrders[WeekIndex]=48)*(T_PlannedOrders[EffectiveQty]&gt;0)*T_PlannedOrders[Order_Month])),"m月")&amp;"発注)")</f>
        <v/>
      </c>
      <c r="AZ955">
        <f>IF(SUMIFS(T_PlannedOrders[EffectiveQty],T_PlannedOrders[Part Name],$A923,T_PlannedOrders[WeekIndex],49)=0,"",SUMIFS(T_PlannedOrders[EffectiveQty],T_PlannedOrders[Part Name],$A923,T_PlannedOrders[WeekIndex],49)&amp;" ("&amp;TEXT(SUMPRODUCT(MAX((T_PlannedOrders[Part Name]=$A923)*(T_PlannedOrders[WeekIndex]=49)*(T_PlannedOrders[EffectiveQty]&gt;0)*T_PlannedOrders[Order_Month])),"m月")&amp;"発注)")</f>
        <v/>
      </c>
      <c r="BA955">
        <f>IF(SUMIFS(T_PlannedOrders[EffectiveQty],T_PlannedOrders[Part Name],$A923,T_PlannedOrders[WeekIndex],50)=0,"",SUMIFS(T_PlannedOrders[EffectiveQty],T_PlannedOrders[Part Name],$A923,T_PlannedOrders[WeekIndex],50)&amp;" ("&amp;TEXT(SUMPRODUCT(MAX((T_PlannedOrders[Part Name]=$A923)*(T_PlannedOrders[WeekIndex]=50)*(T_PlannedOrders[EffectiveQty]&gt;0)*T_PlannedOrders[Order_Month])),"m月")&amp;"発注)")</f>
        <v/>
      </c>
      <c r="BB955">
        <f>IF(SUMIFS(T_PlannedOrders[EffectiveQty],T_PlannedOrders[Part Name],$A923,T_PlannedOrders[WeekIndex],51)=0,"",SUMIFS(T_PlannedOrders[EffectiveQty],T_PlannedOrders[Part Name],$A923,T_PlannedOrders[WeekIndex],51)&amp;" ("&amp;TEXT(SUMPRODUCT(MAX((T_PlannedOrders[Part Name]=$A923)*(T_PlannedOrders[WeekIndex]=51)*(T_PlannedOrders[EffectiveQty]&gt;0)*T_PlannedOrders[Order_Month])),"m月")&amp;"発注)")</f>
        <v/>
      </c>
      <c r="BC955">
        <f>IF(SUMIFS(T_PlannedOrders[EffectiveQty],T_PlannedOrders[Part Name],$A923,T_PlannedOrders[WeekIndex],52)=0,"",SUMIFS(T_PlannedOrders[EffectiveQty],T_PlannedOrders[Part Name],$A923,T_PlannedOrders[WeekIndex],52)&amp;" ("&amp;TEXT(SUMPRODUCT(MAX((T_PlannedOrders[Part Name]=$A923)*(T_PlannedOrders[WeekIndex]=52)*(T_PlannedOrders[EffectiveQty]&gt;0)*T_PlannedOrders[Order_Month])),"m月")&amp;"発注)")</f>
        <v/>
      </c>
      <c r="BD955">
        <f>IF(SUMIFS(T_PlannedOrders[EffectiveQty],T_PlannedOrders[Part Name],$A923,T_PlannedOrders[WeekIndex],53)=0,"",SUMIFS(T_PlannedOrders[EffectiveQty],T_PlannedOrders[Part Name],$A923,T_PlannedOrders[WeekIndex],53)&amp;" ("&amp;TEXT(SUMPRODUCT(MAX((T_PlannedOrders[Part Name]=$A923)*(T_PlannedOrders[WeekIndex]=53)*(T_PlannedOrders[EffectiveQty]&gt;0)*T_PlannedOrders[Order_Month])),"m月")&amp;"発注)")</f>
        <v/>
      </c>
      <c r="BE955">
        <f>IF(SUMIFS(T_PlannedOrders[EffectiveQty],T_PlannedOrders[Part Name],$A923,T_PlannedOrders[WeekIndex],54)=0,"",SUMIFS(T_PlannedOrders[EffectiveQty],T_PlannedOrders[Part Name],$A923,T_PlannedOrders[WeekIndex],54)&amp;" ("&amp;TEXT(SUMPRODUCT(MAX((T_PlannedOrders[Part Name]=$A923)*(T_PlannedOrders[WeekIndex]=54)*(T_PlannedOrders[EffectiveQty]&gt;0)*T_PlannedOrders[Order_Month])),"m月")&amp;"発注)")</f>
        <v/>
      </c>
      <c r="BF955">
        <f>IF(SUMIFS(T_PlannedOrders[EffectiveQty],T_PlannedOrders[Part Name],$A923,T_PlannedOrders[WeekIndex],55)=0,"",SUMIFS(T_PlannedOrders[EffectiveQty],T_PlannedOrders[Part Name],$A923,T_PlannedOrders[WeekIndex],55)&amp;" ("&amp;TEXT(SUMPRODUCT(MAX((T_PlannedOrders[Part Name]=$A923)*(T_PlannedOrders[WeekIndex]=55)*(T_PlannedOrders[EffectiveQty]&gt;0)*T_PlannedOrders[Order_Month])),"m月")&amp;"発注)")</f>
        <v/>
      </c>
      <c r="BG955">
        <f>IF(SUMIFS(T_PlannedOrders[EffectiveQty],T_PlannedOrders[Part Name],$A923,T_PlannedOrders[WeekIndex],56)=0,"",SUMIFS(T_PlannedOrders[EffectiveQty],T_PlannedOrders[Part Name],$A923,T_PlannedOrders[WeekIndex],56)&amp;" ("&amp;TEXT(SUMPRODUCT(MAX((T_PlannedOrders[Part Name]=$A923)*(T_PlannedOrders[WeekIndex]=56)*(T_PlannedOrders[EffectiveQty]&gt;0)*T_PlannedOrders[Order_Month])),"m月")&amp;"発注)")</f>
        <v/>
      </c>
      <c r="BH955">
        <f>IF(SUMIFS(T_PlannedOrders[EffectiveQty],T_PlannedOrders[Part Name],$A923,T_PlannedOrders[WeekIndex],57)=0,"",SUMIFS(T_PlannedOrders[EffectiveQty],T_PlannedOrders[Part Name],$A923,T_PlannedOrders[WeekIndex],57)&amp;" ("&amp;TEXT(SUMPRODUCT(MAX((T_PlannedOrders[Part Name]=$A923)*(T_PlannedOrders[WeekIndex]=57)*(T_PlannedOrders[EffectiveQty]&gt;0)*T_PlannedOrders[Order_Month])),"m月")&amp;"発注)")</f>
        <v/>
      </c>
      <c r="BI955">
        <f>IF(SUMIFS(T_PlannedOrders[EffectiveQty],T_PlannedOrders[Part Name],$A923,T_PlannedOrders[WeekIndex],58)=0,"",SUMIFS(T_PlannedOrders[EffectiveQty],T_PlannedOrders[Part Name],$A923,T_PlannedOrders[WeekIndex],58)&amp;" ("&amp;TEXT(SUMPRODUCT(MAX((T_PlannedOrders[Part Name]=$A923)*(T_PlannedOrders[WeekIndex]=58)*(T_PlannedOrders[EffectiveQty]&gt;0)*T_PlannedOrders[Order_Month])),"m月")&amp;"発注)")</f>
        <v/>
      </c>
      <c r="BJ955">
        <f>IF(SUMIFS(T_PlannedOrders[EffectiveQty],T_PlannedOrders[Part Name],$A923,T_PlannedOrders[WeekIndex],59)=0,"",SUMIFS(T_PlannedOrders[EffectiveQty],T_PlannedOrders[Part Name],$A923,T_PlannedOrders[WeekIndex],59)&amp;" ("&amp;TEXT(SUMPRODUCT(MAX((T_PlannedOrders[Part Name]=$A923)*(T_PlannedOrders[WeekIndex]=59)*(T_PlannedOrders[EffectiveQty]&gt;0)*T_PlannedOrders[Order_Month])),"m月")&amp;"発注)")</f>
        <v/>
      </c>
      <c r="BK955">
        <f>IF(SUMIFS(T_PlannedOrders[EffectiveQty],T_PlannedOrders[Part Name],$A923,T_PlannedOrders[WeekIndex],60)=0,"",SUMIFS(T_PlannedOrders[EffectiveQty],T_PlannedOrders[Part Name],$A923,T_PlannedOrders[WeekIndex],60)&amp;" ("&amp;TEXT(SUMPRODUCT(MAX((T_PlannedOrders[Part Name]=$A923)*(T_PlannedOrders[WeekIndex]=60)*(T_PlannedOrders[EffectiveQty]&gt;0)*T_PlannedOrders[Order_Month])),"m月")&amp;"発注)")</f>
        <v/>
      </c>
      <c r="BL955">
        <f>IF(SUMIFS(T_PlannedOrders[EffectiveQty],T_PlannedOrders[Part Name],$A923,T_PlannedOrders[WeekIndex],61)=0,"",SUMIFS(T_PlannedOrders[EffectiveQty],T_PlannedOrders[Part Name],$A923,T_PlannedOrders[WeekIndex],61)&amp;" ("&amp;TEXT(SUMPRODUCT(MAX((T_PlannedOrders[Part Name]=$A923)*(T_PlannedOrders[WeekIndex]=61)*(T_PlannedOrders[EffectiveQty]&gt;0)*T_PlannedOrders[Order_Month])),"m月")&amp;"発注)")</f>
        <v/>
      </c>
      <c r="BM955">
        <f>IF(SUMIFS(T_PlannedOrders[EffectiveQty],T_PlannedOrders[Part Name],$A923,T_PlannedOrders[WeekIndex],62)=0,"",SUMIFS(T_PlannedOrders[EffectiveQty],T_PlannedOrders[Part Name],$A923,T_PlannedOrders[WeekIndex],62)&amp;" ("&amp;TEXT(SUMPRODUCT(MAX((T_PlannedOrders[Part Name]=$A923)*(T_PlannedOrders[WeekIndex]=62)*(T_PlannedOrders[EffectiveQty]&gt;0)*T_PlannedOrders[Order_Month])),"m月")&amp;"発注)")</f>
        <v/>
      </c>
      <c r="BN955">
        <f>IF(SUMIFS(T_PlannedOrders[EffectiveQty],T_PlannedOrders[Part Name],$A923,T_PlannedOrders[WeekIndex],63)=0,"",SUMIFS(T_PlannedOrders[EffectiveQty],T_PlannedOrders[Part Name],$A923,T_PlannedOrders[WeekIndex],63)&amp;" ("&amp;TEXT(SUMPRODUCT(MAX((T_PlannedOrders[Part Name]=$A923)*(T_PlannedOrders[WeekIndex]=63)*(T_PlannedOrders[EffectiveQty]&gt;0)*T_PlannedOrders[Order_Month])),"m月")&amp;"発注)")</f>
        <v/>
      </c>
      <c r="BO955">
        <f>IF(SUMIFS(T_PlannedOrders[EffectiveQty],T_PlannedOrders[Part Name],$A923,T_PlannedOrders[WeekIndex],64)=0,"",SUMIFS(T_PlannedOrders[EffectiveQty],T_PlannedOrders[Part Name],$A923,T_PlannedOrders[WeekIndex],64)&amp;" ("&amp;TEXT(SUMPRODUCT(MAX((T_PlannedOrders[Part Name]=$A923)*(T_PlannedOrders[WeekIndex]=64)*(T_PlannedOrders[EffectiveQty]&gt;0)*T_PlannedOrders[Order_Month])),"m月")&amp;"発注)")</f>
        <v/>
      </c>
      <c r="BP955">
        <f>IF(SUMIFS(T_PlannedOrders[EffectiveQty],T_PlannedOrders[Part Name],$A923,T_PlannedOrders[WeekIndex],65)=0,"",SUMIFS(T_PlannedOrders[EffectiveQty],T_PlannedOrders[Part Name],$A923,T_PlannedOrders[WeekIndex],65)&amp;" ("&amp;TEXT(SUMPRODUCT(MAX((T_PlannedOrders[Part Name]=$A923)*(T_PlannedOrders[WeekIndex]=65)*(T_PlannedOrders[EffectiveQty]&gt;0)*T_PlannedOrders[Order_Month])),"m月")&amp;"発注)")</f>
        <v/>
      </c>
      <c r="BQ955">
        <f>IF(SUMIFS(T_PlannedOrders[EffectiveQty],T_PlannedOrders[Part Name],$A923,T_PlannedOrders[WeekIndex],66)=0,"",SUMIFS(T_PlannedOrders[EffectiveQty],T_PlannedOrders[Part Name],$A923,T_PlannedOrders[WeekIndex],66)&amp;" ("&amp;TEXT(SUMPRODUCT(MAX((T_PlannedOrders[Part Name]=$A923)*(T_PlannedOrders[WeekIndex]=66)*(T_PlannedOrders[EffectiveQty]&gt;0)*T_PlannedOrders[Order_Month])),"m月")&amp;"発注)")</f>
        <v/>
      </c>
      <c r="BR955">
        <f>IF(SUMIFS(T_PlannedOrders[EffectiveQty],T_PlannedOrders[Part Name],$A923,T_PlannedOrders[WeekIndex],67)=0,"",SUMIFS(T_PlannedOrders[EffectiveQty],T_PlannedOrders[Part Name],$A923,T_PlannedOrders[WeekIndex],67)&amp;" ("&amp;TEXT(SUMPRODUCT(MAX((T_PlannedOrders[Part Name]=$A923)*(T_PlannedOrders[WeekIndex]=67)*(T_PlannedOrders[EffectiveQty]&gt;0)*T_PlannedOrders[Order_Month])),"m月")&amp;"発注)")</f>
        <v/>
      </c>
      <c r="BS955">
        <f>IF(SUMIFS(T_PlannedOrders[EffectiveQty],T_PlannedOrders[Part Name],$A923,T_PlannedOrders[WeekIndex],68)=0,"",SUMIFS(T_PlannedOrders[EffectiveQty],T_PlannedOrders[Part Name],$A923,T_PlannedOrders[WeekIndex],68)&amp;" ("&amp;TEXT(SUMPRODUCT(MAX((T_PlannedOrders[Part Name]=$A923)*(T_PlannedOrders[WeekIndex]=68)*(T_PlannedOrders[EffectiveQty]&gt;0)*T_PlannedOrders[Order_Month])),"m月")&amp;"発注)")</f>
        <v/>
      </c>
      <c r="BT955">
        <f>IF(SUMIFS(T_PlannedOrders[EffectiveQty],T_PlannedOrders[Part Name],$A923,T_PlannedOrders[WeekIndex],69)=0,"",SUMIFS(T_PlannedOrders[EffectiveQty],T_PlannedOrders[Part Name],$A923,T_PlannedOrders[WeekIndex],69)&amp;" ("&amp;TEXT(SUMPRODUCT(MAX((T_PlannedOrders[Part Name]=$A923)*(T_PlannedOrders[WeekIndex]=69)*(T_PlannedOrders[EffectiveQty]&gt;0)*T_PlannedOrders[Order_Month])),"m月")&amp;"発注)")</f>
        <v/>
      </c>
      <c r="BU955">
        <f>IF(SUMIFS(T_PlannedOrders[EffectiveQty],T_PlannedOrders[Part Name],$A923,T_PlannedOrders[WeekIndex],70)=0,"",SUMIFS(T_PlannedOrders[EffectiveQty],T_PlannedOrders[Part Name],$A923,T_PlannedOrders[WeekIndex],70)&amp;" ("&amp;TEXT(SUMPRODUCT(MAX((T_PlannedOrders[Part Name]=$A923)*(T_PlannedOrders[WeekIndex]=70)*(T_PlannedOrders[EffectiveQty]&gt;0)*T_PlannedOrders[Order_Month])),"m月")&amp;"発注)")</f>
        <v/>
      </c>
      <c r="BV955">
        <f>IF(SUMIFS(T_PlannedOrders[EffectiveQty],T_PlannedOrders[Part Name],$A923,T_PlannedOrders[WeekIndex],71)=0,"",SUMIFS(T_PlannedOrders[EffectiveQty],T_PlannedOrders[Part Name],$A923,T_PlannedOrders[WeekIndex],71)&amp;" ("&amp;TEXT(SUMPRODUCT(MAX((T_PlannedOrders[Part Name]=$A923)*(T_PlannedOrders[WeekIndex]=71)*(T_PlannedOrders[EffectiveQty]&gt;0)*T_PlannedOrders[Order_Month])),"m月")&amp;"発注)")</f>
        <v/>
      </c>
      <c r="BW955">
        <f>IF(SUMIFS(T_PlannedOrders[EffectiveQty],T_PlannedOrders[Part Name],$A923,T_PlannedOrders[WeekIndex],72)=0,"",SUMIFS(T_PlannedOrders[EffectiveQty],T_PlannedOrders[Part Name],$A923,T_PlannedOrders[WeekIndex],72)&amp;" ("&amp;TEXT(SUMPRODUCT(MAX((T_PlannedOrders[Part Name]=$A923)*(T_PlannedOrders[WeekIndex]=72)*(T_PlannedOrders[EffectiveQty]&gt;0)*T_PlannedOrders[Order_Month])),"m月")&amp;"発注)")</f>
        <v/>
      </c>
      <c r="BX955">
        <f>IF(SUMIFS(T_PlannedOrders[EffectiveQty],T_PlannedOrders[Part Name],$A923,T_PlannedOrders[WeekIndex],73)=0,"",SUMIFS(T_PlannedOrders[EffectiveQty],T_PlannedOrders[Part Name],$A923,T_PlannedOrders[WeekIndex],73)&amp;" ("&amp;TEXT(SUMPRODUCT(MAX((T_PlannedOrders[Part Name]=$A923)*(T_PlannedOrders[WeekIndex]=73)*(T_PlannedOrders[EffectiveQty]&gt;0)*T_PlannedOrders[Order_Month])),"m月")&amp;"発注)")</f>
        <v/>
      </c>
      <c r="BY955">
        <f>IF(SUMIFS(T_PlannedOrders[EffectiveQty],T_PlannedOrders[Part Name],$A923,T_PlannedOrders[WeekIndex],74)=0,"",SUMIFS(T_PlannedOrders[EffectiveQty],T_PlannedOrders[Part Name],$A923,T_PlannedOrders[WeekIndex],74)&amp;" ("&amp;TEXT(SUMPRODUCT(MAX((T_PlannedOrders[Part Name]=$A923)*(T_PlannedOrders[WeekIndex]=74)*(T_PlannedOrders[EffectiveQty]&gt;0)*T_PlannedOrders[Order_Month])),"m月")&amp;"発注)")</f>
        <v/>
      </c>
      <c r="BZ955">
        <f>IF(SUMIFS(T_PlannedOrders[EffectiveQty],T_PlannedOrders[Part Name],$A923,T_PlannedOrders[WeekIndex],75)=0,"",SUMIFS(T_PlannedOrders[EffectiveQty],T_PlannedOrders[Part Name],$A923,T_PlannedOrders[WeekIndex],75)&amp;" ("&amp;TEXT(SUMPRODUCT(MAX((T_PlannedOrders[Part Name]=$A923)*(T_PlannedOrders[WeekIndex]=75)*(T_PlannedOrders[EffectiveQty]&gt;0)*T_PlannedOrders[Order_Month])),"m月")&amp;"発注)")</f>
        <v/>
      </c>
      <c r="CA955">
        <f>IF(SUMIFS(T_PlannedOrders[EffectiveQty],T_PlannedOrders[Part Name],$A923,T_PlannedOrders[WeekIndex],76)=0,"",SUMIFS(T_PlannedOrders[EffectiveQty],T_PlannedOrders[Part Name],$A923,T_PlannedOrders[WeekIndex],76)&amp;" ("&amp;TEXT(SUMPRODUCT(MAX((T_PlannedOrders[Part Name]=$A923)*(T_PlannedOrders[WeekIndex]=76)*(T_PlannedOrders[EffectiveQty]&gt;0)*T_PlannedOrders[Order_Month])),"m月")&amp;"発注)")</f>
        <v/>
      </c>
      <c r="CB955">
        <f>IF(SUMIFS(T_PlannedOrders[EffectiveQty],T_PlannedOrders[Part Name],$A923,T_PlannedOrders[WeekIndex],77)=0,"",SUMIFS(T_PlannedOrders[EffectiveQty],T_PlannedOrders[Part Name],$A923,T_PlannedOrders[WeekIndex],77)&amp;" ("&amp;TEXT(SUMPRODUCT(MAX((T_PlannedOrders[Part Name]=$A923)*(T_PlannedOrders[WeekIndex]=77)*(T_PlannedOrders[EffectiveQty]&gt;0)*T_PlannedOrders[Order_Month])),"m月")&amp;"発注)")</f>
        <v/>
      </c>
      <c r="CC955">
        <f>IF(SUMIFS(T_PlannedOrders[EffectiveQty],T_PlannedOrders[Part Name],$A923,T_PlannedOrders[WeekIndex],78)=0,"",SUMIFS(T_PlannedOrders[EffectiveQty],T_PlannedOrders[Part Name],$A923,T_PlannedOrders[WeekIndex],78)&amp;" ("&amp;TEXT(SUMPRODUCT(MAX((T_PlannedOrders[Part Name]=$A923)*(T_PlannedOrders[WeekIndex]=78)*(T_PlannedOrders[EffectiveQty]&gt;0)*T_PlannedOrders[Order_Month])),"m月")&amp;"発注)")</f>
        <v/>
      </c>
      <c r="CD955">
        <f>IF(SUMIFS(T_PlannedOrders[EffectiveQty],T_PlannedOrders[Part Name],$A923,T_PlannedOrders[WeekIndex],79)=0,"",SUMIFS(T_PlannedOrders[EffectiveQty],T_PlannedOrders[Part Name],$A923,T_PlannedOrders[WeekIndex],79)&amp;" ("&amp;TEXT(SUMPRODUCT(MAX((T_PlannedOrders[Part Name]=$A923)*(T_PlannedOrders[WeekIndex]=79)*(T_PlannedOrders[EffectiveQty]&gt;0)*T_PlannedOrders[Order_Month])),"m月")&amp;"発注)")</f>
        <v/>
      </c>
      <c r="CE955">
        <f>IF(SUMIFS(T_PlannedOrders[EffectiveQty],T_PlannedOrders[Part Name],$A923,T_PlannedOrders[WeekIndex],80)=0,"",SUMIFS(T_PlannedOrders[EffectiveQty],T_PlannedOrders[Part Name],$A923,T_PlannedOrders[WeekIndex],80)&amp;" ("&amp;TEXT(SUMPRODUCT(MAX((T_PlannedOrders[Part Name]=$A923)*(T_PlannedOrders[WeekIndex]=80)*(T_PlannedOrders[EffectiveQty]&gt;0)*T_PlannedOrders[Order_Month])),"m月")&amp;"発注)")</f>
        <v/>
      </c>
      <c r="CF955">
        <f>IF(SUMIFS(T_PlannedOrders[EffectiveQty],T_PlannedOrders[Part Name],$A923,T_PlannedOrders[WeekIndex],81)=0,"",SUMIFS(T_PlannedOrders[EffectiveQty],T_PlannedOrders[Part Name],$A923,T_PlannedOrders[WeekIndex],81)&amp;" ("&amp;TEXT(SUMPRODUCT(MAX((T_PlannedOrders[Part Name]=$A923)*(T_PlannedOrders[WeekIndex]=81)*(T_PlannedOrders[EffectiveQty]&gt;0)*T_PlannedOrders[Order_Month])),"m月")&amp;"発注)")</f>
        <v/>
      </c>
      <c r="CG955">
        <f>IF(SUMIFS(T_PlannedOrders[EffectiveQty],T_PlannedOrders[Part Name],$A923,T_PlannedOrders[WeekIndex],82)=0,"",SUMIFS(T_PlannedOrders[EffectiveQty],T_PlannedOrders[Part Name],$A923,T_PlannedOrders[WeekIndex],82)&amp;" ("&amp;TEXT(SUMPRODUCT(MAX((T_PlannedOrders[Part Name]=$A923)*(T_PlannedOrders[WeekIndex]=82)*(T_PlannedOrders[EffectiveQty]&gt;0)*T_PlannedOrders[Order_Month])),"m月")&amp;"発注)")</f>
        <v/>
      </c>
      <c r="CH955">
        <f>IF(SUMIFS(T_PlannedOrders[EffectiveQty],T_PlannedOrders[Part Name],$A923,T_PlannedOrders[WeekIndex],83)=0,"",SUMIFS(T_PlannedOrders[EffectiveQty],T_PlannedOrders[Part Name],$A923,T_PlannedOrders[WeekIndex],83)&amp;" ("&amp;TEXT(SUMPRODUCT(MAX((T_PlannedOrders[Part Name]=$A923)*(T_PlannedOrders[WeekIndex]=83)*(T_PlannedOrders[EffectiveQty]&gt;0)*T_PlannedOrders[Order_Month])),"m月")&amp;"発注)")</f>
        <v/>
      </c>
      <c r="CI955">
        <f>IF(SUMIFS(T_PlannedOrders[EffectiveQty],T_PlannedOrders[Part Name],$A923,T_PlannedOrders[WeekIndex],84)=0,"",SUMIFS(T_PlannedOrders[EffectiveQty],T_PlannedOrders[Part Name],$A923,T_PlannedOrders[WeekIndex],84)&amp;" ("&amp;TEXT(SUMPRODUCT(MAX((T_PlannedOrders[Part Name]=$A923)*(T_PlannedOrders[WeekIndex]=84)*(T_PlannedOrders[EffectiveQty]&gt;0)*T_PlannedOrders[Order_Month])),"m月")&amp;"発注)")</f>
        <v/>
      </c>
      <c r="CJ955">
        <f>IF(SUMIFS(T_PlannedOrders[EffectiveQty],T_PlannedOrders[Part Name],$A923,T_PlannedOrders[WeekIndex],85)=0,"",SUMIFS(T_PlannedOrders[EffectiveQty],T_PlannedOrders[Part Name],$A923,T_PlannedOrders[WeekIndex],85)&amp;" ("&amp;TEXT(SUMPRODUCT(MAX((T_PlannedOrders[Part Name]=$A923)*(T_PlannedOrders[WeekIndex]=85)*(T_PlannedOrders[EffectiveQty]&gt;0)*T_PlannedOrders[Order_Month])),"m月")&amp;"発注)")</f>
        <v/>
      </c>
      <c r="CK955">
        <f>IF(SUMIFS(T_PlannedOrders[EffectiveQty],T_PlannedOrders[Part Name],$A923,T_PlannedOrders[WeekIndex],86)=0,"",SUMIFS(T_PlannedOrders[EffectiveQty],T_PlannedOrders[Part Name],$A923,T_PlannedOrders[WeekIndex],86)&amp;" ("&amp;TEXT(SUMPRODUCT(MAX((T_PlannedOrders[Part Name]=$A923)*(T_PlannedOrders[WeekIndex]=86)*(T_PlannedOrders[EffectiveQty]&gt;0)*T_PlannedOrders[Order_Month])),"m月")&amp;"発注)")</f>
        <v/>
      </c>
      <c r="CL955">
        <f>IF(SUMIFS(T_PlannedOrders[EffectiveQty],T_PlannedOrders[Part Name],$A923,T_PlannedOrders[WeekIndex],87)=0,"",SUMIFS(T_PlannedOrders[EffectiveQty],T_PlannedOrders[Part Name],$A923,T_PlannedOrders[WeekIndex],87)&amp;" ("&amp;TEXT(SUMPRODUCT(MAX((T_PlannedOrders[Part Name]=$A923)*(T_PlannedOrders[WeekIndex]=87)*(T_PlannedOrders[EffectiveQty]&gt;0)*T_PlannedOrders[Order_Month])),"m月")&amp;"発注)")</f>
        <v/>
      </c>
      <c r="CM955">
        <f>IF(SUMIFS(T_PlannedOrders[EffectiveQty],T_PlannedOrders[Part Name],$A923,T_PlannedOrders[WeekIndex],88)=0,"",SUMIFS(T_PlannedOrders[EffectiveQty],T_PlannedOrders[Part Name],$A923,T_PlannedOrders[WeekIndex],88)&amp;" ("&amp;TEXT(SUMPRODUCT(MAX((T_PlannedOrders[Part Name]=$A923)*(T_PlannedOrders[WeekIndex]=88)*(T_PlannedOrders[EffectiveQty]&gt;0)*T_PlannedOrders[Order_Month])),"m月")&amp;"発注)")</f>
        <v/>
      </c>
      <c r="CN955">
        <f>IF(SUMIFS(T_PlannedOrders[EffectiveQty],T_PlannedOrders[Part Name],$A923,T_PlannedOrders[WeekIndex],89)=0,"",SUMIFS(T_PlannedOrders[EffectiveQty],T_PlannedOrders[Part Name],$A923,T_PlannedOrders[WeekIndex],89)&amp;" ("&amp;TEXT(SUMPRODUCT(MAX((T_PlannedOrders[Part Name]=$A923)*(T_PlannedOrders[WeekIndex]=89)*(T_PlannedOrders[EffectiveQty]&gt;0)*T_PlannedOrders[Order_Month])),"m月")&amp;"発注)")</f>
        <v/>
      </c>
      <c r="CO955">
        <f>IF(SUMIFS(T_PlannedOrders[EffectiveQty],T_PlannedOrders[Part Name],$A923,T_PlannedOrders[WeekIndex],90)=0,"",SUMIFS(T_PlannedOrders[EffectiveQty],T_PlannedOrders[Part Name],$A923,T_PlannedOrders[WeekIndex],90)&amp;" ("&amp;TEXT(SUMPRODUCT(MAX((T_PlannedOrders[Part Name]=$A923)*(T_PlannedOrders[WeekIndex]=90)*(T_PlannedOrders[EffectiveQty]&gt;0)*T_PlannedOrders[Order_Month])),"m月")&amp;"発注)")</f>
        <v/>
      </c>
      <c r="CP955">
        <f>IF(SUMIFS(T_PlannedOrders[EffectiveQty],T_PlannedOrders[Part Name],$A923,T_PlannedOrders[WeekIndex],91)=0,"",SUMIFS(T_PlannedOrders[EffectiveQty],T_PlannedOrders[Part Name],$A923,T_PlannedOrders[WeekIndex],91)&amp;" ("&amp;TEXT(SUMPRODUCT(MAX((T_PlannedOrders[Part Name]=$A923)*(T_PlannedOrders[WeekIndex]=91)*(T_PlannedOrders[EffectiveQty]&gt;0)*T_PlannedOrders[Order_Month])),"m月")&amp;"発注)")</f>
        <v/>
      </c>
      <c r="CQ955">
        <f>IF(SUMIFS(T_PlannedOrders[EffectiveQty],T_PlannedOrders[Part Name],$A923,T_PlannedOrders[WeekIndex],92)=0,"",SUMIFS(T_PlannedOrders[EffectiveQty],T_PlannedOrders[Part Name],$A923,T_PlannedOrders[WeekIndex],92)&amp;" ("&amp;TEXT(SUMPRODUCT(MAX((T_PlannedOrders[Part Name]=$A923)*(T_PlannedOrders[WeekIndex]=92)*(T_PlannedOrders[EffectiveQty]&gt;0)*T_PlannedOrders[Order_Month])),"m月")&amp;"発注)")</f>
        <v/>
      </c>
      <c r="CR955">
        <f>IF(SUMIFS(T_PlannedOrders[EffectiveQty],T_PlannedOrders[Part Name],$A923,T_PlannedOrders[WeekIndex],93)=0,"",SUMIFS(T_PlannedOrders[EffectiveQty],T_PlannedOrders[Part Name],$A923,T_PlannedOrders[WeekIndex],93)&amp;" ("&amp;TEXT(SUMPRODUCT(MAX((T_PlannedOrders[Part Name]=$A923)*(T_PlannedOrders[WeekIndex]=93)*(T_PlannedOrders[EffectiveQty]&gt;0)*T_PlannedOrders[Order_Month])),"m月")&amp;"発注)")</f>
        <v/>
      </c>
      <c r="CS955">
        <f>IF(SUMIFS(T_PlannedOrders[EffectiveQty],T_PlannedOrders[Part Name],$A923,T_PlannedOrders[WeekIndex],94)=0,"",SUMIFS(T_PlannedOrders[EffectiveQty],T_PlannedOrders[Part Name],$A923,T_PlannedOrders[WeekIndex],94)&amp;" ("&amp;TEXT(SUMPRODUCT(MAX((T_PlannedOrders[Part Name]=$A923)*(T_PlannedOrders[WeekIndex]=94)*(T_PlannedOrders[EffectiveQty]&gt;0)*T_PlannedOrders[Order_Month])),"m月")&amp;"発注)")</f>
        <v/>
      </c>
      <c r="CT955">
        <f>IF(SUMIFS(T_PlannedOrders[EffectiveQty],T_PlannedOrders[Part Name],$A923,T_PlannedOrders[WeekIndex],95)=0,"",SUMIFS(T_PlannedOrders[EffectiveQty],T_PlannedOrders[Part Name],$A923,T_PlannedOrders[WeekIndex],95)&amp;" ("&amp;TEXT(SUMPRODUCT(MAX((T_PlannedOrders[Part Name]=$A923)*(T_PlannedOrders[WeekIndex]=95)*(T_PlannedOrders[EffectiveQty]&gt;0)*T_PlannedOrders[Order_Month])),"m月")&amp;"発注)")</f>
        <v/>
      </c>
      <c r="CU955">
        <f>IF(SUMIFS(T_PlannedOrders[EffectiveQty],T_PlannedOrders[Part Name],$A923,T_PlannedOrders[WeekIndex],96)=0,"",SUMIFS(T_PlannedOrders[EffectiveQty],T_PlannedOrders[Part Name],$A923,T_PlannedOrders[WeekIndex],96)&amp;" ("&amp;TEXT(SUMPRODUCT(MAX((T_PlannedOrders[Part Name]=$A923)*(T_PlannedOrders[WeekIndex]=96)*(T_PlannedOrders[EffectiveQty]&gt;0)*T_PlannedOrders[Order_Month])),"m月")&amp;"発注)")</f>
        <v/>
      </c>
      <c r="CV955">
        <f>IF(SUMIFS(T_PlannedOrders[EffectiveQty],T_PlannedOrders[Part Name],$A923,T_PlannedOrders[WeekIndex],97)=0,"",SUMIFS(T_PlannedOrders[EffectiveQty],T_PlannedOrders[Part Name],$A923,T_PlannedOrders[WeekIndex],97)&amp;" ("&amp;TEXT(SUMPRODUCT(MAX((T_PlannedOrders[Part Name]=$A923)*(T_PlannedOrders[WeekIndex]=97)*(T_PlannedOrders[EffectiveQty]&gt;0)*T_PlannedOrders[Order_Month])),"m月")&amp;"発注)")</f>
        <v/>
      </c>
      <c r="CW955">
        <f>IF(SUMIFS(T_PlannedOrders[EffectiveQty],T_PlannedOrders[Part Name],$A923,T_PlannedOrders[WeekIndex],98)=0,"",SUMIFS(T_PlannedOrders[EffectiveQty],T_PlannedOrders[Part Name],$A923,T_PlannedOrders[WeekIndex],98)&amp;" ("&amp;TEXT(SUMPRODUCT(MAX((T_PlannedOrders[Part Name]=$A923)*(T_PlannedOrders[WeekIndex]=98)*(T_PlannedOrders[EffectiveQty]&gt;0)*T_PlannedOrders[Order_Month])),"m月")&amp;"発注)")</f>
        <v/>
      </c>
      <c r="CX955">
        <f>IF(SUMIFS(T_PlannedOrders[EffectiveQty],T_PlannedOrders[Part Name],$A923,T_PlannedOrders[WeekIndex],99)=0,"",SUMIFS(T_PlannedOrders[EffectiveQty],T_PlannedOrders[Part Name],$A923,T_PlannedOrders[WeekIndex],99)&amp;" ("&amp;TEXT(SUMPRODUCT(MAX((T_PlannedOrders[Part Name]=$A923)*(T_PlannedOrders[WeekIndex]=99)*(T_PlannedOrders[EffectiveQty]&gt;0)*T_PlannedOrders[Order_Month])),"m月")&amp;"発注)")</f>
        <v/>
      </c>
      <c r="CY955">
        <f>IF(SUMIFS(T_PlannedOrders[EffectiveQty],T_PlannedOrders[Part Name],$A923,T_PlannedOrders[WeekIndex],100)=0,"",SUMIFS(T_PlannedOrders[EffectiveQty],T_PlannedOrders[Part Name],$A923,T_PlannedOrders[WeekIndex],100)&amp;" ("&amp;TEXT(SUMPRODUCT(MAX((T_PlannedOrders[Part Name]=$A923)*(T_PlannedOrders[WeekIndex]=100)*(T_PlannedOrders[EffectiveQty]&gt;0)*T_PlannedOrders[Order_Month])),"m月")&amp;"発注)")</f>
        <v/>
      </c>
      <c r="CZ955">
        <f>IF(SUMIFS(T_PlannedOrders[EffectiveQty],T_PlannedOrders[Part Name],$A923,T_PlannedOrders[WeekIndex],101)=0,"",SUMIFS(T_PlannedOrders[EffectiveQty],T_PlannedOrders[Part Name],$A923,T_PlannedOrders[WeekIndex],101)&amp;" ("&amp;TEXT(SUMPRODUCT(MAX((T_PlannedOrders[Part Name]=$A923)*(T_PlannedOrders[WeekIndex]=101)*(T_PlannedOrders[EffectiveQty]&gt;0)*T_PlannedOrders[Order_Month])),"m月")&amp;"発注)")</f>
        <v/>
      </c>
      <c r="DA955">
        <f>IF(SUMIFS(T_PlannedOrders[EffectiveQty],T_PlannedOrders[Part Name],$A923,T_PlannedOrders[WeekIndex],102)=0,"",SUMIFS(T_PlannedOrders[EffectiveQty],T_PlannedOrders[Part Name],$A923,T_PlannedOrders[WeekIndex],102)&amp;" ("&amp;TEXT(SUMPRODUCT(MAX((T_PlannedOrders[Part Name]=$A923)*(T_PlannedOrders[WeekIndex]=102)*(T_PlannedOrders[EffectiveQty]&gt;0)*T_PlannedOrders[Order_Month])),"m月")&amp;"発注)")</f>
        <v/>
      </c>
      <c r="DB955">
        <f>IF(SUMIFS(T_PlannedOrders[EffectiveQty],T_PlannedOrders[Part Name],$A923,T_PlannedOrders[WeekIndex],103)=0,"",SUMIFS(T_PlannedOrders[EffectiveQty],T_PlannedOrders[Part Name],$A923,T_PlannedOrders[WeekIndex],103)&amp;" ("&amp;TEXT(SUMPRODUCT(MAX((T_PlannedOrders[Part Name]=$A923)*(T_PlannedOrders[WeekIndex]=103)*(T_PlannedOrders[EffectiveQty]&gt;0)*T_PlannedOrders[Order_Month])),"m月")&amp;"発注)")</f>
        <v/>
      </c>
      <c r="DC955">
        <f>IF(SUMIFS(T_PlannedOrders[EffectiveQty],T_PlannedOrders[Part Name],$A923,T_PlannedOrders[WeekIndex],104)=0,"",SUMIFS(T_PlannedOrders[EffectiveQty],T_PlannedOrders[Part Name],$A923,T_PlannedOrders[WeekIndex],104)&amp;" ("&amp;TEXT(SUMPRODUCT(MAX((T_PlannedOrders[Part Name]=$A923)*(T_PlannedOrders[WeekIndex]=104)*(T_PlannedOrders[EffectiveQty]&gt;0)*T_PlannedOrders[Order_Month])),"m月")&amp;"発注)")</f>
        <v/>
      </c>
    </row>
    <row r="956">
      <c r="B956" s="4" t="inlineStr">
        <is>
          <t>合計在庫(週末時点,kg)</t>
        </is>
      </c>
      <c r="D956">
        <f>'Grid_Stock'!B9</f>
        <v/>
      </c>
      <c r="E956">
        <f>'Grid_Stock'!C9</f>
        <v/>
      </c>
      <c r="F956">
        <f>'Grid_Stock'!D9</f>
        <v/>
      </c>
      <c r="G956">
        <f>'Grid_Stock'!E9</f>
        <v/>
      </c>
      <c r="H956">
        <f>'Grid_Stock'!F9</f>
        <v/>
      </c>
      <c r="I956">
        <f>'Grid_Stock'!G9</f>
        <v/>
      </c>
      <c r="J956">
        <f>'Grid_Stock'!H9</f>
        <v/>
      </c>
      <c r="K956">
        <f>'Grid_Stock'!I9</f>
        <v/>
      </c>
      <c r="L956">
        <f>'Grid_Stock'!J9</f>
        <v/>
      </c>
      <c r="M956">
        <f>'Grid_Stock'!K9</f>
        <v/>
      </c>
      <c r="N956">
        <f>'Grid_Stock'!L9</f>
        <v/>
      </c>
      <c r="O956">
        <f>'Grid_Stock'!M9</f>
        <v/>
      </c>
      <c r="P956">
        <f>'Grid_Stock'!N9</f>
        <v/>
      </c>
      <c r="Q956">
        <f>'Grid_Stock'!O9</f>
        <v/>
      </c>
      <c r="R956">
        <f>'Grid_Stock'!P9</f>
        <v/>
      </c>
      <c r="S956">
        <f>'Grid_Stock'!Q9</f>
        <v/>
      </c>
      <c r="T956">
        <f>'Grid_Stock'!R9</f>
        <v/>
      </c>
      <c r="U956">
        <f>'Grid_Stock'!S9</f>
        <v/>
      </c>
      <c r="V956">
        <f>'Grid_Stock'!T9</f>
        <v/>
      </c>
      <c r="W956">
        <f>'Grid_Stock'!U9</f>
        <v/>
      </c>
      <c r="X956">
        <f>'Grid_Stock'!V9</f>
        <v/>
      </c>
      <c r="Y956">
        <f>'Grid_Stock'!W9</f>
        <v/>
      </c>
      <c r="Z956">
        <f>'Grid_Stock'!X9</f>
        <v/>
      </c>
      <c r="AA956">
        <f>'Grid_Stock'!Y9</f>
        <v/>
      </c>
      <c r="AB956">
        <f>'Grid_Stock'!Z9</f>
        <v/>
      </c>
      <c r="AC956">
        <f>'Grid_Stock'!AA9</f>
        <v/>
      </c>
      <c r="AD956">
        <f>'Grid_Stock'!AB9</f>
        <v/>
      </c>
      <c r="AE956">
        <f>'Grid_Stock'!AC9</f>
        <v/>
      </c>
      <c r="AF956">
        <f>'Grid_Stock'!AD9</f>
        <v/>
      </c>
      <c r="AG956">
        <f>'Grid_Stock'!AE9</f>
        <v/>
      </c>
      <c r="AH956">
        <f>'Grid_Stock'!AF9</f>
        <v/>
      </c>
      <c r="AI956">
        <f>'Grid_Stock'!AG9</f>
        <v/>
      </c>
      <c r="AJ956">
        <f>'Grid_Stock'!AH9</f>
        <v/>
      </c>
      <c r="AK956">
        <f>'Grid_Stock'!AI9</f>
        <v/>
      </c>
      <c r="AL956">
        <f>'Grid_Stock'!AJ9</f>
        <v/>
      </c>
      <c r="AM956">
        <f>'Grid_Stock'!AK9</f>
        <v/>
      </c>
      <c r="AN956">
        <f>'Grid_Stock'!AL9</f>
        <v/>
      </c>
      <c r="AO956">
        <f>'Grid_Stock'!AM9</f>
        <v/>
      </c>
      <c r="AP956">
        <f>'Grid_Stock'!AN9</f>
        <v/>
      </c>
      <c r="AQ956">
        <f>'Grid_Stock'!AO9</f>
        <v/>
      </c>
      <c r="AR956">
        <f>'Grid_Stock'!AP9</f>
        <v/>
      </c>
      <c r="AS956">
        <f>'Grid_Stock'!AQ9</f>
        <v/>
      </c>
      <c r="AT956">
        <f>'Grid_Stock'!AR9</f>
        <v/>
      </c>
      <c r="AU956">
        <f>'Grid_Stock'!AS9</f>
        <v/>
      </c>
      <c r="AV956">
        <f>'Grid_Stock'!AT9</f>
        <v/>
      </c>
      <c r="AW956">
        <f>'Grid_Stock'!AU9</f>
        <v/>
      </c>
      <c r="AX956">
        <f>'Grid_Stock'!AV9</f>
        <v/>
      </c>
      <c r="AY956">
        <f>'Grid_Stock'!AW9</f>
        <v/>
      </c>
      <c r="AZ956">
        <f>'Grid_Stock'!AX9</f>
        <v/>
      </c>
      <c r="BA956">
        <f>'Grid_Stock'!AY9</f>
        <v/>
      </c>
      <c r="BB956">
        <f>'Grid_Stock'!AZ9</f>
        <v/>
      </c>
      <c r="BC956">
        <f>'Grid_Stock'!BA9</f>
        <v/>
      </c>
      <c r="BD956">
        <f>'Grid_Stock'!BB9</f>
        <v/>
      </c>
      <c r="BE956">
        <f>'Grid_Stock'!BC9</f>
        <v/>
      </c>
      <c r="BF956">
        <f>'Grid_Stock'!BD9</f>
        <v/>
      </c>
      <c r="BG956">
        <f>'Grid_Stock'!BE9</f>
        <v/>
      </c>
      <c r="BH956">
        <f>'Grid_Stock'!BF9</f>
        <v/>
      </c>
      <c r="BI956">
        <f>'Grid_Stock'!BG9</f>
        <v/>
      </c>
      <c r="BJ956">
        <f>'Grid_Stock'!BH9</f>
        <v/>
      </c>
      <c r="BK956">
        <f>'Grid_Stock'!BI9</f>
        <v/>
      </c>
      <c r="BL956">
        <f>'Grid_Stock'!BJ9</f>
        <v/>
      </c>
      <c r="BM956">
        <f>'Grid_Stock'!BK9</f>
        <v/>
      </c>
      <c r="BN956">
        <f>'Grid_Stock'!BL9</f>
        <v/>
      </c>
      <c r="BO956">
        <f>'Grid_Stock'!BM9</f>
        <v/>
      </c>
      <c r="BP956">
        <f>'Grid_Stock'!BN9</f>
        <v/>
      </c>
      <c r="BQ956">
        <f>'Grid_Stock'!BO9</f>
        <v/>
      </c>
      <c r="BR956">
        <f>'Grid_Stock'!BP9</f>
        <v/>
      </c>
      <c r="BS956">
        <f>'Grid_Stock'!BQ9</f>
        <v/>
      </c>
      <c r="BT956">
        <f>'Grid_Stock'!BR9</f>
        <v/>
      </c>
      <c r="BU956">
        <f>'Grid_Stock'!BS9</f>
        <v/>
      </c>
      <c r="BV956">
        <f>'Grid_Stock'!BT9</f>
        <v/>
      </c>
      <c r="BW956">
        <f>'Grid_Stock'!BU9</f>
        <v/>
      </c>
      <c r="BX956">
        <f>'Grid_Stock'!BV9</f>
        <v/>
      </c>
      <c r="BY956">
        <f>'Grid_Stock'!BW9</f>
        <v/>
      </c>
      <c r="BZ956">
        <f>'Grid_Stock'!BX9</f>
        <v/>
      </c>
      <c r="CA956">
        <f>'Grid_Stock'!BY9</f>
        <v/>
      </c>
      <c r="CB956">
        <f>'Grid_Stock'!BZ9</f>
        <v/>
      </c>
      <c r="CC956">
        <f>'Grid_Stock'!CA9</f>
        <v/>
      </c>
      <c r="CD956">
        <f>'Grid_Stock'!CB9</f>
        <v/>
      </c>
      <c r="CE956">
        <f>'Grid_Stock'!CC9</f>
        <v/>
      </c>
      <c r="CF956">
        <f>'Grid_Stock'!CD9</f>
        <v/>
      </c>
      <c r="CG956">
        <f>'Grid_Stock'!CE9</f>
        <v/>
      </c>
      <c r="CH956">
        <f>'Grid_Stock'!CF9</f>
        <v/>
      </c>
      <c r="CI956">
        <f>'Grid_Stock'!CG9</f>
        <v/>
      </c>
      <c r="CJ956">
        <f>'Grid_Stock'!CH9</f>
        <v/>
      </c>
      <c r="CK956">
        <f>'Grid_Stock'!CI9</f>
        <v/>
      </c>
      <c r="CL956">
        <f>'Grid_Stock'!CJ9</f>
        <v/>
      </c>
      <c r="CM956">
        <f>'Grid_Stock'!CK9</f>
        <v/>
      </c>
      <c r="CN956">
        <f>'Grid_Stock'!CL9</f>
        <v/>
      </c>
      <c r="CO956">
        <f>'Grid_Stock'!CM9</f>
        <v/>
      </c>
      <c r="CP956">
        <f>'Grid_Stock'!CN9</f>
        <v/>
      </c>
      <c r="CQ956">
        <f>'Grid_Stock'!CO9</f>
        <v/>
      </c>
      <c r="CR956">
        <f>'Grid_Stock'!CP9</f>
        <v/>
      </c>
      <c r="CS956">
        <f>'Grid_Stock'!CQ9</f>
        <v/>
      </c>
      <c r="CT956">
        <f>'Grid_Stock'!CR9</f>
        <v/>
      </c>
      <c r="CU956">
        <f>'Grid_Stock'!CS9</f>
        <v/>
      </c>
      <c r="CV956">
        <f>'Grid_Stock'!CT9</f>
        <v/>
      </c>
      <c r="CW956">
        <f>'Grid_Stock'!CU9</f>
        <v/>
      </c>
      <c r="CX956">
        <f>'Grid_Stock'!CV9</f>
        <v/>
      </c>
      <c r="CY956">
        <f>'Grid_Stock'!CW9</f>
        <v/>
      </c>
      <c r="CZ956">
        <f>'Grid_Stock'!CX9</f>
        <v/>
      </c>
      <c r="DA956">
        <f>'Grid_Stock'!CY9</f>
        <v/>
      </c>
      <c r="DB956">
        <f>'Grid_Stock'!CZ9</f>
        <v/>
      </c>
      <c r="DC956">
        <f>'Grid_Stock'!DA9</f>
        <v/>
      </c>
    </row>
    <row r="957">
      <c r="B957" s="16" t="inlineStr">
        <is>
          <t>（発注の目安はDashboardの基準在庫[下限/上限]と色分けを参照）</t>
        </is>
      </c>
    </row>
    <row r="959">
      <c r="A959" s="14" t="inlineStr">
        <is>
          <t>CHEM-1760</t>
        </is>
      </c>
      <c r="B959" s="14" t="inlineStr">
        <is>
          <t>Pigment(TC RED FD(A))</t>
        </is>
      </c>
      <c r="C959" s="15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  <c r="AA959" s="14" t="n"/>
      <c r="AB959" s="14" t="n"/>
      <c r="AC959" s="14" t="n"/>
      <c r="AD959" s="14" t="n"/>
      <c r="AE959" s="14" t="n"/>
      <c r="AF959" s="14" t="n"/>
      <c r="AG959" s="14" t="n"/>
      <c r="AH959" s="14" t="n"/>
      <c r="AI959" s="14" t="n"/>
      <c r="AJ959" s="14" t="n"/>
      <c r="AK959" s="14" t="n"/>
      <c r="AL959" s="14" t="n"/>
      <c r="AM959" s="14" t="n"/>
      <c r="AN959" s="14" t="n"/>
      <c r="AO959" s="14" t="n"/>
      <c r="AP959" s="14" t="n"/>
      <c r="AQ959" s="14" t="n"/>
      <c r="AR959" s="14" t="n"/>
      <c r="AS959" s="14" t="n"/>
      <c r="AT959" s="14" t="n"/>
      <c r="AU959" s="14" t="n"/>
      <c r="AV959" s="14" t="n"/>
      <c r="AW959" s="14" t="n"/>
      <c r="AX959" s="14" t="n"/>
      <c r="AY959" s="14" t="n"/>
      <c r="AZ959" s="14" t="n"/>
      <c r="BA959" s="14" t="n"/>
      <c r="BB959" s="14" t="n"/>
      <c r="BC959" s="14" t="n"/>
      <c r="BD959" s="14" t="n"/>
      <c r="BE959" s="14" t="n"/>
      <c r="BF959" s="14" t="n"/>
      <c r="BG959" s="14" t="n"/>
      <c r="BH959" s="14" t="n"/>
      <c r="BI959" s="14" t="n"/>
      <c r="BJ959" s="14" t="n"/>
      <c r="BK959" s="14" t="n"/>
      <c r="BL959" s="14" t="n"/>
      <c r="BM959" s="14" t="n"/>
      <c r="BN959" s="14" t="n"/>
      <c r="BO959" s="14" t="n"/>
      <c r="BP959" s="14" t="n"/>
      <c r="BQ959" s="14" t="n"/>
      <c r="BR959" s="14" t="n"/>
      <c r="BS959" s="14" t="n"/>
      <c r="BT959" s="14" t="n"/>
      <c r="BU959" s="14" t="n"/>
      <c r="BV959" s="14" t="n"/>
      <c r="BW959" s="14" t="n"/>
      <c r="BX959" s="14" t="n"/>
      <c r="BY959" s="14" t="n"/>
      <c r="BZ959" s="14" t="n"/>
      <c r="CA959" s="14" t="n"/>
      <c r="CB959" s="14" t="n"/>
      <c r="CC959" s="14" t="n"/>
      <c r="CD959" s="14" t="n"/>
      <c r="CE959" s="14" t="n"/>
      <c r="CF959" s="14" t="n"/>
      <c r="CG959" s="14" t="n"/>
      <c r="CH959" s="14" t="n"/>
      <c r="CI959" s="14" t="n"/>
      <c r="CJ959" s="14" t="n"/>
      <c r="CK959" s="14" t="n"/>
      <c r="CL959" s="14" t="n"/>
      <c r="CM959" s="14" t="n"/>
      <c r="CN959" s="14" t="n"/>
      <c r="CO959" s="14" t="n"/>
      <c r="CP959" s="14" t="n"/>
      <c r="CQ959" s="14" t="n"/>
      <c r="CR959" s="14" t="n"/>
      <c r="CS959" s="14" t="n"/>
      <c r="CT959" s="14" t="n"/>
      <c r="CU959" s="14" t="n"/>
      <c r="CV959" s="14" t="n"/>
      <c r="CW959" s="14" t="n"/>
      <c r="CX959" s="14" t="n"/>
      <c r="CY959" s="14" t="n"/>
      <c r="CZ959" s="14" t="n"/>
      <c r="DA959" s="14" t="n"/>
      <c r="DB959" s="14" t="n"/>
      <c r="DC959" s="14" t="n"/>
    </row>
    <row r="960">
      <c r="B960" t="inlineStr">
        <is>
          <t>TVS-833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Name],$A959)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TVS-267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Name],$A959)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TVS-500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Name],$A959)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s="4" t="inlineStr">
        <is>
          <t>合計使用量(kg)/週</t>
        </is>
      </c>
      <c r="D966">
        <f>'Grid_Requirement'!B23</f>
        <v/>
      </c>
      <c r="E966">
        <f>'Grid_Requirement'!C23</f>
        <v/>
      </c>
      <c r="F966">
        <f>'Grid_Requirement'!D23</f>
        <v/>
      </c>
      <c r="G966">
        <f>'Grid_Requirement'!E23</f>
        <v/>
      </c>
      <c r="H966">
        <f>'Grid_Requirement'!F23</f>
        <v/>
      </c>
      <c r="I966">
        <f>'Grid_Requirement'!G23</f>
        <v/>
      </c>
      <c r="J966">
        <f>'Grid_Requirement'!H23</f>
        <v/>
      </c>
      <c r="K966">
        <f>'Grid_Requirement'!I23</f>
        <v/>
      </c>
      <c r="L966">
        <f>'Grid_Requirement'!J23</f>
        <v/>
      </c>
      <c r="M966">
        <f>'Grid_Requirement'!K23</f>
        <v/>
      </c>
      <c r="N966">
        <f>'Grid_Requirement'!L23</f>
        <v/>
      </c>
      <c r="O966">
        <f>'Grid_Requirement'!M23</f>
        <v/>
      </c>
      <c r="P966">
        <f>'Grid_Requirement'!N23</f>
        <v/>
      </c>
      <c r="Q966">
        <f>'Grid_Requirement'!O23</f>
        <v/>
      </c>
      <c r="R966">
        <f>'Grid_Requirement'!P23</f>
        <v/>
      </c>
      <c r="S966">
        <f>'Grid_Requirement'!Q23</f>
        <v/>
      </c>
      <c r="T966">
        <f>'Grid_Requirement'!R23</f>
        <v/>
      </c>
      <c r="U966">
        <f>'Grid_Requirement'!S23</f>
        <v/>
      </c>
      <c r="V966">
        <f>'Grid_Requirement'!T23</f>
        <v/>
      </c>
      <c r="W966">
        <f>'Grid_Requirement'!U23</f>
        <v/>
      </c>
      <c r="X966">
        <f>'Grid_Requirement'!V23</f>
        <v/>
      </c>
      <c r="Y966">
        <f>'Grid_Requirement'!W23</f>
        <v/>
      </c>
      <c r="Z966">
        <f>'Grid_Requirement'!X23</f>
        <v/>
      </c>
      <c r="AA966">
        <f>'Grid_Requirement'!Y23</f>
        <v/>
      </c>
      <c r="AB966">
        <f>'Grid_Requirement'!Z23</f>
        <v/>
      </c>
      <c r="AC966">
        <f>'Grid_Requirement'!AA23</f>
        <v/>
      </c>
      <c r="AD966">
        <f>'Grid_Requirement'!AB23</f>
        <v/>
      </c>
      <c r="AE966">
        <f>'Grid_Requirement'!AC23</f>
        <v/>
      </c>
      <c r="AF966">
        <f>'Grid_Requirement'!AD23</f>
        <v/>
      </c>
      <c r="AG966">
        <f>'Grid_Requirement'!AE23</f>
        <v/>
      </c>
      <c r="AH966">
        <f>'Grid_Requirement'!AF23</f>
        <v/>
      </c>
      <c r="AI966">
        <f>'Grid_Requirement'!AG23</f>
        <v/>
      </c>
      <c r="AJ966">
        <f>'Grid_Requirement'!AH23</f>
        <v/>
      </c>
      <c r="AK966">
        <f>'Grid_Requirement'!AI23</f>
        <v/>
      </c>
      <c r="AL966">
        <f>'Grid_Requirement'!AJ23</f>
        <v/>
      </c>
      <c r="AM966">
        <f>'Grid_Requirement'!AK23</f>
        <v/>
      </c>
      <c r="AN966">
        <f>'Grid_Requirement'!AL23</f>
        <v/>
      </c>
      <c r="AO966">
        <f>'Grid_Requirement'!AM23</f>
        <v/>
      </c>
      <c r="AP966">
        <f>'Grid_Requirement'!AN23</f>
        <v/>
      </c>
      <c r="AQ966">
        <f>'Grid_Requirement'!AO23</f>
        <v/>
      </c>
      <c r="AR966">
        <f>'Grid_Requirement'!AP23</f>
        <v/>
      </c>
      <c r="AS966">
        <f>'Grid_Requirement'!AQ23</f>
        <v/>
      </c>
      <c r="AT966">
        <f>'Grid_Requirement'!AR23</f>
        <v/>
      </c>
      <c r="AU966">
        <f>'Grid_Requirement'!AS23</f>
        <v/>
      </c>
      <c r="AV966">
        <f>'Grid_Requirement'!AT23</f>
        <v/>
      </c>
      <c r="AW966">
        <f>'Grid_Requirement'!AU23</f>
        <v/>
      </c>
      <c r="AX966">
        <f>'Grid_Requirement'!AV23</f>
        <v/>
      </c>
      <c r="AY966">
        <f>'Grid_Requirement'!AW23</f>
        <v/>
      </c>
      <c r="AZ966">
        <f>'Grid_Requirement'!AX23</f>
        <v/>
      </c>
      <c r="BA966">
        <f>'Grid_Requirement'!AY23</f>
        <v/>
      </c>
      <c r="BB966">
        <f>'Grid_Requirement'!AZ23</f>
        <v/>
      </c>
      <c r="BC966">
        <f>'Grid_Requirement'!BA23</f>
        <v/>
      </c>
      <c r="BD966">
        <f>'Grid_Requirement'!BB23</f>
        <v/>
      </c>
      <c r="BE966">
        <f>'Grid_Requirement'!BC23</f>
        <v/>
      </c>
      <c r="BF966">
        <f>'Grid_Requirement'!BD23</f>
        <v/>
      </c>
      <c r="BG966">
        <f>'Grid_Requirement'!BE23</f>
        <v/>
      </c>
      <c r="BH966">
        <f>'Grid_Requirement'!BF23</f>
        <v/>
      </c>
      <c r="BI966">
        <f>'Grid_Requirement'!BG23</f>
        <v/>
      </c>
      <c r="BJ966">
        <f>'Grid_Requirement'!BH23</f>
        <v/>
      </c>
      <c r="BK966">
        <f>'Grid_Requirement'!BI23</f>
        <v/>
      </c>
      <c r="BL966">
        <f>'Grid_Requirement'!BJ23</f>
        <v/>
      </c>
      <c r="BM966">
        <f>'Grid_Requirement'!BK23</f>
        <v/>
      </c>
      <c r="BN966">
        <f>'Grid_Requirement'!BL23</f>
        <v/>
      </c>
      <c r="BO966">
        <f>'Grid_Requirement'!BM23</f>
        <v/>
      </c>
      <c r="BP966">
        <f>'Grid_Requirement'!BN23</f>
        <v/>
      </c>
      <c r="BQ966">
        <f>'Grid_Requirement'!BO23</f>
        <v/>
      </c>
      <c r="BR966">
        <f>'Grid_Requirement'!BP23</f>
        <v/>
      </c>
      <c r="BS966">
        <f>'Grid_Requirement'!BQ23</f>
        <v/>
      </c>
      <c r="BT966">
        <f>'Grid_Requirement'!BR23</f>
        <v/>
      </c>
      <c r="BU966">
        <f>'Grid_Requirement'!BS23</f>
        <v/>
      </c>
      <c r="BV966">
        <f>'Grid_Requirement'!BT23</f>
        <v/>
      </c>
      <c r="BW966">
        <f>'Grid_Requirement'!BU23</f>
        <v/>
      </c>
      <c r="BX966">
        <f>'Grid_Requirement'!BV23</f>
        <v/>
      </c>
      <c r="BY966">
        <f>'Grid_Requirement'!BW23</f>
        <v/>
      </c>
      <c r="BZ966">
        <f>'Grid_Requirement'!BX23</f>
        <v/>
      </c>
      <c r="CA966">
        <f>'Grid_Requirement'!BY23</f>
        <v/>
      </c>
      <c r="CB966">
        <f>'Grid_Requirement'!BZ23</f>
        <v/>
      </c>
      <c r="CC966">
        <f>'Grid_Requirement'!CA23</f>
        <v/>
      </c>
      <c r="CD966">
        <f>'Grid_Requirement'!CB23</f>
        <v/>
      </c>
      <c r="CE966">
        <f>'Grid_Requirement'!CC23</f>
        <v/>
      </c>
      <c r="CF966">
        <f>'Grid_Requirement'!CD23</f>
        <v/>
      </c>
      <c r="CG966">
        <f>'Grid_Requirement'!CE23</f>
        <v/>
      </c>
      <c r="CH966">
        <f>'Grid_Requirement'!CF23</f>
        <v/>
      </c>
      <c r="CI966">
        <f>'Grid_Requirement'!CG23</f>
        <v/>
      </c>
      <c r="CJ966">
        <f>'Grid_Requirement'!CH23</f>
        <v/>
      </c>
      <c r="CK966">
        <f>'Grid_Requirement'!CI23</f>
        <v/>
      </c>
      <c r="CL966">
        <f>'Grid_Requirement'!CJ23</f>
        <v/>
      </c>
      <c r="CM966">
        <f>'Grid_Requirement'!CK23</f>
        <v/>
      </c>
      <c r="CN966">
        <f>'Grid_Requirement'!CL23</f>
        <v/>
      </c>
      <c r="CO966">
        <f>'Grid_Requirement'!CM23</f>
        <v/>
      </c>
      <c r="CP966">
        <f>'Grid_Requirement'!CN23</f>
        <v/>
      </c>
      <c r="CQ966">
        <f>'Grid_Requirement'!CO23</f>
        <v/>
      </c>
      <c r="CR966">
        <f>'Grid_Requirement'!CP23</f>
        <v/>
      </c>
      <c r="CS966">
        <f>'Grid_Requirement'!CQ23</f>
        <v/>
      </c>
      <c r="CT966">
        <f>'Grid_Requirement'!CR23</f>
        <v/>
      </c>
      <c r="CU966">
        <f>'Grid_Requirement'!CS23</f>
        <v/>
      </c>
      <c r="CV966">
        <f>'Grid_Requirement'!CT23</f>
        <v/>
      </c>
      <c r="CW966">
        <f>'Grid_Requirement'!CU23</f>
        <v/>
      </c>
      <c r="CX966">
        <f>'Grid_Requirement'!CV23</f>
        <v/>
      </c>
      <c r="CY966">
        <f>'Grid_Requirement'!CW23</f>
        <v/>
      </c>
      <c r="CZ966">
        <f>'Grid_Requirement'!CX23</f>
        <v/>
      </c>
      <c r="DA966">
        <f>'Grid_Requirement'!CY23</f>
        <v/>
      </c>
      <c r="DB966">
        <f>'Grid_Requirement'!CZ23</f>
        <v/>
      </c>
      <c r="DC966">
        <f>'Grid_Requirement'!DA23</f>
        <v/>
      </c>
    </row>
    <row r="967">
      <c r="B967" t="inlineStr">
        <is>
          <t>TTAF在庫(実績,kg)</t>
        </is>
      </c>
      <c r="D967">
        <f>'T_TTAFStock'!B27</f>
        <v/>
      </c>
      <c r="E967">
        <f>'T_TTAFStock'!C27</f>
        <v/>
      </c>
      <c r="F967">
        <f>'T_TTAFStock'!D27</f>
        <v/>
      </c>
      <c r="G967">
        <f>'T_TTAFStock'!E27</f>
        <v/>
      </c>
      <c r="H967">
        <f>'T_TTAFStock'!F27</f>
        <v/>
      </c>
      <c r="I967">
        <f>'T_TTAFStock'!G27</f>
        <v/>
      </c>
      <c r="J967">
        <f>'T_TTAFStock'!H27</f>
        <v/>
      </c>
      <c r="K967">
        <f>'T_TTAFStock'!I27</f>
        <v/>
      </c>
      <c r="L967">
        <f>'T_TTAFStock'!J27</f>
        <v/>
      </c>
      <c r="M967">
        <f>'T_TTAFStock'!K27</f>
        <v/>
      </c>
      <c r="N967">
        <f>'T_TTAFStock'!L27</f>
        <v/>
      </c>
      <c r="O967">
        <f>'T_TTAFStock'!M27</f>
        <v/>
      </c>
      <c r="P967">
        <f>'T_TTAFStock'!N27</f>
        <v/>
      </c>
      <c r="Q967">
        <f>'T_TTAFStock'!O27</f>
        <v/>
      </c>
      <c r="R967">
        <f>'T_TTAFStock'!P27</f>
        <v/>
      </c>
      <c r="S967">
        <f>'T_TTAFStock'!Q27</f>
        <v/>
      </c>
      <c r="T967">
        <f>'T_TTAFStock'!R27</f>
        <v/>
      </c>
      <c r="U967">
        <f>'T_TTAFStock'!S27</f>
        <v/>
      </c>
      <c r="V967">
        <f>'T_TTAFStock'!T27</f>
        <v/>
      </c>
      <c r="W967">
        <f>'T_TTAFStock'!U27</f>
        <v/>
      </c>
      <c r="X967">
        <f>'T_TTAFStock'!V27</f>
        <v/>
      </c>
      <c r="Y967">
        <f>'T_TTAFStock'!W27</f>
        <v/>
      </c>
      <c r="Z967">
        <f>'T_TTAFStock'!X27</f>
        <v/>
      </c>
      <c r="AA967">
        <f>'T_TTAFStock'!Y27</f>
        <v/>
      </c>
      <c r="AB967">
        <f>'T_TTAFStock'!Z27</f>
        <v/>
      </c>
      <c r="AC967">
        <f>'T_TTAFStock'!AA27</f>
        <v/>
      </c>
      <c r="AD967">
        <f>'T_TTAFStock'!AB27</f>
        <v/>
      </c>
      <c r="AE967">
        <f>'T_TTAFStock'!AC27</f>
        <v/>
      </c>
      <c r="AF967">
        <f>'T_TTAFStock'!AD27</f>
        <v/>
      </c>
      <c r="AG967">
        <f>'T_TTAFStock'!AE27</f>
        <v/>
      </c>
      <c r="AH967">
        <f>'T_TTAFStock'!AF27</f>
        <v/>
      </c>
      <c r="AI967">
        <f>'T_TTAFStock'!AG27</f>
        <v/>
      </c>
      <c r="AJ967">
        <f>'T_TTAFStock'!AH27</f>
        <v/>
      </c>
      <c r="AK967">
        <f>'T_TTAFStock'!AI27</f>
        <v/>
      </c>
      <c r="AL967">
        <f>'T_TTAFStock'!AJ27</f>
        <v/>
      </c>
      <c r="AM967">
        <f>'T_TTAFStock'!AK27</f>
        <v/>
      </c>
      <c r="AN967">
        <f>'T_TTAFStock'!AL27</f>
        <v/>
      </c>
      <c r="AO967">
        <f>'T_TTAFStock'!AM27</f>
        <v/>
      </c>
      <c r="AP967">
        <f>'T_TTAFStock'!AN27</f>
        <v/>
      </c>
      <c r="AQ967">
        <f>'T_TTAFStock'!AO27</f>
        <v/>
      </c>
      <c r="AR967">
        <f>'T_TTAFStock'!AP27</f>
        <v/>
      </c>
      <c r="AS967">
        <f>'T_TTAFStock'!AQ27</f>
        <v/>
      </c>
      <c r="AT967">
        <f>'T_TTAFStock'!AR27</f>
        <v/>
      </c>
      <c r="AU967">
        <f>'T_TTAFStock'!AS27</f>
        <v/>
      </c>
      <c r="AV967">
        <f>'T_TTAFStock'!AT27</f>
        <v/>
      </c>
      <c r="AW967">
        <f>'T_TTAFStock'!AU27</f>
        <v/>
      </c>
      <c r="AX967">
        <f>'T_TTAFStock'!AV27</f>
        <v/>
      </c>
      <c r="AY967">
        <f>'T_TTAFStock'!AW27</f>
        <v/>
      </c>
      <c r="AZ967">
        <f>'T_TTAFStock'!AX27</f>
        <v/>
      </c>
      <c r="BA967">
        <f>'T_TTAFStock'!AY27</f>
        <v/>
      </c>
      <c r="BB967">
        <f>'T_TTAFStock'!AZ27</f>
        <v/>
      </c>
      <c r="BC967">
        <f>'T_TTAFStock'!BA27</f>
        <v/>
      </c>
      <c r="BD967">
        <f>'T_TTAFStock'!BB27</f>
        <v/>
      </c>
      <c r="BE967">
        <f>'T_TTAFStock'!BC27</f>
        <v/>
      </c>
      <c r="BF967">
        <f>'T_TTAFStock'!BD27</f>
        <v/>
      </c>
      <c r="BG967">
        <f>'T_TTAFStock'!BE27</f>
        <v/>
      </c>
      <c r="BH967">
        <f>'T_TTAFStock'!BF27</f>
        <v/>
      </c>
      <c r="BI967">
        <f>'T_TTAFStock'!BG27</f>
        <v/>
      </c>
      <c r="BJ967">
        <f>'T_TTAFStock'!BH27</f>
        <v/>
      </c>
      <c r="BK967">
        <f>'T_TTAFStock'!BI27</f>
        <v/>
      </c>
      <c r="BL967">
        <f>'T_TTAFStock'!BJ27</f>
        <v/>
      </c>
      <c r="BM967">
        <f>'T_TTAFStock'!BK27</f>
        <v/>
      </c>
      <c r="BN967">
        <f>'T_TTAFStock'!BL27</f>
        <v/>
      </c>
      <c r="BO967">
        <f>'T_TTAFStock'!BM27</f>
        <v/>
      </c>
      <c r="BP967">
        <f>'T_TTAFStock'!BN27</f>
        <v/>
      </c>
      <c r="BQ967">
        <f>'T_TTAFStock'!BO27</f>
        <v/>
      </c>
      <c r="BR967">
        <f>'T_TTAFStock'!BP27</f>
        <v/>
      </c>
      <c r="BS967">
        <f>'T_TTAFStock'!BQ27</f>
        <v/>
      </c>
      <c r="BT967">
        <f>'T_TTAFStock'!BR27</f>
        <v/>
      </c>
      <c r="BU967">
        <f>'T_TTAFStock'!BS27</f>
        <v/>
      </c>
      <c r="BV967">
        <f>'T_TTAFStock'!BT27</f>
        <v/>
      </c>
      <c r="BW967">
        <f>'T_TTAFStock'!BU27</f>
        <v/>
      </c>
      <c r="BX967">
        <f>'T_TTAFStock'!BV27</f>
        <v/>
      </c>
      <c r="BY967">
        <f>'T_TTAFStock'!BW27</f>
        <v/>
      </c>
      <c r="BZ967">
        <f>'T_TTAFStock'!BX27</f>
        <v/>
      </c>
      <c r="CA967">
        <f>'T_TTAFStock'!BY27</f>
        <v/>
      </c>
      <c r="CB967">
        <f>'T_TTAFStock'!BZ27</f>
        <v/>
      </c>
      <c r="CC967">
        <f>'T_TTAFStock'!CA27</f>
        <v/>
      </c>
      <c r="CD967">
        <f>'T_TTAFStock'!CB27</f>
        <v/>
      </c>
      <c r="CE967">
        <f>'T_TTAFStock'!CC27</f>
        <v/>
      </c>
      <c r="CF967">
        <f>'T_TTAFStock'!CD27</f>
        <v/>
      </c>
      <c r="CG967">
        <f>'T_TTAFStock'!CE27</f>
        <v/>
      </c>
      <c r="CH967">
        <f>'T_TTAFStock'!CF27</f>
        <v/>
      </c>
      <c r="CI967">
        <f>'T_TTAFStock'!CG27</f>
        <v/>
      </c>
      <c r="CJ967">
        <f>'T_TTAFStock'!CH27</f>
        <v/>
      </c>
      <c r="CK967">
        <f>'T_TTAFStock'!CI27</f>
        <v/>
      </c>
      <c r="CL967">
        <f>'T_TTAFStock'!CJ27</f>
        <v/>
      </c>
      <c r="CM967">
        <f>'T_TTAFStock'!CK27</f>
        <v/>
      </c>
      <c r="CN967">
        <f>'T_TTAFStock'!CL27</f>
        <v/>
      </c>
      <c r="CO967">
        <f>'T_TTAFStock'!CM27</f>
        <v/>
      </c>
      <c r="CP967">
        <f>'T_TTAFStock'!CN27</f>
        <v/>
      </c>
      <c r="CQ967">
        <f>'T_TTAFStock'!CO27</f>
        <v/>
      </c>
      <c r="CR967">
        <f>'T_TTAFStock'!CP27</f>
        <v/>
      </c>
      <c r="CS967">
        <f>'T_TTAFStock'!CQ27</f>
        <v/>
      </c>
      <c r="CT967">
        <f>'T_TTAFStock'!CR27</f>
        <v/>
      </c>
      <c r="CU967">
        <f>'T_TTAFStock'!CS27</f>
        <v/>
      </c>
      <c r="CV967">
        <f>'T_TTAFStock'!CT27</f>
        <v/>
      </c>
      <c r="CW967">
        <f>'T_TTAFStock'!CU27</f>
        <v/>
      </c>
      <c r="CX967">
        <f>'T_TTAFStock'!CV27</f>
        <v/>
      </c>
      <c r="CY967">
        <f>'T_TTAFStock'!CW27</f>
        <v/>
      </c>
      <c r="CZ967">
        <f>'T_TTAFStock'!CX27</f>
        <v/>
      </c>
      <c r="DA967">
        <f>'T_TTAFStock'!CY27</f>
        <v/>
      </c>
      <c r="DB967">
        <f>'T_TTAFStock'!CZ27</f>
        <v/>
      </c>
      <c r="DC967">
        <f>'T_TTAFStock'!DA27</f>
        <v/>
      </c>
    </row>
    <row r="968">
      <c r="B968" t="inlineStr">
        <is>
          <t>自社在庫(実績,kg)</t>
        </is>
      </c>
      <c r="D968">
        <f>'T_SelfStock'!B27</f>
        <v/>
      </c>
      <c r="E968">
        <f>'T_SelfStock'!C27</f>
        <v/>
      </c>
      <c r="F968">
        <f>'T_SelfStock'!D27</f>
        <v/>
      </c>
      <c r="G968">
        <f>'T_SelfStock'!E27</f>
        <v/>
      </c>
      <c r="H968">
        <f>'T_SelfStock'!F27</f>
        <v/>
      </c>
      <c r="I968">
        <f>'T_SelfStock'!G27</f>
        <v/>
      </c>
      <c r="J968">
        <f>'T_SelfStock'!H27</f>
        <v/>
      </c>
      <c r="K968">
        <f>'T_SelfStock'!I27</f>
        <v/>
      </c>
      <c r="L968">
        <f>'T_SelfStock'!J27</f>
        <v/>
      </c>
      <c r="M968">
        <f>'T_SelfStock'!K27</f>
        <v/>
      </c>
      <c r="N968">
        <f>'T_SelfStock'!L27</f>
        <v/>
      </c>
      <c r="O968">
        <f>'T_SelfStock'!M27</f>
        <v/>
      </c>
      <c r="P968">
        <f>'T_SelfStock'!N27</f>
        <v/>
      </c>
      <c r="Q968">
        <f>'T_SelfStock'!O27</f>
        <v/>
      </c>
      <c r="R968">
        <f>'T_SelfStock'!P27</f>
        <v/>
      </c>
      <c r="S968">
        <f>'T_SelfStock'!Q27</f>
        <v/>
      </c>
      <c r="T968">
        <f>'T_SelfStock'!R27</f>
        <v/>
      </c>
      <c r="U968">
        <f>'T_SelfStock'!S27</f>
        <v/>
      </c>
      <c r="V968">
        <f>'T_SelfStock'!T27</f>
        <v/>
      </c>
      <c r="W968">
        <f>'T_SelfStock'!U27</f>
        <v/>
      </c>
      <c r="X968">
        <f>'T_SelfStock'!V27</f>
        <v/>
      </c>
      <c r="Y968">
        <f>'T_SelfStock'!W27</f>
        <v/>
      </c>
      <c r="Z968">
        <f>'T_SelfStock'!X27</f>
        <v/>
      </c>
      <c r="AA968">
        <f>'T_SelfStock'!Y27</f>
        <v/>
      </c>
      <c r="AB968">
        <f>'T_SelfStock'!Z27</f>
        <v/>
      </c>
      <c r="AC968">
        <f>'T_SelfStock'!AA27</f>
        <v/>
      </c>
      <c r="AD968">
        <f>'T_SelfStock'!AB27</f>
        <v/>
      </c>
      <c r="AE968">
        <f>'T_SelfStock'!AC27</f>
        <v/>
      </c>
      <c r="AF968">
        <f>'T_SelfStock'!AD27</f>
        <v/>
      </c>
      <c r="AG968">
        <f>'T_SelfStock'!AE27</f>
        <v/>
      </c>
      <c r="AH968">
        <f>'T_SelfStock'!AF27</f>
        <v/>
      </c>
      <c r="AI968">
        <f>'T_SelfStock'!AG27</f>
        <v/>
      </c>
      <c r="AJ968">
        <f>'T_SelfStock'!AH27</f>
        <v/>
      </c>
      <c r="AK968">
        <f>'T_SelfStock'!AI27</f>
        <v/>
      </c>
      <c r="AL968">
        <f>'T_SelfStock'!AJ27</f>
        <v/>
      </c>
      <c r="AM968">
        <f>'T_SelfStock'!AK27</f>
        <v/>
      </c>
      <c r="AN968">
        <f>'T_SelfStock'!AL27</f>
        <v/>
      </c>
      <c r="AO968">
        <f>'T_SelfStock'!AM27</f>
        <v/>
      </c>
      <c r="AP968">
        <f>'T_SelfStock'!AN27</f>
        <v/>
      </c>
      <c r="AQ968">
        <f>'T_SelfStock'!AO27</f>
        <v/>
      </c>
      <c r="AR968">
        <f>'T_SelfStock'!AP27</f>
        <v/>
      </c>
      <c r="AS968">
        <f>'T_SelfStock'!AQ27</f>
        <v/>
      </c>
      <c r="AT968">
        <f>'T_SelfStock'!AR27</f>
        <v/>
      </c>
      <c r="AU968">
        <f>'T_SelfStock'!AS27</f>
        <v/>
      </c>
      <c r="AV968">
        <f>'T_SelfStock'!AT27</f>
        <v/>
      </c>
      <c r="AW968">
        <f>'T_SelfStock'!AU27</f>
        <v/>
      </c>
      <c r="AX968">
        <f>'T_SelfStock'!AV27</f>
        <v/>
      </c>
      <c r="AY968">
        <f>'T_SelfStock'!AW27</f>
        <v/>
      </c>
      <c r="AZ968">
        <f>'T_SelfStock'!AX27</f>
        <v/>
      </c>
      <c r="BA968">
        <f>'T_SelfStock'!AY27</f>
        <v/>
      </c>
      <c r="BB968">
        <f>'T_SelfStock'!AZ27</f>
        <v/>
      </c>
      <c r="BC968">
        <f>'T_SelfStock'!BA27</f>
        <v/>
      </c>
      <c r="BD968">
        <f>'T_SelfStock'!BB27</f>
        <v/>
      </c>
      <c r="BE968">
        <f>'T_SelfStock'!BC27</f>
        <v/>
      </c>
      <c r="BF968">
        <f>'T_SelfStock'!BD27</f>
        <v/>
      </c>
      <c r="BG968">
        <f>'T_SelfStock'!BE27</f>
        <v/>
      </c>
      <c r="BH968">
        <f>'T_SelfStock'!BF27</f>
        <v/>
      </c>
      <c r="BI968">
        <f>'T_SelfStock'!BG27</f>
        <v/>
      </c>
      <c r="BJ968">
        <f>'T_SelfStock'!BH27</f>
        <v/>
      </c>
      <c r="BK968">
        <f>'T_SelfStock'!BI27</f>
        <v/>
      </c>
      <c r="BL968">
        <f>'T_SelfStock'!BJ27</f>
        <v/>
      </c>
      <c r="BM968">
        <f>'T_SelfStock'!BK27</f>
        <v/>
      </c>
      <c r="BN968">
        <f>'T_SelfStock'!BL27</f>
        <v/>
      </c>
      <c r="BO968">
        <f>'T_SelfStock'!BM27</f>
        <v/>
      </c>
      <c r="BP968">
        <f>'T_SelfStock'!BN27</f>
        <v/>
      </c>
      <c r="BQ968">
        <f>'T_SelfStock'!BO27</f>
        <v/>
      </c>
      <c r="BR968">
        <f>'T_SelfStock'!BP27</f>
        <v/>
      </c>
      <c r="BS968">
        <f>'T_SelfStock'!BQ27</f>
        <v/>
      </c>
      <c r="BT968">
        <f>'T_SelfStock'!BR27</f>
        <v/>
      </c>
      <c r="BU968">
        <f>'T_SelfStock'!BS27</f>
        <v/>
      </c>
      <c r="BV968">
        <f>'T_SelfStock'!BT27</f>
        <v/>
      </c>
      <c r="BW968">
        <f>'T_SelfStock'!BU27</f>
        <v/>
      </c>
      <c r="BX968">
        <f>'T_SelfStock'!BV27</f>
        <v/>
      </c>
      <c r="BY968">
        <f>'T_SelfStock'!BW27</f>
        <v/>
      </c>
      <c r="BZ968">
        <f>'T_SelfStock'!BX27</f>
        <v/>
      </c>
      <c r="CA968">
        <f>'T_SelfStock'!BY27</f>
        <v/>
      </c>
      <c r="CB968">
        <f>'T_SelfStock'!BZ27</f>
        <v/>
      </c>
      <c r="CC968">
        <f>'T_SelfStock'!CA27</f>
        <v/>
      </c>
      <c r="CD968">
        <f>'T_SelfStock'!CB27</f>
        <v/>
      </c>
      <c r="CE968">
        <f>'T_SelfStock'!CC27</f>
        <v/>
      </c>
      <c r="CF968">
        <f>'T_SelfStock'!CD27</f>
        <v/>
      </c>
      <c r="CG968">
        <f>'T_SelfStock'!CE27</f>
        <v/>
      </c>
      <c r="CH968">
        <f>'T_SelfStock'!CF27</f>
        <v/>
      </c>
      <c r="CI968">
        <f>'T_SelfStock'!CG27</f>
        <v/>
      </c>
      <c r="CJ968">
        <f>'T_SelfStock'!CH27</f>
        <v/>
      </c>
      <c r="CK968">
        <f>'T_SelfStock'!CI27</f>
        <v/>
      </c>
      <c r="CL968">
        <f>'T_SelfStock'!CJ27</f>
        <v/>
      </c>
      <c r="CM968">
        <f>'T_SelfStock'!CK27</f>
        <v/>
      </c>
      <c r="CN968">
        <f>'T_SelfStock'!CL27</f>
        <v/>
      </c>
      <c r="CO968">
        <f>'T_SelfStock'!CM27</f>
        <v/>
      </c>
      <c r="CP968">
        <f>'T_SelfStock'!CN27</f>
        <v/>
      </c>
      <c r="CQ968">
        <f>'T_SelfStock'!CO27</f>
        <v/>
      </c>
      <c r="CR968">
        <f>'T_SelfStock'!CP27</f>
        <v/>
      </c>
      <c r="CS968">
        <f>'T_SelfStock'!CQ27</f>
        <v/>
      </c>
      <c r="CT968">
        <f>'T_SelfStock'!CR27</f>
        <v/>
      </c>
      <c r="CU968">
        <f>'T_SelfStock'!CS27</f>
        <v/>
      </c>
      <c r="CV968">
        <f>'T_SelfStock'!CT27</f>
        <v/>
      </c>
      <c r="CW968">
        <f>'T_SelfStock'!CU27</f>
        <v/>
      </c>
      <c r="CX968">
        <f>'T_SelfStock'!CV27</f>
        <v/>
      </c>
      <c r="CY968">
        <f>'T_SelfStock'!CW27</f>
        <v/>
      </c>
      <c r="CZ968">
        <f>'T_SelfStock'!CX27</f>
        <v/>
      </c>
      <c r="DA968">
        <f>'T_SelfStock'!CY27</f>
        <v/>
      </c>
      <c r="DB968">
        <f>'T_SelfStock'!CZ27</f>
        <v/>
      </c>
      <c r="DC968">
        <f>'T_SelfStock'!DA27</f>
        <v/>
      </c>
    </row>
    <row r="969">
      <c r="B969" t="inlineStr">
        <is>
          <t>Order(発注予定,kg)</t>
        </is>
      </c>
      <c r="D969">
        <f>IF(SUMIFS(T_PlannedOrders[EffectiveQty],T_PlannedOrders[Part Name],$A959,T_PlannedOrders[WeekIndex],1)=0,"",SUMIFS(T_PlannedOrders[EffectiveQty],T_PlannedOrders[Part Name],$A959,T_PlannedOrders[WeekIndex],1)&amp;" ("&amp;TEXT(SUMPRODUCT(MAX((T_PlannedOrders[Part Name]=$A959)*(T_PlannedOrders[WeekIndex]=1)*(T_PlannedOrders[EffectiveQty]&gt;0)*T_PlannedOrders[Order_Month])),"m月")&amp;"発注)")</f>
        <v/>
      </c>
      <c r="E969">
        <f>IF(SUMIFS(T_PlannedOrders[EffectiveQty],T_PlannedOrders[Part Name],$A959,T_PlannedOrders[WeekIndex],2)=0,"",SUMIFS(T_PlannedOrders[EffectiveQty],T_PlannedOrders[Part Name],$A959,T_PlannedOrders[WeekIndex],2)&amp;" ("&amp;TEXT(SUMPRODUCT(MAX((T_PlannedOrders[Part Name]=$A959)*(T_PlannedOrders[WeekIndex]=2)*(T_PlannedOrders[EffectiveQty]&gt;0)*T_PlannedOrders[Order_Month])),"m月")&amp;"発注)")</f>
        <v/>
      </c>
      <c r="F969">
        <f>IF(SUMIFS(T_PlannedOrders[EffectiveQty],T_PlannedOrders[Part Name],$A959,T_PlannedOrders[WeekIndex],3)=0,"",SUMIFS(T_PlannedOrders[EffectiveQty],T_PlannedOrders[Part Name],$A959,T_PlannedOrders[WeekIndex],3)&amp;" ("&amp;TEXT(SUMPRODUCT(MAX((T_PlannedOrders[Part Name]=$A959)*(T_PlannedOrders[WeekIndex]=3)*(T_PlannedOrders[EffectiveQty]&gt;0)*T_PlannedOrders[Order_Month])),"m月")&amp;"発注)")</f>
        <v/>
      </c>
      <c r="G969">
        <f>IF(SUMIFS(T_PlannedOrders[EffectiveQty],T_PlannedOrders[Part Name],$A959,T_PlannedOrders[WeekIndex],4)=0,"",SUMIFS(T_PlannedOrders[EffectiveQty],T_PlannedOrders[Part Name],$A959,T_PlannedOrders[WeekIndex],4)&amp;" ("&amp;TEXT(SUMPRODUCT(MAX((T_PlannedOrders[Part Name]=$A959)*(T_PlannedOrders[WeekIndex]=4)*(T_PlannedOrders[EffectiveQty]&gt;0)*T_PlannedOrders[Order_Month])),"m月")&amp;"発注)")</f>
        <v/>
      </c>
      <c r="H969">
        <f>IF(SUMIFS(T_PlannedOrders[EffectiveQty],T_PlannedOrders[Part Name],$A959,T_PlannedOrders[WeekIndex],5)=0,"",SUMIFS(T_PlannedOrders[EffectiveQty],T_PlannedOrders[Part Name],$A959,T_PlannedOrders[WeekIndex],5)&amp;" ("&amp;TEXT(SUMPRODUCT(MAX((T_PlannedOrders[Part Name]=$A959)*(T_PlannedOrders[WeekIndex]=5)*(T_PlannedOrders[EffectiveQty]&gt;0)*T_PlannedOrders[Order_Month])),"m月")&amp;"発注)")</f>
        <v/>
      </c>
      <c r="I969">
        <f>IF(SUMIFS(T_PlannedOrders[EffectiveQty],T_PlannedOrders[Part Name],$A959,T_PlannedOrders[WeekIndex],6)=0,"",SUMIFS(T_PlannedOrders[EffectiveQty],T_PlannedOrders[Part Name],$A959,T_PlannedOrders[WeekIndex],6)&amp;" ("&amp;TEXT(SUMPRODUCT(MAX((T_PlannedOrders[Part Name]=$A959)*(T_PlannedOrders[WeekIndex]=6)*(T_PlannedOrders[EffectiveQty]&gt;0)*T_PlannedOrders[Order_Month])),"m月")&amp;"発注)")</f>
        <v/>
      </c>
      <c r="J969">
        <f>IF(SUMIFS(T_PlannedOrders[EffectiveQty],T_PlannedOrders[Part Name],$A959,T_PlannedOrders[WeekIndex],7)=0,"",SUMIFS(T_PlannedOrders[EffectiveQty],T_PlannedOrders[Part Name],$A959,T_PlannedOrders[WeekIndex],7)&amp;" ("&amp;TEXT(SUMPRODUCT(MAX((T_PlannedOrders[Part Name]=$A959)*(T_PlannedOrders[WeekIndex]=7)*(T_PlannedOrders[EffectiveQty]&gt;0)*T_PlannedOrders[Order_Month])),"m月")&amp;"発注)")</f>
        <v/>
      </c>
      <c r="K969">
        <f>IF(SUMIFS(T_PlannedOrders[EffectiveQty],T_PlannedOrders[Part Name],$A959,T_PlannedOrders[WeekIndex],8)=0,"",SUMIFS(T_PlannedOrders[EffectiveQty],T_PlannedOrders[Part Name],$A959,T_PlannedOrders[WeekIndex],8)&amp;" ("&amp;TEXT(SUMPRODUCT(MAX((T_PlannedOrders[Part Name]=$A959)*(T_PlannedOrders[WeekIndex]=8)*(T_PlannedOrders[EffectiveQty]&gt;0)*T_PlannedOrders[Order_Month])),"m月")&amp;"発注)")</f>
        <v/>
      </c>
      <c r="L969">
        <f>IF(SUMIFS(T_PlannedOrders[EffectiveQty],T_PlannedOrders[Part Name],$A959,T_PlannedOrders[WeekIndex],9)=0,"",SUMIFS(T_PlannedOrders[EffectiveQty],T_PlannedOrders[Part Name],$A959,T_PlannedOrders[WeekIndex],9)&amp;" ("&amp;TEXT(SUMPRODUCT(MAX((T_PlannedOrders[Part Name]=$A959)*(T_PlannedOrders[WeekIndex]=9)*(T_PlannedOrders[EffectiveQty]&gt;0)*T_PlannedOrders[Order_Month])),"m月")&amp;"発注)")</f>
        <v/>
      </c>
      <c r="M969">
        <f>IF(SUMIFS(T_PlannedOrders[EffectiveQty],T_PlannedOrders[Part Name],$A959,T_PlannedOrders[WeekIndex],10)=0,"",SUMIFS(T_PlannedOrders[EffectiveQty],T_PlannedOrders[Part Name],$A959,T_PlannedOrders[WeekIndex],10)&amp;" ("&amp;TEXT(SUMPRODUCT(MAX((T_PlannedOrders[Part Name]=$A959)*(T_PlannedOrders[WeekIndex]=10)*(T_PlannedOrders[EffectiveQty]&gt;0)*T_PlannedOrders[Order_Month])),"m月")&amp;"発注)")</f>
        <v/>
      </c>
      <c r="N969">
        <f>IF(SUMIFS(T_PlannedOrders[EffectiveQty],T_PlannedOrders[Part Name],$A959,T_PlannedOrders[WeekIndex],11)=0,"",SUMIFS(T_PlannedOrders[EffectiveQty],T_PlannedOrders[Part Name],$A959,T_PlannedOrders[WeekIndex],11)&amp;" ("&amp;TEXT(SUMPRODUCT(MAX((T_PlannedOrders[Part Name]=$A959)*(T_PlannedOrders[WeekIndex]=11)*(T_PlannedOrders[EffectiveQty]&gt;0)*T_PlannedOrders[Order_Month])),"m月")&amp;"発注)")</f>
        <v/>
      </c>
      <c r="O969">
        <f>IF(SUMIFS(T_PlannedOrders[EffectiveQty],T_PlannedOrders[Part Name],$A959,T_PlannedOrders[WeekIndex],12)=0,"",SUMIFS(T_PlannedOrders[EffectiveQty],T_PlannedOrders[Part Name],$A959,T_PlannedOrders[WeekIndex],12)&amp;" ("&amp;TEXT(SUMPRODUCT(MAX((T_PlannedOrders[Part Name]=$A959)*(T_PlannedOrders[WeekIndex]=12)*(T_PlannedOrders[EffectiveQty]&gt;0)*T_PlannedOrders[Order_Month])),"m月")&amp;"発注)")</f>
        <v/>
      </c>
      <c r="P969">
        <f>IF(SUMIFS(T_PlannedOrders[EffectiveQty],T_PlannedOrders[Part Name],$A959,T_PlannedOrders[WeekIndex],13)=0,"",SUMIFS(T_PlannedOrders[EffectiveQty],T_PlannedOrders[Part Name],$A959,T_PlannedOrders[WeekIndex],13)&amp;" ("&amp;TEXT(SUMPRODUCT(MAX((T_PlannedOrders[Part Name]=$A959)*(T_PlannedOrders[WeekIndex]=13)*(T_PlannedOrders[EffectiveQty]&gt;0)*T_PlannedOrders[Order_Month])),"m月")&amp;"発注)")</f>
        <v/>
      </c>
      <c r="Q969">
        <f>IF(SUMIFS(T_PlannedOrders[EffectiveQty],T_PlannedOrders[Part Name],$A959,T_PlannedOrders[WeekIndex],14)=0,"",SUMIFS(T_PlannedOrders[EffectiveQty],T_PlannedOrders[Part Name],$A959,T_PlannedOrders[WeekIndex],14)&amp;" ("&amp;TEXT(SUMPRODUCT(MAX((T_PlannedOrders[Part Name]=$A959)*(T_PlannedOrders[WeekIndex]=14)*(T_PlannedOrders[EffectiveQty]&gt;0)*T_PlannedOrders[Order_Month])),"m月")&amp;"発注)")</f>
        <v/>
      </c>
      <c r="R969">
        <f>IF(SUMIFS(T_PlannedOrders[EffectiveQty],T_PlannedOrders[Part Name],$A959,T_PlannedOrders[WeekIndex],15)=0,"",SUMIFS(T_PlannedOrders[EffectiveQty],T_PlannedOrders[Part Name],$A959,T_PlannedOrders[WeekIndex],15)&amp;" ("&amp;TEXT(SUMPRODUCT(MAX((T_PlannedOrders[Part Name]=$A959)*(T_PlannedOrders[WeekIndex]=15)*(T_PlannedOrders[EffectiveQty]&gt;0)*T_PlannedOrders[Order_Month])),"m月")&amp;"発注)")</f>
        <v/>
      </c>
      <c r="S969">
        <f>IF(SUMIFS(T_PlannedOrders[EffectiveQty],T_PlannedOrders[Part Name],$A959,T_PlannedOrders[WeekIndex],16)=0,"",SUMIFS(T_PlannedOrders[EffectiveQty],T_PlannedOrders[Part Name],$A959,T_PlannedOrders[WeekIndex],16)&amp;" ("&amp;TEXT(SUMPRODUCT(MAX((T_PlannedOrders[Part Name]=$A959)*(T_PlannedOrders[WeekIndex]=16)*(T_PlannedOrders[EffectiveQty]&gt;0)*T_PlannedOrders[Order_Month])),"m月")&amp;"発注)")</f>
        <v/>
      </c>
      <c r="T969">
        <f>IF(SUMIFS(T_PlannedOrders[EffectiveQty],T_PlannedOrders[Part Name],$A959,T_PlannedOrders[WeekIndex],17)=0,"",SUMIFS(T_PlannedOrders[EffectiveQty],T_PlannedOrders[Part Name],$A959,T_PlannedOrders[WeekIndex],17)&amp;" ("&amp;TEXT(SUMPRODUCT(MAX((T_PlannedOrders[Part Name]=$A959)*(T_PlannedOrders[WeekIndex]=17)*(T_PlannedOrders[EffectiveQty]&gt;0)*T_PlannedOrders[Order_Month])),"m月")&amp;"発注)")</f>
        <v/>
      </c>
      <c r="U969">
        <f>IF(SUMIFS(T_PlannedOrders[EffectiveQty],T_PlannedOrders[Part Name],$A959,T_PlannedOrders[WeekIndex],18)=0,"",SUMIFS(T_PlannedOrders[EffectiveQty],T_PlannedOrders[Part Name],$A959,T_PlannedOrders[WeekIndex],18)&amp;" ("&amp;TEXT(SUMPRODUCT(MAX((T_PlannedOrders[Part Name]=$A959)*(T_PlannedOrders[WeekIndex]=18)*(T_PlannedOrders[EffectiveQty]&gt;0)*T_PlannedOrders[Order_Month])),"m月")&amp;"発注)")</f>
        <v/>
      </c>
      <c r="V969">
        <f>IF(SUMIFS(T_PlannedOrders[EffectiveQty],T_PlannedOrders[Part Name],$A959,T_PlannedOrders[WeekIndex],19)=0,"",SUMIFS(T_PlannedOrders[EffectiveQty],T_PlannedOrders[Part Name],$A959,T_PlannedOrders[WeekIndex],19)&amp;" ("&amp;TEXT(SUMPRODUCT(MAX((T_PlannedOrders[Part Name]=$A959)*(T_PlannedOrders[WeekIndex]=19)*(T_PlannedOrders[EffectiveQty]&gt;0)*T_PlannedOrders[Order_Month])),"m月")&amp;"発注)")</f>
        <v/>
      </c>
      <c r="W969">
        <f>IF(SUMIFS(T_PlannedOrders[EffectiveQty],T_PlannedOrders[Part Name],$A959,T_PlannedOrders[WeekIndex],20)=0,"",SUMIFS(T_PlannedOrders[EffectiveQty],T_PlannedOrders[Part Name],$A959,T_PlannedOrders[WeekIndex],20)&amp;" ("&amp;TEXT(SUMPRODUCT(MAX((T_PlannedOrders[Part Name]=$A959)*(T_PlannedOrders[WeekIndex]=20)*(T_PlannedOrders[EffectiveQty]&gt;0)*T_PlannedOrders[Order_Month])),"m月")&amp;"発注)")</f>
        <v/>
      </c>
      <c r="X969">
        <f>IF(SUMIFS(T_PlannedOrders[EffectiveQty],T_PlannedOrders[Part Name],$A959,T_PlannedOrders[WeekIndex],21)=0,"",SUMIFS(T_PlannedOrders[EffectiveQty],T_PlannedOrders[Part Name],$A959,T_PlannedOrders[WeekIndex],21)&amp;" ("&amp;TEXT(SUMPRODUCT(MAX((T_PlannedOrders[Part Name]=$A959)*(T_PlannedOrders[WeekIndex]=21)*(T_PlannedOrders[EffectiveQty]&gt;0)*T_PlannedOrders[Order_Month])),"m月")&amp;"発注)")</f>
        <v/>
      </c>
      <c r="Y969">
        <f>IF(SUMIFS(T_PlannedOrders[EffectiveQty],T_PlannedOrders[Part Name],$A959,T_PlannedOrders[WeekIndex],22)=0,"",SUMIFS(T_PlannedOrders[EffectiveQty],T_PlannedOrders[Part Name],$A959,T_PlannedOrders[WeekIndex],22)&amp;" ("&amp;TEXT(SUMPRODUCT(MAX((T_PlannedOrders[Part Name]=$A959)*(T_PlannedOrders[WeekIndex]=22)*(T_PlannedOrders[EffectiveQty]&gt;0)*T_PlannedOrders[Order_Month])),"m月")&amp;"発注)")</f>
        <v/>
      </c>
      <c r="Z969">
        <f>IF(SUMIFS(T_PlannedOrders[EffectiveQty],T_PlannedOrders[Part Name],$A959,T_PlannedOrders[WeekIndex],23)=0,"",SUMIFS(T_PlannedOrders[EffectiveQty],T_PlannedOrders[Part Name],$A959,T_PlannedOrders[WeekIndex],23)&amp;" ("&amp;TEXT(SUMPRODUCT(MAX((T_PlannedOrders[Part Name]=$A959)*(T_PlannedOrders[WeekIndex]=23)*(T_PlannedOrders[EffectiveQty]&gt;0)*T_PlannedOrders[Order_Month])),"m月")&amp;"発注)")</f>
        <v/>
      </c>
      <c r="AA969">
        <f>IF(SUMIFS(T_PlannedOrders[EffectiveQty],T_PlannedOrders[Part Name],$A959,T_PlannedOrders[WeekIndex],24)=0,"",SUMIFS(T_PlannedOrders[EffectiveQty],T_PlannedOrders[Part Name],$A959,T_PlannedOrders[WeekIndex],24)&amp;" ("&amp;TEXT(SUMPRODUCT(MAX((T_PlannedOrders[Part Name]=$A959)*(T_PlannedOrders[WeekIndex]=24)*(T_PlannedOrders[EffectiveQty]&gt;0)*T_PlannedOrders[Order_Month])),"m月")&amp;"発注)")</f>
        <v/>
      </c>
      <c r="AB969">
        <f>IF(SUMIFS(T_PlannedOrders[EffectiveQty],T_PlannedOrders[Part Name],$A959,T_PlannedOrders[WeekIndex],25)=0,"",SUMIFS(T_PlannedOrders[EffectiveQty],T_PlannedOrders[Part Name],$A959,T_PlannedOrders[WeekIndex],25)&amp;" ("&amp;TEXT(SUMPRODUCT(MAX((T_PlannedOrders[Part Name]=$A959)*(T_PlannedOrders[WeekIndex]=25)*(T_PlannedOrders[EffectiveQty]&gt;0)*T_PlannedOrders[Order_Month])),"m月")&amp;"発注)")</f>
        <v/>
      </c>
      <c r="AC969">
        <f>IF(SUMIFS(T_PlannedOrders[EffectiveQty],T_PlannedOrders[Part Name],$A959,T_PlannedOrders[WeekIndex],26)=0,"",SUMIFS(T_PlannedOrders[EffectiveQty],T_PlannedOrders[Part Name],$A959,T_PlannedOrders[WeekIndex],26)&amp;" ("&amp;TEXT(SUMPRODUCT(MAX((T_PlannedOrders[Part Name]=$A959)*(T_PlannedOrders[WeekIndex]=26)*(T_PlannedOrders[EffectiveQty]&gt;0)*T_PlannedOrders[Order_Month])),"m月")&amp;"発注)")</f>
        <v/>
      </c>
      <c r="AD969">
        <f>IF(SUMIFS(T_PlannedOrders[EffectiveQty],T_PlannedOrders[Part Name],$A959,T_PlannedOrders[WeekIndex],27)=0,"",SUMIFS(T_PlannedOrders[EffectiveQty],T_PlannedOrders[Part Name],$A959,T_PlannedOrders[WeekIndex],27)&amp;" ("&amp;TEXT(SUMPRODUCT(MAX((T_PlannedOrders[Part Name]=$A959)*(T_PlannedOrders[WeekIndex]=27)*(T_PlannedOrders[EffectiveQty]&gt;0)*T_PlannedOrders[Order_Month])),"m月")&amp;"発注)")</f>
        <v/>
      </c>
      <c r="AE969">
        <f>IF(SUMIFS(T_PlannedOrders[EffectiveQty],T_PlannedOrders[Part Name],$A959,T_PlannedOrders[WeekIndex],28)=0,"",SUMIFS(T_PlannedOrders[EffectiveQty],T_PlannedOrders[Part Name],$A959,T_PlannedOrders[WeekIndex],28)&amp;" ("&amp;TEXT(SUMPRODUCT(MAX((T_PlannedOrders[Part Name]=$A959)*(T_PlannedOrders[WeekIndex]=28)*(T_PlannedOrders[EffectiveQty]&gt;0)*T_PlannedOrders[Order_Month])),"m月")&amp;"発注)")</f>
        <v/>
      </c>
      <c r="AF969">
        <f>IF(SUMIFS(T_PlannedOrders[EffectiveQty],T_PlannedOrders[Part Name],$A959,T_PlannedOrders[WeekIndex],29)=0,"",SUMIFS(T_PlannedOrders[EffectiveQty],T_PlannedOrders[Part Name],$A959,T_PlannedOrders[WeekIndex],29)&amp;" ("&amp;TEXT(SUMPRODUCT(MAX((T_PlannedOrders[Part Name]=$A959)*(T_PlannedOrders[WeekIndex]=29)*(T_PlannedOrders[EffectiveQty]&gt;0)*T_PlannedOrders[Order_Month])),"m月")&amp;"発注)")</f>
        <v/>
      </c>
      <c r="AG969">
        <f>IF(SUMIFS(T_PlannedOrders[EffectiveQty],T_PlannedOrders[Part Name],$A959,T_PlannedOrders[WeekIndex],30)=0,"",SUMIFS(T_PlannedOrders[EffectiveQty],T_PlannedOrders[Part Name],$A959,T_PlannedOrders[WeekIndex],30)&amp;" ("&amp;TEXT(SUMPRODUCT(MAX((T_PlannedOrders[Part Name]=$A959)*(T_PlannedOrders[WeekIndex]=30)*(T_PlannedOrders[EffectiveQty]&gt;0)*T_PlannedOrders[Order_Month])),"m月")&amp;"発注)")</f>
        <v/>
      </c>
      <c r="AH969">
        <f>IF(SUMIFS(T_PlannedOrders[EffectiveQty],T_PlannedOrders[Part Name],$A959,T_PlannedOrders[WeekIndex],31)=0,"",SUMIFS(T_PlannedOrders[EffectiveQty],T_PlannedOrders[Part Name],$A959,T_PlannedOrders[WeekIndex],31)&amp;" ("&amp;TEXT(SUMPRODUCT(MAX((T_PlannedOrders[Part Name]=$A959)*(T_PlannedOrders[WeekIndex]=31)*(T_PlannedOrders[EffectiveQty]&gt;0)*T_PlannedOrders[Order_Month])),"m月")&amp;"発注)")</f>
        <v/>
      </c>
      <c r="AI969">
        <f>IF(SUMIFS(T_PlannedOrders[EffectiveQty],T_PlannedOrders[Part Name],$A959,T_PlannedOrders[WeekIndex],32)=0,"",SUMIFS(T_PlannedOrders[EffectiveQty],T_PlannedOrders[Part Name],$A959,T_PlannedOrders[WeekIndex],32)&amp;" ("&amp;TEXT(SUMPRODUCT(MAX((T_PlannedOrders[Part Name]=$A959)*(T_PlannedOrders[WeekIndex]=32)*(T_PlannedOrders[EffectiveQty]&gt;0)*T_PlannedOrders[Order_Month])),"m月")&amp;"発注)")</f>
        <v/>
      </c>
      <c r="AJ969">
        <f>IF(SUMIFS(T_PlannedOrders[EffectiveQty],T_PlannedOrders[Part Name],$A959,T_PlannedOrders[WeekIndex],33)=0,"",SUMIFS(T_PlannedOrders[EffectiveQty],T_PlannedOrders[Part Name],$A959,T_PlannedOrders[WeekIndex],33)&amp;" ("&amp;TEXT(SUMPRODUCT(MAX((T_PlannedOrders[Part Name]=$A959)*(T_PlannedOrders[WeekIndex]=33)*(T_PlannedOrders[EffectiveQty]&gt;0)*T_PlannedOrders[Order_Month])),"m月")&amp;"発注)")</f>
        <v/>
      </c>
      <c r="AK969">
        <f>IF(SUMIFS(T_PlannedOrders[EffectiveQty],T_PlannedOrders[Part Name],$A959,T_PlannedOrders[WeekIndex],34)=0,"",SUMIFS(T_PlannedOrders[EffectiveQty],T_PlannedOrders[Part Name],$A959,T_PlannedOrders[WeekIndex],34)&amp;" ("&amp;TEXT(SUMPRODUCT(MAX((T_PlannedOrders[Part Name]=$A959)*(T_PlannedOrders[WeekIndex]=34)*(T_PlannedOrders[EffectiveQty]&gt;0)*T_PlannedOrders[Order_Month])),"m月")&amp;"発注)")</f>
        <v/>
      </c>
      <c r="AL969">
        <f>IF(SUMIFS(T_PlannedOrders[EffectiveQty],T_PlannedOrders[Part Name],$A959,T_PlannedOrders[WeekIndex],35)=0,"",SUMIFS(T_PlannedOrders[EffectiveQty],T_PlannedOrders[Part Name],$A959,T_PlannedOrders[WeekIndex],35)&amp;" ("&amp;TEXT(SUMPRODUCT(MAX((T_PlannedOrders[Part Name]=$A959)*(T_PlannedOrders[WeekIndex]=35)*(T_PlannedOrders[EffectiveQty]&gt;0)*T_PlannedOrders[Order_Month])),"m月")&amp;"発注)")</f>
        <v/>
      </c>
      <c r="AM969">
        <f>IF(SUMIFS(T_PlannedOrders[EffectiveQty],T_PlannedOrders[Part Name],$A959,T_PlannedOrders[WeekIndex],36)=0,"",SUMIFS(T_PlannedOrders[EffectiveQty],T_PlannedOrders[Part Name],$A959,T_PlannedOrders[WeekIndex],36)&amp;" ("&amp;TEXT(SUMPRODUCT(MAX((T_PlannedOrders[Part Name]=$A959)*(T_PlannedOrders[WeekIndex]=36)*(T_PlannedOrders[EffectiveQty]&gt;0)*T_PlannedOrders[Order_Month])),"m月")&amp;"発注)")</f>
        <v/>
      </c>
      <c r="AN969">
        <f>IF(SUMIFS(T_PlannedOrders[EffectiveQty],T_PlannedOrders[Part Name],$A959,T_PlannedOrders[WeekIndex],37)=0,"",SUMIFS(T_PlannedOrders[EffectiveQty],T_PlannedOrders[Part Name],$A959,T_PlannedOrders[WeekIndex],37)&amp;" ("&amp;TEXT(SUMPRODUCT(MAX((T_PlannedOrders[Part Name]=$A959)*(T_PlannedOrders[WeekIndex]=37)*(T_PlannedOrders[EffectiveQty]&gt;0)*T_PlannedOrders[Order_Month])),"m月")&amp;"発注)")</f>
        <v/>
      </c>
      <c r="AO969">
        <f>IF(SUMIFS(T_PlannedOrders[EffectiveQty],T_PlannedOrders[Part Name],$A959,T_PlannedOrders[WeekIndex],38)=0,"",SUMIFS(T_PlannedOrders[EffectiveQty],T_PlannedOrders[Part Name],$A959,T_PlannedOrders[WeekIndex],38)&amp;" ("&amp;TEXT(SUMPRODUCT(MAX((T_PlannedOrders[Part Name]=$A959)*(T_PlannedOrders[WeekIndex]=38)*(T_PlannedOrders[EffectiveQty]&gt;0)*T_PlannedOrders[Order_Month])),"m月")&amp;"発注)")</f>
        <v/>
      </c>
      <c r="AP969">
        <f>IF(SUMIFS(T_PlannedOrders[EffectiveQty],T_PlannedOrders[Part Name],$A959,T_PlannedOrders[WeekIndex],39)=0,"",SUMIFS(T_PlannedOrders[EffectiveQty],T_PlannedOrders[Part Name],$A959,T_PlannedOrders[WeekIndex],39)&amp;" ("&amp;TEXT(SUMPRODUCT(MAX((T_PlannedOrders[Part Name]=$A959)*(T_PlannedOrders[WeekIndex]=39)*(T_PlannedOrders[EffectiveQty]&gt;0)*T_PlannedOrders[Order_Month])),"m月")&amp;"発注)")</f>
        <v/>
      </c>
      <c r="AQ969">
        <f>IF(SUMIFS(T_PlannedOrders[EffectiveQty],T_PlannedOrders[Part Name],$A959,T_PlannedOrders[WeekIndex],40)=0,"",SUMIFS(T_PlannedOrders[EffectiveQty],T_PlannedOrders[Part Name],$A959,T_PlannedOrders[WeekIndex],40)&amp;" ("&amp;TEXT(SUMPRODUCT(MAX((T_PlannedOrders[Part Name]=$A959)*(T_PlannedOrders[WeekIndex]=40)*(T_PlannedOrders[EffectiveQty]&gt;0)*T_PlannedOrders[Order_Month])),"m月")&amp;"発注)")</f>
        <v/>
      </c>
      <c r="AR969">
        <f>IF(SUMIFS(T_PlannedOrders[EffectiveQty],T_PlannedOrders[Part Name],$A959,T_PlannedOrders[WeekIndex],41)=0,"",SUMIFS(T_PlannedOrders[EffectiveQty],T_PlannedOrders[Part Name],$A959,T_PlannedOrders[WeekIndex],41)&amp;" ("&amp;TEXT(SUMPRODUCT(MAX((T_PlannedOrders[Part Name]=$A959)*(T_PlannedOrders[WeekIndex]=41)*(T_PlannedOrders[EffectiveQty]&gt;0)*T_PlannedOrders[Order_Month])),"m月")&amp;"発注)")</f>
        <v/>
      </c>
      <c r="AS969">
        <f>IF(SUMIFS(T_PlannedOrders[EffectiveQty],T_PlannedOrders[Part Name],$A959,T_PlannedOrders[WeekIndex],42)=0,"",SUMIFS(T_PlannedOrders[EffectiveQty],T_PlannedOrders[Part Name],$A959,T_PlannedOrders[WeekIndex],42)&amp;" ("&amp;TEXT(SUMPRODUCT(MAX((T_PlannedOrders[Part Name]=$A959)*(T_PlannedOrders[WeekIndex]=42)*(T_PlannedOrders[EffectiveQty]&gt;0)*T_PlannedOrders[Order_Month])),"m月")&amp;"発注)")</f>
        <v/>
      </c>
      <c r="AT969">
        <f>IF(SUMIFS(T_PlannedOrders[EffectiveQty],T_PlannedOrders[Part Name],$A959,T_PlannedOrders[WeekIndex],43)=0,"",SUMIFS(T_PlannedOrders[EffectiveQty],T_PlannedOrders[Part Name],$A959,T_PlannedOrders[WeekIndex],43)&amp;" ("&amp;TEXT(SUMPRODUCT(MAX((T_PlannedOrders[Part Name]=$A959)*(T_PlannedOrders[WeekIndex]=43)*(T_PlannedOrders[EffectiveQty]&gt;0)*T_PlannedOrders[Order_Month])),"m月")&amp;"発注)")</f>
        <v/>
      </c>
      <c r="AU969">
        <f>IF(SUMIFS(T_PlannedOrders[EffectiveQty],T_PlannedOrders[Part Name],$A959,T_PlannedOrders[WeekIndex],44)=0,"",SUMIFS(T_PlannedOrders[EffectiveQty],T_PlannedOrders[Part Name],$A959,T_PlannedOrders[WeekIndex],44)&amp;" ("&amp;TEXT(SUMPRODUCT(MAX((T_PlannedOrders[Part Name]=$A959)*(T_PlannedOrders[WeekIndex]=44)*(T_PlannedOrders[EffectiveQty]&gt;0)*T_PlannedOrders[Order_Month])),"m月")&amp;"発注)")</f>
        <v/>
      </c>
      <c r="AV969">
        <f>IF(SUMIFS(T_PlannedOrders[EffectiveQty],T_PlannedOrders[Part Name],$A959,T_PlannedOrders[WeekIndex],45)=0,"",SUMIFS(T_PlannedOrders[EffectiveQty],T_PlannedOrders[Part Name],$A959,T_PlannedOrders[WeekIndex],45)&amp;" ("&amp;TEXT(SUMPRODUCT(MAX((T_PlannedOrders[Part Name]=$A959)*(T_PlannedOrders[WeekIndex]=45)*(T_PlannedOrders[EffectiveQty]&gt;0)*T_PlannedOrders[Order_Month])),"m月")&amp;"発注)")</f>
        <v/>
      </c>
      <c r="AW969">
        <f>IF(SUMIFS(T_PlannedOrders[EffectiveQty],T_PlannedOrders[Part Name],$A959,T_PlannedOrders[WeekIndex],46)=0,"",SUMIFS(T_PlannedOrders[EffectiveQty],T_PlannedOrders[Part Name],$A959,T_PlannedOrders[WeekIndex],46)&amp;" ("&amp;TEXT(SUMPRODUCT(MAX((T_PlannedOrders[Part Name]=$A959)*(T_PlannedOrders[WeekIndex]=46)*(T_PlannedOrders[EffectiveQty]&gt;0)*T_PlannedOrders[Order_Month])),"m月")&amp;"発注)")</f>
        <v/>
      </c>
      <c r="AX969">
        <f>IF(SUMIFS(T_PlannedOrders[EffectiveQty],T_PlannedOrders[Part Name],$A959,T_PlannedOrders[WeekIndex],47)=0,"",SUMIFS(T_PlannedOrders[EffectiveQty],T_PlannedOrders[Part Name],$A959,T_PlannedOrders[WeekIndex],47)&amp;" ("&amp;TEXT(SUMPRODUCT(MAX((T_PlannedOrders[Part Name]=$A959)*(T_PlannedOrders[WeekIndex]=47)*(T_PlannedOrders[EffectiveQty]&gt;0)*T_PlannedOrders[Order_Month])),"m月")&amp;"発注)")</f>
        <v/>
      </c>
      <c r="AY969">
        <f>IF(SUMIFS(T_PlannedOrders[EffectiveQty],T_PlannedOrders[Part Name],$A959,T_PlannedOrders[WeekIndex],48)=0,"",SUMIFS(T_PlannedOrders[EffectiveQty],T_PlannedOrders[Part Name],$A959,T_PlannedOrders[WeekIndex],48)&amp;" ("&amp;TEXT(SUMPRODUCT(MAX((T_PlannedOrders[Part Name]=$A959)*(T_PlannedOrders[WeekIndex]=48)*(T_PlannedOrders[EffectiveQty]&gt;0)*T_PlannedOrders[Order_Month])),"m月")&amp;"発注)")</f>
        <v/>
      </c>
      <c r="AZ969">
        <f>IF(SUMIFS(T_PlannedOrders[EffectiveQty],T_PlannedOrders[Part Name],$A959,T_PlannedOrders[WeekIndex],49)=0,"",SUMIFS(T_PlannedOrders[EffectiveQty],T_PlannedOrders[Part Name],$A959,T_PlannedOrders[WeekIndex],49)&amp;" ("&amp;TEXT(SUMPRODUCT(MAX((T_PlannedOrders[Part Name]=$A959)*(T_PlannedOrders[WeekIndex]=49)*(T_PlannedOrders[EffectiveQty]&gt;0)*T_PlannedOrders[Order_Month])),"m月")&amp;"発注)")</f>
        <v/>
      </c>
      <c r="BA969">
        <f>IF(SUMIFS(T_PlannedOrders[EffectiveQty],T_PlannedOrders[Part Name],$A959,T_PlannedOrders[WeekIndex],50)=0,"",SUMIFS(T_PlannedOrders[EffectiveQty],T_PlannedOrders[Part Name],$A959,T_PlannedOrders[WeekIndex],50)&amp;" ("&amp;TEXT(SUMPRODUCT(MAX((T_PlannedOrders[Part Name]=$A959)*(T_PlannedOrders[WeekIndex]=50)*(T_PlannedOrders[EffectiveQty]&gt;0)*T_PlannedOrders[Order_Month])),"m月")&amp;"発注)")</f>
        <v/>
      </c>
      <c r="BB969">
        <f>IF(SUMIFS(T_PlannedOrders[EffectiveQty],T_PlannedOrders[Part Name],$A959,T_PlannedOrders[WeekIndex],51)=0,"",SUMIFS(T_PlannedOrders[EffectiveQty],T_PlannedOrders[Part Name],$A959,T_PlannedOrders[WeekIndex],51)&amp;" ("&amp;TEXT(SUMPRODUCT(MAX((T_PlannedOrders[Part Name]=$A959)*(T_PlannedOrders[WeekIndex]=51)*(T_PlannedOrders[EffectiveQty]&gt;0)*T_PlannedOrders[Order_Month])),"m月")&amp;"発注)")</f>
        <v/>
      </c>
      <c r="BC969">
        <f>IF(SUMIFS(T_PlannedOrders[EffectiveQty],T_PlannedOrders[Part Name],$A959,T_PlannedOrders[WeekIndex],52)=0,"",SUMIFS(T_PlannedOrders[EffectiveQty],T_PlannedOrders[Part Name],$A959,T_PlannedOrders[WeekIndex],52)&amp;" ("&amp;TEXT(SUMPRODUCT(MAX((T_PlannedOrders[Part Name]=$A959)*(T_PlannedOrders[WeekIndex]=52)*(T_PlannedOrders[EffectiveQty]&gt;0)*T_PlannedOrders[Order_Month])),"m月")&amp;"発注)")</f>
        <v/>
      </c>
      <c r="BD969">
        <f>IF(SUMIFS(T_PlannedOrders[EffectiveQty],T_PlannedOrders[Part Name],$A959,T_PlannedOrders[WeekIndex],53)=0,"",SUMIFS(T_PlannedOrders[EffectiveQty],T_PlannedOrders[Part Name],$A959,T_PlannedOrders[WeekIndex],53)&amp;" ("&amp;TEXT(SUMPRODUCT(MAX((T_PlannedOrders[Part Name]=$A959)*(T_PlannedOrders[WeekIndex]=53)*(T_PlannedOrders[EffectiveQty]&gt;0)*T_PlannedOrders[Order_Month])),"m月")&amp;"発注)")</f>
        <v/>
      </c>
      <c r="BE969">
        <f>IF(SUMIFS(T_PlannedOrders[EffectiveQty],T_PlannedOrders[Part Name],$A959,T_PlannedOrders[WeekIndex],54)=0,"",SUMIFS(T_PlannedOrders[EffectiveQty],T_PlannedOrders[Part Name],$A959,T_PlannedOrders[WeekIndex],54)&amp;" ("&amp;TEXT(SUMPRODUCT(MAX((T_PlannedOrders[Part Name]=$A959)*(T_PlannedOrders[WeekIndex]=54)*(T_PlannedOrders[EffectiveQty]&gt;0)*T_PlannedOrders[Order_Month])),"m月")&amp;"発注)")</f>
        <v/>
      </c>
      <c r="BF969">
        <f>IF(SUMIFS(T_PlannedOrders[EffectiveQty],T_PlannedOrders[Part Name],$A959,T_PlannedOrders[WeekIndex],55)=0,"",SUMIFS(T_PlannedOrders[EffectiveQty],T_PlannedOrders[Part Name],$A959,T_PlannedOrders[WeekIndex],55)&amp;" ("&amp;TEXT(SUMPRODUCT(MAX((T_PlannedOrders[Part Name]=$A959)*(T_PlannedOrders[WeekIndex]=55)*(T_PlannedOrders[EffectiveQty]&gt;0)*T_PlannedOrders[Order_Month])),"m月")&amp;"発注)")</f>
        <v/>
      </c>
      <c r="BG969">
        <f>IF(SUMIFS(T_PlannedOrders[EffectiveQty],T_PlannedOrders[Part Name],$A959,T_PlannedOrders[WeekIndex],56)=0,"",SUMIFS(T_PlannedOrders[EffectiveQty],T_PlannedOrders[Part Name],$A959,T_PlannedOrders[WeekIndex],56)&amp;" ("&amp;TEXT(SUMPRODUCT(MAX((T_PlannedOrders[Part Name]=$A959)*(T_PlannedOrders[WeekIndex]=56)*(T_PlannedOrders[EffectiveQty]&gt;0)*T_PlannedOrders[Order_Month])),"m月")&amp;"発注)")</f>
        <v/>
      </c>
      <c r="BH969">
        <f>IF(SUMIFS(T_PlannedOrders[EffectiveQty],T_PlannedOrders[Part Name],$A959,T_PlannedOrders[WeekIndex],57)=0,"",SUMIFS(T_PlannedOrders[EffectiveQty],T_PlannedOrders[Part Name],$A959,T_PlannedOrders[WeekIndex],57)&amp;" ("&amp;TEXT(SUMPRODUCT(MAX((T_PlannedOrders[Part Name]=$A959)*(T_PlannedOrders[WeekIndex]=57)*(T_PlannedOrders[EffectiveQty]&gt;0)*T_PlannedOrders[Order_Month])),"m月")&amp;"発注)")</f>
        <v/>
      </c>
      <c r="BI969">
        <f>IF(SUMIFS(T_PlannedOrders[EffectiveQty],T_PlannedOrders[Part Name],$A959,T_PlannedOrders[WeekIndex],58)=0,"",SUMIFS(T_PlannedOrders[EffectiveQty],T_PlannedOrders[Part Name],$A959,T_PlannedOrders[WeekIndex],58)&amp;" ("&amp;TEXT(SUMPRODUCT(MAX((T_PlannedOrders[Part Name]=$A959)*(T_PlannedOrders[WeekIndex]=58)*(T_PlannedOrders[EffectiveQty]&gt;0)*T_PlannedOrders[Order_Month])),"m月")&amp;"発注)")</f>
        <v/>
      </c>
      <c r="BJ969">
        <f>IF(SUMIFS(T_PlannedOrders[EffectiveQty],T_PlannedOrders[Part Name],$A959,T_PlannedOrders[WeekIndex],59)=0,"",SUMIFS(T_PlannedOrders[EffectiveQty],T_PlannedOrders[Part Name],$A959,T_PlannedOrders[WeekIndex],59)&amp;" ("&amp;TEXT(SUMPRODUCT(MAX((T_PlannedOrders[Part Name]=$A959)*(T_PlannedOrders[WeekIndex]=59)*(T_PlannedOrders[EffectiveQty]&gt;0)*T_PlannedOrders[Order_Month])),"m月")&amp;"発注)")</f>
        <v/>
      </c>
      <c r="BK969">
        <f>IF(SUMIFS(T_PlannedOrders[EffectiveQty],T_PlannedOrders[Part Name],$A959,T_PlannedOrders[WeekIndex],60)=0,"",SUMIFS(T_PlannedOrders[EffectiveQty],T_PlannedOrders[Part Name],$A959,T_PlannedOrders[WeekIndex],60)&amp;" ("&amp;TEXT(SUMPRODUCT(MAX((T_PlannedOrders[Part Name]=$A959)*(T_PlannedOrders[WeekIndex]=60)*(T_PlannedOrders[EffectiveQty]&gt;0)*T_PlannedOrders[Order_Month])),"m月")&amp;"発注)")</f>
        <v/>
      </c>
      <c r="BL969">
        <f>IF(SUMIFS(T_PlannedOrders[EffectiveQty],T_PlannedOrders[Part Name],$A959,T_PlannedOrders[WeekIndex],61)=0,"",SUMIFS(T_PlannedOrders[EffectiveQty],T_PlannedOrders[Part Name],$A959,T_PlannedOrders[WeekIndex],61)&amp;" ("&amp;TEXT(SUMPRODUCT(MAX((T_PlannedOrders[Part Name]=$A959)*(T_PlannedOrders[WeekIndex]=61)*(T_PlannedOrders[EffectiveQty]&gt;0)*T_PlannedOrders[Order_Month])),"m月")&amp;"発注)")</f>
        <v/>
      </c>
      <c r="BM969">
        <f>IF(SUMIFS(T_PlannedOrders[EffectiveQty],T_PlannedOrders[Part Name],$A959,T_PlannedOrders[WeekIndex],62)=0,"",SUMIFS(T_PlannedOrders[EffectiveQty],T_PlannedOrders[Part Name],$A959,T_PlannedOrders[WeekIndex],62)&amp;" ("&amp;TEXT(SUMPRODUCT(MAX((T_PlannedOrders[Part Name]=$A959)*(T_PlannedOrders[WeekIndex]=62)*(T_PlannedOrders[EffectiveQty]&gt;0)*T_PlannedOrders[Order_Month])),"m月")&amp;"発注)")</f>
        <v/>
      </c>
      <c r="BN969">
        <f>IF(SUMIFS(T_PlannedOrders[EffectiveQty],T_PlannedOrders[Part Name],$A959,T_PlannedOrders[WeekIndex],63)=0,"",SUMIFS(T_PlannedOrders[EffectiveQty],T_PlannedOrders[Part Name],$A959,T_PlannedOrders[WeekIndex],63)&amp;" ("&amp;TEXT(SUMPRODUCT(MAX((T_PlannedOrders[Part Name]=$A959)*(T_PlannedOrders[WeekIndex]=63)*(T_PlannedOrders[EffectiveQty]&gt;0)*T_PlannedOrders[Order_Month])),"m月")&amp;"発注)")</f>
        <v/>
      </c>
      <c r="BO969">
        <f>IF(SUMIFS(T_PlannedOrders[EffectiveQty],T_PlannedOrders[Part Name],$A959,T_PlannedOrders[WeekIndex],64)=0,"",SUMIFS(T_PlannedOrders[EffectiveQty],T_PlannedOrders[Part Name],$A959,T_PlannedOrders[WeekIndex],64)&amp;" ("&amp;TEXT(SUMPRODUCT(MAX((T_PlannedOrders[Part Name]=$A959)*(T_PlannedOrders[WeekIndex]=64)*(T_PlannedOrders[EffectiveQty]&gt;0)*T_PlannedOrders[Order_Month])),"m月")&amp;"発注)")</f>
        <v/>
      </c>
      <c r="BP969">
        <f>IF(SUMIFS(T_PlannedOrders[EffectiveQty],T_PlannedOrders[Part Name],$A959,T_PlannedOrders[WeekIndex],65)=0,"",SUMIFS(T_PlannedOrders[EffectiveQty],T_PlannedOrders[Part Name],$A959,T_PlannedOrders[WeekIndex],65)&amp;" ("&amp;TEXT(SUMPRODUCT(MAX((T_PlannedOrders[Part Name]=$A959)*(T_PlannedOrders[WeekIndex]=65)*(T_PlannedOrders[EffectiveQty]&gt;0)*T_PlannedOrders[Order_Month])),"m月")&amp;"発注)")</f>
        <v/>
      </c>
      <c r="BQ969">
        <f>IF(SUMIFS(T_PlannedOrders[EffectiveQty],T_PlannedOrders[Part Name],$A959,T_PlannedOrders[WeekIndex],66)=0,"",SUMIFS(T_PlannedOrders[EffectiveQty],T_PlannedOrders[Part Name],$A959,T_PlannedOrders[WeekIndex],66)&amp;" ("&amp;TEXT(SUMPRODUCT(MAX((T_PlannedOrders[Part Name]=$A959)*(T_PlannedOrders[WeekIndex]=66)*(T_PlannedOrders[EffectiveQty]&gt;0)*T_PlannedOrders[Order_Month])),"m月")&amp;"発注)")</f>
        <v/>
      </c>
      <c r="BR969">
        <f>IF(SUMIFS(T_PlannedOrders[EffectiveQty],T_PlannedOrders[Part Name],$A959,T_PlannedOrders[WeekIndex],67)=0,"",SUMIFS(T_PlannedOrders[EffectiveQty],T_PlannedOrders[Part Name],$A959,T_PlannedOrders[WeekIndex],67)&amp;" ("&amp;TEXT(SUMPRODUCT(MAX((T_PlannedOrders[Part Name]=$A959)*(T_PlannedOrders[WeekIndex]=67)*(T_PlannedOrders[EffectiveQty]&gt;0)*T_PlannedOrders[Order_Month])),"m月")&amp;"発注)")</f>
        <v/>
      </c>
      <c r="BS969">
        <f>IF(SUMIFS(T_PlannedOrders[EffectiveQty],T_PlannedOrders[Part Name],$A959,T_PlannedOrders[WeekIndex],68)=0,"",SUMIFS(T_PlannedOrders[EffectiveQty],T_PlannedOrders[Part Name],$A959,T_PlannedOrders[WeekIndex],68)&amp;" ("&amp;TEXT(SUMPRODUCT(MAX((T_PlannedOrders[Part Name]=$A959)*(T_PlannedOrders[WeekIndex]=68)*(T_PlannedOrders[EffectiveQty]&gt;0)*T_PlannedOrders[Order_Month])),"m月")&amp;"発注)")</f>
        <v/>
      </c>
      <c r="BT969">
        <f>IF(SUMIFS(T_PlannedOrders[EffectiveQty],T_PlannedOrders[Part Name],$A959,T_PlannedOrders[WeekIndex],69)=0,"",SUMIFS(T_PlannedOrders[EffectiveQty],T_PlannedOrders[Part Name],$A959,T_PlannedOrders[WeekIndex],69)&amp;" ("&amp;TEXT(SUMPRODUCT(MAX((T_PlannedOrders[Part Name]=$A959)*(T_PlannedOrders[WeekIndex]=69)*(T_PlannedOrders[EffectiveQty]&gt;0)*T_PlannedOrders[Order_Month])),"m月")&amp;"発注)")</f>
        <v/>
      </c>
      <c r="BU969">
        <f>IF(SUMIFS(T_PlannedOrders[EffectiveQty],T_PlannedOrders[Part Name],$A959,T_PlannedOrders[WeekIndex],70)=0,"",SUMIFS(T_PlannedOrders[EffectiveQty],T_PlannedOrders[Part Name],$A959,T_PlannedOrders[WeekIndex],70)&amp;" ("&amp;TEXT(SUMPRODUCT(MAX((T_PlannedOrders[Part Name]=$A959)*(T_PlannedOrders[WeekIndex]=70)*(T_PlannedOrders[EffectiveQty]&gt;0)*T_PlannedOrders[Order_Month])),"m月")&amp;"発注)")</f>
        <v/>
      </c>
      <c r="BV969">
        <f>IF(SUMIFS(T_PlannedOrders[EffectiveQty],T_PlannedOrders[Part Name],$A959,T_PlannedOrders[WeekIndex],71)=0,"",SUMIFS(T_PlannedOrders[EffectiveQty],T_PlannedOrders[Part Name],$A959,T_PlannedOrders[WeekIndex],71)&amp;" ("&amp;TEXT(SUMPRODUCT(MAX((T_PlannedOrders[Part Name]=$A959)*(T_PlannedOrders[WeekIndex]=71)*(T_PlannedOrders[EffectiveQty]&gt;0)*T_PlannedOrders[Order_Month])),"m月")&amp;"発注)")</f>
        <v/>
      </c>
      <c r="BW969">
        <f>IF(SUMIFS(T_PlannedOrders[EffectiveQty],T_PlannedOrders[Part Name],$A959,T_PlannedOrders[WeekIndex],72)=0,"",SUMIFS(T_PlannedOrders[EffectiveQty],T_PlannedOrders[Part Name],$A959,T_PlannedOrders[WeekIndex],72)&amp;" ("&amp;TEXT(SUMPRODUCT(MAX((T_PlannedOrders[Part Name]=$A959)*(T_PlannedOrders[WeekIndex]=72)*(T_PlannedOrders[EffectiveQty]&gt;0)*T_PlannedOrders[Order_Month])),"m月")&amp;"発注)")</f>
        <v/>
      </c>
      <c r="BX969">
        <f>IF(SUMIFS(T_PlannedOrders[EffectiveQty],T_PlannedOrders[Part Name],$A959,T_PlannedOrders[WeekIndex],73)=0,"",SUMIFS(T_PlannedOrders[EffectiveQty],T_PlannedOrders[Part Name],$A959,T_PlannedOrders[WeekIndex],73)&amp;" ("&amp;TEXT(SUMPRODUCT(MAX((T_PlannedOrders[Part Name]=$A959)*(T_PlannedOrders[WeekIndex]=73)*(T_PlannedOrders[EffectiveQty]&gt;0)*T_PlannedOrders[Order_Month])),"m月")&amp;"発注)")</f>
        <v/>
      </c>
      <c r="BY969">
        <f>IF(SUMIFS(T_PlannedOrders[EffectiveQty],T_PlannedOrders[Part Name],$A959,T_PlannedOrders[WeekIndex],74)=0,"",SUMIFS(T_PlannedOrders[EffectiveQty],T_PlannedOrders[Part Name],$A959,T_PlannedOrders[WeekIndex],74)&amp;" ("&amp;TEXT(SUMPRODUCT(MAX((T_PlannedOrders[Part Name]=$A959)*(T_PlannedOrders[WeekIndex]=74)*(T_PlannedOrders[EffectiveQty]&gt;0)*T_PlannedOrders[Order_Month])),"m月")&amp;"発注)")</f>
        <v/>
      </c>
      <c r="BZ969">
        <f>IF(SUMIFS(T_PlannedOrders[EffectiveQty],T_PlannedOrders[Part Name],$A959,T_PlannedOrders[WeekIndex],75)=0,"",SUMIFS(T_PlannedOrders[EffectiveQty],T_PlannedOrders[Part Name],$A959,T_PlannedOrders[WeekIndex],75)&amp;" ("&amp;TEXT(SUMPRODUCT(MAX((T_PlannedOrders[Part Name]=$A959)*(T_PlannedOrders[WeekIndex]=75)*(T_PlannedOrders[EffectiveQty]&gt;0)*T_PlannedOrders[Order_Month])),"m月")&amp;"発注)")</f>
        <v/>
      </c>
      <c r="CA969">
        <f>IF(SUMIFS(T_PlannedOrders[EffectiveQty],T_PlannedOrders[Part Name],$A959,T_PlannedOrders[WeekIndex],76)=0,"",SUMIFS(T_PlannedOrders[EffectiveQty],T_PlannedOrders[Part Name],$A959,T_PlannedOrders[WeekIndex],76)&amp;" ("&amp;TEXT(SUMPRODUCT(MAX((T_PlannedOrders[Part Name]=$A959)*(T_PlannedOrders[WeekIndex]=76)*(T_PlannedOrders[EffectiveQty]&gt;0)*T_PlannedOrders[Order_Month])),"m月")&amp;"発注)")</f>
        <v/>
      </c>
      <c r="CB969">
        <f>IF(SUMIFS(T_PlannedOrders[EffectiveQty],T_PlannedOrders[Part Name],$A959,T_PlannedOrders[WeekIndex],77)=0,"",SUMIFS(T_PlannedOrders[EffectiveQty],T_PlannedOrders[Part Name],$A959,T_PlannedOrders[WeekIndex],77)&amp;" ("&amp;TEXT(SUMPRODUCT(MAX((T_PlannedOrders[Part Name]=$A959)*(T_PlannedOrders[WeekIndex]=77)*(T_PlannedOrders[EffectiveQty]&gt;0)*T_PlannedOrders[Order_Month])),"m月")&amp;"発注)")</f>
        <v/>
      </c>
      <c r="CC969">
        <f>IF(SUMIFS(T_PlannedOrders[EffectiveQty],T_PlannedOrders[Part Name],$A959,T_PlannedOrders[WeekIndex],78)=0,"",SUMIFS(T_PlannedOrders[EffectiveQty],T_PlannedOrders[Part Name],$A959,T_PlannedOrders[WeekIndex],78)&amp;" ("&amp;TEXT(SUMPRODUCT(MAX((T_PlannedOrders[Part Name]=$A959)*(T_PlannedOrders[WeekIndex]=78)*(T_PlannedOrders[EffectiveQty]&gt;0)*T_PlannedOrders[Order_Month])),"m月")&amp;"発注)")</f>
        <v/>
      </c>
      <c r="CD969">
        <f>IF(SUMIFS(T_PlannedOrders[EffectiveQty],T_PlannedOrders[Part Name],$A959,T_PlannedOrders[WeekIndex],79)=0,"",SUMIFS(T_PlannedOrders[EffectiveQty],T_PlannedOrders[Part Name],$A959,T_PlannedOrders[WeekIndex],79)&amp;" ("&amp;TEXT(SUMPRODUCT(MAX((T_PlannedOrders[Part Name]=$A959)*(T_PlannedOrders[WeekIndex]=79)*(T_PlannedOrders[EffectiveQty]&gt;0)*T_PlannedOrders[Order_Month])),"m月")&amp;"発注)")</f>
        <v/>
      </c>
      <c r="CE969">
        <f>IF(SUMIFS(T_PlannedOrders[EffectiveQty],T_PlannedOrders[Part Name],$A959,T_PlannedOrders[WeekIndex],80)=0,"",SUMIFS(T_PlannedOrders[EffectiveQty],T_PlannedOrders[Part Name],$A959,T_PlannedOrders[WeekIndex],80)&amp;" ("&amp;TEXT(SUMPRODUCT(MAX((T_PlannedOrders[Part Name]=$A959)*(T_PlannedOrders[WeekIndex]=80)*(T_PlannedOrders[EffectiveQty]&gt;0)*T_PlannedOrders[Order_Month])),"m月")&amp;"発注)")</f>
        <v/>
      </c>
      <c r="CF969">
        <f>IF(SUMIFS(T_PlannedOrders[EffectiveQty],T_PlannedOrders[Part Name],$A959,T_PlannedOrders[WeekIndex],81)=0,"",SUMIFS(T_PlannedOrders[EffectiveQty],T_PlannedOrders[Part Name],$A959,T_PlannedOrders[WeekIndex],81)&amp;" ("&amp;TEXT(SUMPRODUCT(MAX((T_PlannedOrders[Part Name]=$A959)*(T_PlannedOrders[WeekIndex]=81)*(T_PlannedOrders[EffectiveQty]&gt;0)*T_PlannedOrders[Order_Month])),"m月")&amp;"発注)")</f>
        <v/>
      </c>
      <c r="CG969">
        <f>IF(SUMIFS(T_PlannedOrders[EffectiveQty],T_PlannedOrders[Part Name],$A959,T_PlannedOrders[WeekIndex],82)=0,"",SUMIFS(T_PlannedOrders[EffectiveQty],T_PlannedOrders[Part Name],$A959,T_PlannedOrders[WeekIndex],82)&amp;" ("&amp;TEXT(SUMPRODUCT(MAX((T_PlannedOrders[Part Name]=$A959)*(T_PlannedOrders[WeekIndex]=82)*(T_PlannedOrders[EffectiveQty]&gt;0)*T_PlannedOrders[Order_Month])),"m月")&amp;"発注)")</f>
        <v/>
      </c>
      <c r="CH969">
        <f>IF(SUMIFS(T_PlannedOrders[EffectiveQty],T_PlannedOrders[Part Name],$A959,T_PlannedOrders[WeekIndex],83)=0,"",SUMIFS(T_PlannedOrders[EffectiveQty],T_PlannedOrders[Part Name],$A959,T_PlannedOrders[WeekIndex],83)&amp;" ("&amp;TEXT(SUMPRODUCT(MAX((T_PlannedOrders[Part Name]=$A959)*(T_PlannedOrders[WeekIndex]=83)*(T_PlannedOrders[EffectiveQty]&gt;0)*T_PlannedOrders[Order_Month])),"m月")&amp;"発注)")</f>
        <v/>
      </c>
      <c r="CI969">
        <f>IF(SUMIFS(T_PlannedOrders[EffectiveQty],T_PlannedOrders[Part Name],$A959,T_PlannedOrders[WeekIndex],84)=0,"",SUMIFS(T_PlannedOrders[EffectiveQty],T_PlannedOrders[Part Name],$A959,T_PlannedOrders[WeekIndex],84)&amp;" ("&amp;TEXT(SUMPRODUCT(MAX((T_PlannedOrders[Part Name]=$A959)*(T_PlannedOrders[WeekIndex]=84)*(T_PlannedOrders[EffectiveQty]&gt;0)*T_PlannedOrders[Order_Month])),"m月")&amp;"発注)")</f>
        <v/>
      </c>
      <c r="CJ969">
        <f>IF(SUMIFS(T_PlannedOrders[EffectiveQty],T_PlannedOrders[Part Name],$A959,T_PlannedOrders[WeekIndex],85)=0,"",SUMIFS(T_PlannedOrders[EffectiveQty],T_PlannedOrders[Part Name],$A959,T_PlannedOrders[WeekIndex],85)&amp;" ("&amp;TEXT(SUMPRODUCT(MAX((T_PlannedOrders[Part Name]=$A959)*(T_PlannedOrders[WeekIndex]=85)*(T_PlannedOrders[EffectiveQty]&gt;0)*T_PlannedOrders[Order_Month])),"m月")&amp;"発注)")</f>
        <v/>
      </c>
      <c r="CK969">
        <f>IF(SUMIFS(T_PlannedOrders[EffectiveQty],T_PlannedOrders[Part Name],$A959,T_PlannedOrders[WeekIndex],86)=0,"",SUMIFS(T_PlannedOrders[EffectiveQty],T_PlannedOrders[Part Name],$A959,T_PlannedOrders[WeekIndex],86)&amp;" ("&amp;TEXT(SUMPRODUCT(MAX((T_PlannedOrders[Part Name]=$A959)*(T_PlannedOrders[WeekIndex]=86)*(T_PlannedOrders[EffectiveQty]&gt;0)*T_PlannedOrders[Order_Month])),"m月")&amp;"発注)")</f>
        <v/>
      </c>
      <c r="CL969">
        <f>IF(SUMIFS(T_PlannedOrders[EffectiveQty],T_PlannedOrders[Part Name],$A959,T_PlannedOrders[WeekIndex],87)=0,"",SUMIFS(T_PlannedOrders[EffectiveQty],T_PlannedOrders[Part Name],$A959,T_PlannedOrders[WeekIndex],87)&amp;" ("&amp;TEXT(SUMPRODUCT(MAX((T_PlannedOrders[Part Name]=$A959)*(T_PlannedOrders[WeekIndex]=87)*(T_PlannedOrders[EffectiveQty]&gt;0)*T_PlannedOrders[Order_Month])),"m月")&amp;"発注)")</f>
        <v/>
      </c>
      <c r="CM969">
        <f>IF(SUMIFS(T_PlannedOrders[EffectiveQty],T_PlannedOrders[Part Name],$A959,T_PlannedOrders[WeekIndex],88)=0,"",SUMIFS(T_PlannedOrders[EffectiveQty],T_PlannedOrders[Part Name],$A959,T_PlannedOrders[WeekIndex],88)&amp;" ("&amp;TEXT(SUMPRODUCT(MAX((T_PlannedOrders[Part Name]=$A959)*(T_PlannedOrders[WeekIndex]=88)*(T_PlannedOrders[EffectiveQty]&gt;0)*T_PlannedOrders[Order_Month])),"m月")&amp;"発注)")</f>
        <v/>
      </c>
      <c r="CN969">
        <f>IF(SUMIFS(T_PlannedOrders[EffectiveQty],T_PlannedOrders[Part Name],$A959,T_PlannedOrders[WeekIndex],89)=0,"",SUMIFS(T_PlannedOrders[EffectiveQty],T_PlannedOrders[Part Name],$A959,T_PlannedOrders[WeekIndex],89)&amp;" ("&amp;TEXT(SUMPRODUCT(MAX((T_PlannedOrders[Part Name]=$A959)*(T_PlannedOrders[WeekIndex]=89)*(T_PlannedOrders[EffectiveQty]&gt;0)*T_PlannedOrders[Order_Month])),"m月")&amp;"発注)")</f>
        <v/>
      </c>
      <c r="CO969">
        <f>IF(SUMIFS(T_PlannedOrders[EffectiveQty],T_PlannedOrders[Part Name],$A959,T_PlannedOrders[WeekIndex],90)=0,"",SUMIFS(T_PlannedOrders[EffectiveQty],T_PlannedOrders[Part Name],$A959,T_PlannedOrders[WeekIndex],90)&amp;" ("&amp;TEXT(SUMPRODUCT(MAX((T_PlannedOrders[Part Name]=$A959)*(T_PlannedOrders[WeekIndex]=90)*(T_PlannedOrders[EffectiveQty]&gt;0)*T_PlannedOrders[Order_Month])),"m月")&amp;"発注)")</f>
        <v/>
      </c>
      <c r="CP969">
        <f>IF(SUMIFS(T_PlannedOrders[EffectiveQty],T_PlannedOrders[Part Name],$A959,T_PlannedOrders[WeekIndex],91)=0,"",SUMIFS(T_PlannedOrders[EffectiveQty],T_PlannedOrders[Part Name],$A959,T_PlannedOrders[WeekIndex],91)&amp;" ("&amp;TEXT(SUMPRODUCT(MAX((T_PlannedOrders[Part Name]=$A959)*(T_PlannedOrders[WeekIndex]=91)*(T_PlannedOrders[EffectiveQty]&gt;0)*T_PlannedOrders[Order_Month])),"m月")&amp;"発注)")</f>
        <v/>
      </c>
      <c r="CQ969">
        <f>IF(SUMIFS(T_PlannedOrders[EffectiveQty],T_PlannedOrders[Part Name],$A959,T_PlannedOrders[WeekIndex],92)=0,"",SUMIFS(T_PlannedOrders[EffectiveQty],T_PlannedOrders[Part Name],$A959,T_PlannedOrders[WeekIndex],92)&amp;" ("&amp;TEXT(SUMPRODUCT(MAX((T_PlannedOrders[Part Name]=$A959)*(T_PlannedOrders[WeekIndex]=92)*(T_PlannedOrders[EffectiveQty]&gt;0)*T_PlannedOrders[Order_Month])),"m月")&amp;"発注)")</f>
        <v/>
      </c>
      <c r="CR969">
        <f>IF(SUMIFS(T_PlannedOrders[EffectiveQty],T_PlannedOrders[Part Name],$A959,T_PlannedOrders[WeekIndex],93)=0,"",SUMIFS(T_PlannedOrders[EffectiveQty],T_PlannedOrders[Part Name],$A959,T_PlannedOrders[WeekIndex],93)&amp;" ("&amp;TEXT(SUMPRODUCT(MAX((T_PlannedOrders[Part Name]=$A959)*(T_PlannedOrders[WeekIndex]=93)*(T_PlannedOrders[EffectiveQty]&gt;0)*T_PlannedOrders[Order_Month])),"m月")&amp;"発注)")</f>
        <v/>
      </c>
      <c r="CS969">
        <f>IF(SUMIFS(T_PlannedOrders[EffectiveQty],T_PlannedOrders[Part Name],$A959,T_PlannedOrders[WeekIndex],94)=0,"",SUMIFS(T_PlannedOrders[EffectiveQty],T_PlannedOrders[Part Name],$A959,T_PlannedOrders[WeekIndex],94)&amp;" ("&amp;TEXT(SUMPRODUCT(MAX((T_PlannedOrders[Part Name]=$A959)*(T_PlannedOrders[WeekIndex]=94)*(T_PlannedOrders[EffectiveQty]&gt;0)*T_PlannedOrders[Order_Month])),"m月")&amp;"発注)")</f>
        <v/>
      </c>
      <c r="CT969">
        <f>IF(SUMIFS(T_PlannedOrders[EffectiveQty],T_PlannedOrders[Part Name],$A959,T_PlannedOrders[WeekIndex],95)=0,"",SUMIFS(T_PlannedOrders[EffectiveQty],T_PlannedOrders[Part Name],$A959,T_PlannedOrders[WeekIndex],95)&amp;" ("&amp;TEXT(SUMPRODUCT(MAX((T_PlannedOrders[Part Name]=$A959)*(T_PlannedOrders[WeekIndex]=95)*(T_PlannedOrders[EffectiveQty]&gt;0)*T_PlannedOrders[Order_Month])),"m月")&amp;"発注)")</f>
        <v/>
      </c>
      <c r="CU969">
        <f>IF(SUMIFS(T_PlannedOrders[EffectiveQty],T_PlannedOrders[Part Name],$A959,T_PlannedOrders[WeekIndex],96)=0,"",SUMIFS(T_PlannedOrders[EffectiveQty],T_PlannedOrders[Part Name],$A959,T_PlannedOrders[WeekIndex],96)&amp;" ("&amp;TEXT(SUMPRODUCT(MAX((T_PlannedOrders[Part Name]=$A959)*(T_PlannedOrders[WeekIndex]=96)*(T_PlannedOrders[EffectiveQty]&gt;0)*T_PlannedOrders[Order_Month])),"m月")&amp;"発注)")</f>
        <v/>
      </c>
      <c r="CV969">
        <f>IF(SUMIFS(T_PlannedOrders[EffectiveQty],T_PlannedOrders[Part Name],$A959,T_PlannedOrders[WeekIndex],97)=0,"",SUMIFS(T_PlannedOrders[EffectiveQty],T_PlannedOrders[Part Name],$A959,T_PlannedOrders[WeekIndex],97)&amp;" ("&amp;TEXT(SUMPRODUCT(MAX((T_PlannedOrders[Part Name]=$A959)*(T_PlannedOrders[WeekIndex]=97)*(T_PlannedOrders[EffectiveQty]&gt;0)*T_PlannedOrders[Order_Month])),"m月")&amp;"発注)")</f>
        <v/>
      </c>
      <c r="CW969">
        <f>IF(SUMIFS(T_PlannedOrders[EffectiveQty],T_PlannedOrders[Part Name],$A959,T_PlannedOrders[WeekIndex],98)=0,"",SUMIFS(T_PlannedOrders[EffectiveQty],T_PlannedOrders[Part Name],$A959,T_PlannedOrders[WeekIndex],98)&amp;" ("&amp;TEXT(SUMPRODUCT(MAX((T_PlannedOrders[Part Name]=$A959)*(T_PlannedOrders[WeekIndex]=98)*(T_PlannedOrders[EffectiveQty]&gt;0)*T_PlannedOrders[Order_Month])),"m月")&amp;"発注)")</f>
        <v/>
      </c>
      <c r="CX969">
        <f>IF(SUMIFS(T_PlannedOrders[EffectiveQty],T_PlannedOrders[Part Name],$A959,T_PlannedOrders[WeekIndex],99)=0,"",SUMIFS(T_PlannedOrders[EffectiveQty],T_PlannedOrders[Part Name],$A959,T_PlannedOrders[WeekIndex],99)&amp;" ("&amp;TEXT(SUMPRODUCT(MAX((T_PlannedOrders[Part Name]=$A959)*(T_PlannedOrders[WeekIndex]=99)*(T_PlannedOrders[EffectiveQty]&gt;0)*T_PlannedOrders[Order_Month])),"m月")&amp;"発注)")</f>
        <v/>
      </c>
      <c r="CY969">
        <f>IF(SUMIFS(T_PlannedOrders[EffectiveQty],T_PlannedOrders[Part Name],$A959,T_PlannedOrders[WeekIndex],100)=0,"",SUMIFS(T_PlannedOrders[EffectiveQty],T_PlannedOrders[Part Name],$A959,T_PlannedOrders[WeekIndex],100)&amp;" ("&amp;TEXT(SUMPRODUCT(MAX((T_PlannedOrders[Part Name]=$A959)*(T_PlannedOrders[WeekIndex]=100)*(T_PlannedOrders[EffectiveQty]&gt;0)*T_PlannedOrders[Order_Month])),"m月")&amp;"発注)")</f>
        <v/>
      </c>
      <c r="CZ969">
        <f>IF(SUMIFS(T_PlannedOrders[EffectiveQty],T_PlannedOrders[Part Name],$A959,T_PlannedOrders[WeekIndex],101)=0,"",SUMIFS(T_PlannedOrders[EffectiveQty],T_PlannedOrders[Part Name],$A959,T_PlannedOrders[WeekIndex],101)&amp;" ("&amp;TEXT(SUMPRODUCT(MAX((T_PlannedOrders[Part Name]=$A959)*(T_PlannedOrders[WeekIndex]=101)*(T_PlannedOrders[EffectiveQty]&gt;0)*T_PlannedOrders[Order_Month])),"m月")&amp;"発注)")</f>
        <v/>
      </c>
      <c r="DA969">
        <f>IF(SUMIFS(T_PlannedOrders[EffectiveQty],T_PlannedOrders[Part Name],$A959,T_PlannedOrders[WeekIndex],102)=0,"",SUMIFS(T_PlannedOrders[EffectiveQty],T_PlannedOrders[Part Name],$A959,T_PlannedOrders[WeekIndex],102)&amp;" ("&amp;TEXT(SUMPRODUCT(MAX((T_PlannedOrders[Part Name]=$A959)*(T_PlannedOrders[WeekIndex]=102)*(T_PlannedOrders[EffectiveQty]&gt;0)*T_PlannedOrders[Order_Month])),"m月")&amp;"発注)")</f>
        <v/>
      </c>
      <c r="DB969">
        <f>IF(SUMIFS(T_PlannedOrders[EffectiveQty],T_PlannedOrders[Part Name],$A959,T_PlannedOrders[WeekIndex],103)=0,"",SUMIFS(T_PlannedOrders[EffectiveQty],T_PlannedOrders[Part Name],$A959,T_PlannedOrders[WeekIndex],103)&amp;" ("&amp;TEXT(SUMPRODUCT(MAX((T_PlannedOrders[Part Name]=$A959)*(T_PlannedOrders[WeekIndex]=103)*(T_PlannedOrders[EffectiveQty]&gt;0)*T_PlannedOrders[Order_Month])),"m月")&amp;"発注)")</f>
        <v/>
      </c>
      <c r="DC969">
        <f>IF(SUMIFS(T_PlannedOrders[EffectiveQty],T_PlannedOrders[Part Name],$A959,T_PlannedOrders[WeekIndex],104)=0,"",SUMIFS(T_PlannedOrders[EffectiveQty],T_PlannedOrders[Part Name],$A959,T_PlannedOrders[WeekIndex],104)&amp;" ("&amp;TEXT(SUMPRODUCT(MAX((T_PlannedOrders[Part Name]=$A959)*(T_PlannedOrders[WeekIndex]=104)*(T_PlannedOrders[EffectiveQty]&gt;0)*T_PlannedOrders[Order_Month])),"m月")&amp;"発注)")</f>
        <v/>
      </c>
    </row>
    <row r="970">
      <c r="B970" s="4" t="inlineStr">
        <is>
          <t>合計在庫(週末時点,kg)</t>
        </is>
      </c>
      <c r="D970">
        <f>'Grid_Stock'!B23</f>
        <v/>
      </c>
      <c r="E970">
        <f>'Grid_Stock'!C23</f>
        <v/>
      </c>
      <c r="F970">
        <f>'Grid_Stock'!D23</f>
        <v/>
      </c>
      <c r="G970">
        <f>'Grid_Stock'!E23</f>
        <v/>
      </c>
      <c r="H970">
        <f>'Grid_Stock'!F23</f>
        <v/>
      </c>
      <c r="I970">
        <f>'Grid_Stock'!G23</f>
        <v/>
      </c>
      <c r="J970">
        <f>'Grid_Stock'!H23</f>
        <v/>
      </c>
      <c r="K970">
        <f>'Grid_Stock'!I23</f>
        <v/>
      </c>
      <c r="L970">
        <f>'Grid_Stock'!J23</f>
        <v/>
      </c>
      <c r="M970">
        <f>'Grid_Stock'!K23</f>
        <v/>
      </c>
      <c r="N970">
        <f>'Grid_Stock'!L23</f>
        <v/>
      </c>
      <c r="O970">
        <f>'Grid_Stock'!M23</f>
        <v/>
      </c>
      <c r="P970">
        <f>'Grid_Stock'!N23</f>
        <v/>
      </c>
      <c r="Q970">
        <f>'Grid_Stock'!O23</f>
        <v/>
      </c>
      <c r="R970">
        <f>'Grid_Stock'!P23</f>
        <v/>
      </c>
      <c r="S970">
        <f>'Grid_Stock'!Q23</f>
        <v/>
      </c>
      <c r="T970">
        <f>'Grid_Stock'!R23</f>
        <v/>
      </c>
      <c r="U970">
        <f>'Grid_Stock'!S23</f>
        <v/>
      </c>
      <c r="V970">
        <f>'Grid_Stock'!T23</f>
        <v/>
      </c>
      <c r="W970">
        <f>'Grid_Stock'!U23</f>
        <v/>
      </c>
      <c r="X970">
        <f>'Grid_Stock'!V23</f>
        <v/>
      </c>
      <c r="Y970">
        <f>'Grid_Stock'!W23</f>
        <v/>
      </c>
      <c r="Z970">
        <f>'Grid_Stock'!X23</f>
        <v/>
      </c>
      <c r="AA970">
        <f>'Grid_Stock'!Y23</f>
        <v/>
      </c>
      <c r="AB970">
        <f>'Grid_Stock'!Z23</f>
        <v/>
      </c>
      <c r="AC970">
        <f>'Grid_Stock'!AA23</f>
        <v/>
      </c>
      <c r="AD970">
        <f>'Grid_Stock'!AB23</f>
        <v/>
      </c>
      <c r="AE970">
        <f>'Grid_Stock'!AC23</f>
        <v/>
      </c>
      <c r="AF970">
        <f>'Grid_Stock'!AD23</f>
        <v/>
      </c>
      <c r="AG970">
        <f>'Grid_Stock'!AE23</f>
        <v/>
      </c>
      <c r="AH970">
        <f>'Grid_Stock'!AF23</f>
        <v/>
      </c>
      <c r="AI970">
        <f>'Grid_Stock'!AG23</f>
        <v/>
      </c>
      <c r="AJ970">
        <f>'Grid_Stock'!AH23</f>
        <v/>
      </c>
      <c r="AK970">
        <f>'Grid_Stock'!AI23</f>
        <v/>
      </c>
      <c r="AL970">
        <f>'Grid_Stock'!AJ23</f>
        <v/>
      </c>
      <c r="AM970">
        <f>'Grid_Stock'!AK23</f>
        <v/>
      </c>
      <c r="AN970">
        <f>'Grid_Stock'!AL23</f>
        <v/>
      </c>
      <c r="AO970">
        <f>'Grid_Stock'!AM23</f>
        <v/>
      </c>
      <c r="AP970">
        <f>'Grid_Stock'!AN23</f>
        <v/>
      </c>
      <c r="AQ970">
        <f>'Grid_Stock'!AO23</f>
        <v/>
      </c>
      <c r="AR970">
        <f>'Grid_Stock'!AP23</f>
        <v/>
      </c>
      <c r="AS970">
        <f>'Grid_Stock'!AQ23</f>
        <v/>
      </c>
      <c r="AT970">
        <f>'Grid_Stock'!AR23</f>
        <v/>
      </c>
      <c r="AU970">
        <f>'Grid_Stock'!AS23</f>
        <v/>
      </c>
      <c r="AV970">
        <f>'Grid_Stock'!AT23</f>
        <v/>
      </c>
      <c r="AW970">
        <f>'Grid_Stock'!AU23</f>
        <v/>
      </c>
      <c r="AX970">
        <f>'Grid_Stock'!AV23</f>
        <v/>
      </c>
      <c r="AY970">
        <f>'Grid_Stock'!AW23</f>
        <v/>
      </c>
      <c r="AZ970">
        <f>'Grid_Stock'!AX23</f>
        <v/>
      </c>
      <c r="BA970">
        <f>'Grid_Stock'!AY23</f>
        <v/>
      </c>
      <c r="BB970">
        <f>'Grid_Stock'!AZ23</f>
        <v/>
      </c>
      <c r="BC970">
        <f>'Grid_Stock'!BA23</f>
        <v/>
      </c>
      <c r="BD970">
        <f>'Grid_Stock'!BB23</f>
        <v/>
      </c>
      <c r="BE970">
        <f>'Grid_Stock'!BC23</f>
        <v/>
      </c>
      <c r="BF970">
        <f>'Grid_Stock'!BD23</f>
        <v/>
      </c>
      <c r="BG970">
        <f>'Grid_Stock'!BE23</f>
        <v/>
      </c>
      <c r="BH970">
        <f>'Grid_Stock'!BF23</f>
        <v/>
      </c>
      <c r="BI970">
        <f>'Grid_Stock'!BG23</f>
        <v/>
      </c>
      <c r="BJ970">
        <f>'Grid_Stock'!BH23</f>
        <v/>
      </c>
      <c r="BK970">
        <f>'Grid_Stock'!BI23</f>
        <v/>
      </c>
      <c r="BL970">
        <f>'Grid_Stock'!BJ23</f>
        <v/>
      </c>
      <c r="BM970">
        <f>'Grid_Stock'!BK23</f>
        <v/>
      </c>
      <c r="BN970">
        <f>'Grid_Stock'!BL23</f>
        <v/>
      </c>
      <c r="BO970">
        <f>'Grid_Stock'!BM23</f>
        <v/>
      </c>
      <c r="BP970">
        <f>'Grid_Stock'!BN23</f>
        <v/>
      </c>
      <c r="BQ970">
        <f>'Grid_Stock'!BO23</f>
        <v/>
      </c>
      <c r="BR970">
        <f>'Grid_Stock'!BP23</f>
        <v/>
      </c>
      <c r="BS970">
        <f>'Grid_Stock'!BQ23</f>
        <v/>
      </c>
      <c r="BT970">
        <f>'Grid_Stock'!BR23</f>
        <v/>
      </c>
      <c r="BU970">
        <f>'Grid_Stock'!BS23</f>
        <v/>
      </c>
      <c r="BV970">
        <f>'Grid_Stock'!BT23</f>
        <v/>
      </c>
      <c r="BW970">
        <f>'Grid_Stock'!BU23</f>
        <v/>
      </c>
      <c r="BX970">
        <f>'Grid_Stock'!BV23</f>
        <v/>
      </c>
      <c r="BY970">
        <f>'Grid_Stock'!BW23</f>
        <v/>
      </c>
      <c r="BZ970">
        <f>'Grid_Stock'!BX23</f>
        <v/>
      </c>
      <c r="CA970">
        <f>'Grid_Stock'!BY23</f>
        <v/>
      </c>
      <c r="CB970">
        <f>'Grid_Stock'!BZ23</f>
        <v/>
      </c>
      <c r="CC970">
        <f>'Grid_Stock'!CA23</f>
        <v/>
      </c>
      <c r="CD970">
        <f>'Grid_Stock'!CB23</f>
        <v/>
      </c>
      <c r="CE970">
        <f>'Grid_Stock'!CC23</f>
        <v/>
      </c>
      <c r="CF970">
        <f>'Grid_Stock'!CD23</f>
        <v/>
      </c>
      <c r="CG970">
        <f>'Grid_Stock'!CE23</f>
        <v/>
      </c>
      <c r="CH970">
        <f>'Grid_Stock'!CF23</f>
        <v/>
      </c>
      <c r="CI970">
        <f>'Grid_Stock'!CG23</f>
        <v/>
      </c>
      <c r="CJ970">
        <f>'Grid_Stock'!CH23</f>
        <v/>
      </c>
      <c r="CK970">
        <f>'Grid_Stock'!CI23</f>
        <v/>
      </c>
      <c r="CL970">
        <f>'Grid_Stock'!CJ23</f>
        <v/>
      </c>
      <c r="CM970">
        <f>'Grid_Stock'!CK23</f>
        <v/>
      </c>
      <c r="CN970">
        <f>'Grid_Stock'!CL23</f>
        <v/>
      </c>
      <c r="CO970">
        <f>'Grid_Stock'!CM23</f>
        <v/>
      </c>
      <c r="CP970">
        <f>'Grid_Stock'!CN23</f>
        <v/>
      </c>
      <c r="CQ970">
        <f>'Grid_Stock'!CO23</f>
        <v/>
      </c>
      <c r="CR970">
        <f>'Grid_Stock'!CP23</f>
        <v/>
      </c>
      <c r="CS970">
        <f>'Grid_Stock'!CQ23</f>
        <v/>
      </c>
      <c r="CT970">
        <f>'Grid_Stock'!CR23</f>
        <v/>
      </c>
      <c r="CU970">
        <f>'Grid_Stock'!CS23</f>
        <v/>
      </c>
      <c r="CV970">
        <f>'Grid_Stock'!CT23</f>
        <v/>
      </c>
      <c r="CW970">
        <f>'Grid_Stock'!CU23</f>
        <v/>
      </c>
      <c r="CX970">
        <f>'Grid_Stock'!CV23</f>
        <v/>
      </c>
      <c r="CY970">
        <f>'Grid_Stock'!CW23</f>
        <v/>
      </c>
      <c r="CZ970">
        <f>'Grid_Stock'!CX23</f>
        <v/>
      </c>
      <c r="DA970">
        <f>'Grid_Stock'!CY23</f>
        <v/>
      </c>
      <c r="DB970">
        <f>'Grid_Stock'!CZ23</f>
        <v/>
      </c>
      <c r="DC970">
        <f>'Grid_Stock'!DA23</f>
        <v/>
      </c>
    </row>
    <row r="971">
      <c r="B971" s="16" t="inlineStr">
        <is>
          <t>（発注の目安はDashboardの基準在庫[下限/上限]と色分けを参照）</t>
        </is>
      </c>
    </row>
    <row r="973">
      <c r="A973" s="14" t="inlineStr">
        <is>
          <t>CHEM-1680</t>
        </is>
      </c>
      <c r="B973" s="14" t="inlineStr">
        <is>
          <t>NAT38</t>
        </is>
      </c>
      <c r="C973" s="15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  <c r="AA973" s="14" t="n"/>
      <c r="AB973" s="14" t="n"/>
      <c r="AC973" s="14" t="n"/>
      <c r="AD973" s="14" t="n"/>
      <c r="AE973" s="14" t="n"/>
      <c r="AF973" s="14" t="n"/>
      <c r="AG973" s="14" t="n"/>
      <c r="AH973" s="14" t="n"/>
      <c r="AI973" s="14" t="n"/>
      <c r="AJ973" s="14" t="n"/>
      <c r="AK973" s="14" t="n"/>
      <c r="AL973" s="14" t="n"/>
      <c r="AM973" s="14" t="n"/>
      <c r="AN973" s="14" t="n"/>
      <c r="AO973" s="14" t="n"/>
      <c r="AP973" s="14" t="n"/>
      <c r="AQ973" s="14" t="n"/>
      <c r="AR973" s="14" t="n"/>
      <c r="AS973" s="14" t="n"/>
      <c r="AT973" s="14" t="n"/>
      <c r="AU973" s="14" t="n"/>
      <c r="AV973" s="14" t="n"/>
      <c r="AW973" s="14" t="n"/>
      <c r="AX973" s="14" t="n"/>
      <c r="AY973" s="14" t="n"/>
      <c r="AZ973" s="14" t="n"/>
      <c r="BA973" s="14" t="n"/>
      <c r="BB973" s="14" t="n"/>
      <c r="BC973" s="14" t="n"/>
      <c r="BD973" s="14" t="n"/>
      <c r="BE973" s="14" t="n"/>
      <c r="BF973" s="14" t="n"/>
      <c r="BG973" s="14" t="n"/>
      <c r="BH973" s="14" t="n"/>
      <c r="BI973" s="14" t="n"/>
      <c r="BJ973" s="14" t="n"/>
      <c r="BK973" s="14" t="n"/>
      <c r="BL973" s="14" t="n"/>
      <c r="BM973" s="14" t="n"/>
      <c r="BN973" s="14" t="n"/>
      <c r="BO973" s="14" t="n"/>
      <c r="BP973" s="14" t="n"/>
      <c r="BQ973" s="14" t="n"/>
      <c r="BR973" s="14" t="n"/>
      <c r="BS973" s="14" t="n"/>
      <c r="BT973" s="14" t="n"/>
      <c r="BU973" s="14" t="n"/>
      <c r="BV973" s="14" t="n"/>
      <c r="BW973" s="14" t="n"/>
      <c r="BX973" s="14" t="n"/>
      <c r="BY973" s="14" t="n"/>
      <c r="BZ973" s="14" t="n"/>
      <c r="CA973" s="14" t="n"/>
      <c r="CB973" s="14" t="n"/>
      <c r="CC973" s="14" t="n"/>
      <c r="CD973" s="14" t="n"/>
      <c r="CE973" s="14" t="n"/>
      <c r="CF973" s="14" t="n"/>
      <c r="CG973" s="14" t="n"/>
      <c r="CH973" s="14" t="n"/>
      <c r="CI973" s="14" t="n"/>
      <c r="CJ973" s="14" t="n"/>
      <c r="CK973" s="14" t="n"/>
      <c r="CL973" s="14" t="n"/>
      <c r="CM973" s="14" t="n"/>
      <c r="CN973" s="14" t="n"/>
      <c r="CO973" s="14" t="n"/>
      <c r="CP973" s="14" t="n"/>
      <c r="CQ973" s="14" t="n"/>
      <c r="CR973" s="14" t="n"/>
      <c r="CS973" s="14" t="n"/>
      <c r="CT973" s="14" t="n"/>
      <c r="CU973" s="14" t="n"/>
      <c r="CV973" s="14" t="n"/>
      <c r="CW973" s="14" t="n"/>
      <c r="CX973" s="14" t="n"/>
      <c r="CY973" s="14" t="n"/>
      <c r="CZ973" s="14" t="n"/>
      <c r="DA973" s="14" t="n"/>
      <c r="DB973" s="14" t="n"/>
      <c r="DC973" s="14" t="n"/>
    </row>
    <row r="974">
      <c r="B974" t="inlineStr">
        <is>
          <t>TPP-611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Name],$A973)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TPP-613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TPP-915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TPP-920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7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TPP-914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7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TPP-919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TPP-916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TPP-917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TPP-922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TPP-923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Name],$A973)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No of times used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Name],$A973)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s="4" t="inlineStr">
        <is>
          <t>合計使用量(kg)/週</t>
        </is>
      </c>
      <c r="D996">
        <f>'Grid_Requirement'!B27</f>
        <v/>
      </c>
      <c r="E996">
        <f>'Grid_Requirement'!C27</f>
        <v/>
      </c>
      <c r="F996">
        <f>'Grid_Requirement'!D27</f>
        <v/>
      </c>
      <c r="G996">
        <f>'Grid_Requirement'!E27</f>
        <v/>
      </c>
      <c r="H996">
        <f>'Grid_Requirement'!F27</f>
        <v/>
      </c>
      <c r="I996">
        <f>'Grid_Requirement'!G27</f>
        <v/>
      </c>
      <c r="J996">
        <f>'Grid_Requirement'!H27</f>
        <v/>
      </c>
      <c r="K996">
        <f>'Grid_Requirement'!I27</f>
        <v/>
      </c>
      <c r="L996">
        <f>'Grid_Requirement'!J27</f>
        <v/>
      </c>
      <c r="M996">
        <f>'Grid_Requirement'!K27</f>
        <v/>
      </c>
      <c r="N996">
        <f>'Grid_Requirement'!L27</f>
        <v/>
      </c>
      <c r="O996">
        <f>'Grid_Requirement'!M27</f>
        <v/>
      </c>
      <c r="P996">
        <f>'Grid_Requirement'!N27</f>
        <v/>
      </c>
      <c r="Q996">
        <f>'Grid_Requirement'!O27</f>
        <v/>
      </c>
      <c r="R996">
        <f>'Grid_Requirement'!P27</f>
        <v/>
      </c>
      <c r="S996">
        <f>'Grid_Requirement'!Q27</f>
        <v/>
      </c>
      <c r="T996">
        <f>'Grid_Requirement'!R27</f>
        <v/>
      </c>
      <c r="U996">
        <f>'Grid_Requirement'!S27</f>
        <v/>
      </c>
      <c r="V996">
        <f>'Grid_Requirement'!T27</f>
        <v/>
      </c>
      <c r="W996">
        <f>'Grid_Requirement'!U27</f>
        <v/>
      </c>
      <c r="X996">
        <f>'Grid_Requirement'!V27</f>
        <v/>
      </c>
      <c r="Y996">
        <f>'Grid_Requirement'!W27</f>
        <v/>
      </c>
      <c r="Z996">
        <f>'Grid_Requirement'!X27</f>
        <v/>
      </c>
      <c r="AA996">
        <f>'Grid_Requirement'!Y27</f>
        <v/>
      </c>
      <c r="AB996">
        <f>'Grid_Requirement'!Z27</f>
        <v/>
      </c>
      <c r="AC996">
        <f>'Grid_Requirement'!AA27</f>
        <v/>
      </c>
      <c r="AD996">
        <f>'Grid_Requirement'!AB27</f>
        <v/>
      </c>
      <c r="AE996">
        <f>'Grid_Requirement'!AC27</f>
        <v/>
      </c>
      <c r="AF996">
        <f>'Grid_Requirement'!AD27</f>
        <v/>
      </c>
      <c r="AG996">
        <f>'Grid_Requirement'!AE27</f>
        <v/>
      </c>
      <c r="AH996">
        <f>'Grid_Requirement'!AF27</f>
        <v/>
      </c>
      <c r="AI996">
        <f>'Grid_Requirement'!AG27</f>
        <v/>
      </c>
      <c r="AJ996">
        <f>'Grid_Requirement'!AH27</f>
        <v/>
      </c>
      <c r="AK996">
        <f>'Grid_Requirement'!AI27</f>
        <v/>
      </c>
      <c r="AL996">
        <f>'Grid_Requirement'!AJ27</f>
        <v/>
      </c>
      <c r="AM996">
        <f>'Grid_Requirement'!AK27</f>
        <v/>
      </c>
      <c r="AN996">
        <f>'Grid_Requirement'!AL27</f>
        <v/>
      </c>
      <c r="AO996">
        <f>'Grid_Requirement'!AM27</f>
        <v/>
      </c>
      <c r="AP996">
        <f>'Grid_Requirement'!AN27</f>
        <v/>
      </c>
      <c r="AQ996">
        <f>'Grid_Requirement'!AO27</f>
        <v/>
      </c>
      <c r="AR996">
        <f>'Grid_Requirement'!AP27</f>
        <v/>
      </c>
      <c r="AS996">
        <f>'Grid_Requirement'!AQ27</f>
        <v/>
      </c>
      <c r="AT996">
        <f>'Grid_Requirement'!AR27</f>
        <v/>
      </c>
      <c r="AU996">
        <f>'Grid_Requirement'!AS27</f>
        <v/>
      </c>
      <c r="AV996">
        <f>'Grid_Requirement'!AT27</f>
        <v/>
      </c>
      <c r="AW996">
        <f>'Grid_Requirement'!AU27</f>
        <v/>
      </c>
      <c r="AX996">
        <f>'Grid_Requirement'!AV27</f>
        <v/>
      </c>
      <c r="AY996">
        <f>'Grid_Requirement'!AW27</f>
        <v/>
      </c>
      <c r="AZ996">
        <f>'Grid_Requirement'!AX27</f>
        <v/>
      </c>
      <c r="BA996">
        <f>'Grid_Requirement'!AY27</f>
        <v/>
      </c>
      <c r="BB996">
        <f>'Grid_Requirement'!AZ27</f>
        <v/>
      </c>
      <c r="BC996">
        <f>'Grid_Requirement'!BA27</f>
        <v/>
      </c>
      <c r="BD996">
        <f>'Grid_Requirement'!BB27</f>
        <v/>
      </c>
      <c r="BE996">
        <f>'Grid_Requirement'!BC27</f>
        <v/>
      </c>
      <c r="BF996">
        <f>'Grid_Requirement'!BD27</f>
        <v/>
      </c>
      <c r="BG996">
        <f>'Grid_Requirement'!BE27</f>
        <v/>
      </c>
      <c r="BH996">
        <f>'Grid_Requirement'!BF27</f>
        <v/>
      </c>
      <c r="BI996">
        <f>'Grid_Requirement'!BG27</f>
        <v/>
      </c>
      <c r="BJ996">
        <f>'Grid_Requirement'!BH27</f>
        <v/>
      </c>
      <c r="BK996">
        <f>'Grid_Requirement'!BI27</f>
        <v/>
      </c>
      <c r="BL996">
        <f>'Grid_Requirement'!BJ27</f>
        <v/>
      </c>
      <c r="BM996">
        <f>'Grid_Requirement'!BK27</f>
        <v/>
      </c>
      <c r="BN996">
        <f>'Grid_Requirement'!BL27</f>
        <v/>
      </c>
      <c r="BO996">
        <f>'Grid_Requirement'!BM27</f>
        <v/>
      </c>
      <c r="BP996">
        <f>'Grid_Requirement'!BN27</f>
        <v/>
      </c>
      <c r="BQ996">
        <f>'Grid_Requirement'!BO27</f>
        <v/>
      </c>
      <c r="BR996">
        <f>'Grid_Requirement'!BP27</f>
        <v/>
      </c>
      <c r="BS996">
        <f>'Grid_Requirement'!BQ27</f>
        <v/>
      </c>
      <c r="BT996">
        <f>'Grid_Requirement'!BR27</f>
        <v/>
      </c>
      <c r="BU996">
        <f>'Grid_Requirement'!BS27</f>
        <v/>
      </c>
      <c r="BV996">
        <f>'Grid_Requirement'!BT27</f>
        <v/>
      </c>
      <c r="BW996">
        <f>'Grid_Requirement'!BU27</f>
        <v/>
      </c>
      <c r="BX996">
        <f>'Grid_Requirement'!BV27</f>
        <v/>
      </c>
      <c r="BY996">
        <f>'Grid_Requirement'!BW27</f>
        <v/>
      </c>
      <c r="BZ996">
        <f>'Grid_Requirement'!BX27</f>
        <v/>
      </c>
      <c r="CA996">
        <f>'Grid_Requirement'!BY27</f>
        <v/>
      </c>
      <c r="CB996">
        <f>'Grid_Requirement'!BZ27</f>
        <v/>
      </c>
      <c r="CC996">
        <f>'Grid_Requirement'!CA27</f>
        <v/>
      </c>
      <c r="CD996">
        <f>'Grid_Requirement'!CB27</f>
        <v/>
      </c>
      <c r="CE996">
        <f>'Grid_Requirement'!CC27</f>
        <v/>
      </c>
      <c r="CF996">
        <f>'Grid_Requirement'!CD27</f>
        <v/>
      </c>
      <c r="CG996">
        <f>'Grid_Requirement'!CE27</f>
        <v/>
      </c>
      <c r="CH996">
        <f>'Grid_Requirement'!CF27</f>
        <v/>
      </c>
      <c r="CI996">
        <f>'Grid_Requirement'!CG27</f>
        <v/>
      </c>
      <c r="CJ996">
        <f>'Grid_Requirement'!CH27</f>
        <v/>
      </c>
      <c r="CK996">
        <f>'Grid_Requirement'!CI27</f>
        <v/>
      </c>
      <c r="CL996">
        <f>'Grid_Requirement'!CJ27</f>
        <v/>
      </c>
      <c r="CM996">
        <f>'Grid_Requirement'!CK27</f>
        <v/>
      </c>
      <c r="CN996">
        <f>'Grid_Requirement'!CL27</f>
        <v/>
      </c>
      <c r="CO996">
        <f>'Grid_Requirement'!CM27</f>
        <v/>
      </c>
      <c r="CP996">
        <f>'Grid_Requirement'!CN27</f>
        <v/>
      </c>
      <c r="CQ996">
        <f>'Grid_Requirement'!CO27</f>
        <v/>
      </c>
      <c r="CR996">
        <f>'Grid_Requirement'!CP27</f>
        <v/>
      </c>
      <c r="CS996">
        <f>'Grid_Requirement'!CQ27</f>
        <v/>
      </c>
      <c r="CT996">
        <f>'Grid_Requirement'!CR27</f>
        <v/>
      </c>
      <c r="CU996">
        <f>'Grid_Requirement'!CS27</f>
        <v/>
      </c>
      <c r="CV996">
        <f>'Grid_Requirement'!CT27</f>
        <v/>
      </c>
      <c r="CW996">
        <f>'Grid_Requirement'!CU27</f>
        <v/>
      </c>
      <c r="CX996">
        <f>'Grid_Requirement'!CV27</f>
        <v/>
      </c>
      <c r="CY996">
        <f>'Grid_Requirement'!CW27</f>
        <v/>
      </c>
      <c r="CZ996">
        <f>'Grid_Requirement'!CX27</f>
        <v/>
      </c>
      <c r="DA996">
        <f>'Grid_Requirement'!CY27</f>
        <v/>
      </c>
      <c r="DB996">
        <f>'Grid_Requirement'!CZ27</f>
        <v/>
      </c>
      <c r="DC996">
        <f>'Grid_Requirement'!DA27</f>
        <v/>
      </c>
    </row>
    <row r="997">
      <c r="B997" t="inlineStr">
        <is>
          <t>TTAF在庫(実績,kg)</t>
        </is>
      </c>
      <c r="D997">
        <f>'T_TTAFStock'!B31</f>
        <v/>
      </c>
      <c r="E997">
        <f>'T_TTAFStock'!C31</f>
        <v/>
      </c>
      <c r="F997">
        <f>'T_TTAFStock'!D31</f>
        <v/>
      </c>
      <c r="G997">
        <f>'T_TTAFStock'!E31</f>
        <v/>
      </c>
      <c r="H997">
        <f>'T_TTAFStock'!F31</f>
        <v/>
      </c>
      <c r="I997">
        <f>'T_TTAFStock'!G31</f>
        <v/>
      </c>
      <c r="J997">
        <f>'T_TTAFStock'!H31</f>
        <v/>
      </c>
      <c r="K997">
        <f>'T_TTAFStock'!I31</f>
        <v/>
      </c>
      <c r="L997">
        <f>'T_TTAFStock'!J31</f>
        <v/>
      </c>
      <c r="M997">
        <f>'T_TTAFStock'!K31</f>
        <v/>
      </c>
      <c r="N997">
        <f>'T_TTAFStock'!L31</f>
        <v/>
      </c>
      <c r="O997">
        <f>'T_TTAFStock'!M31</f>
        <v/>
      </c>
      <c r="P997">
        <f>'T_TTAFStock'!N31</f>
        <v/>
      </c>
      <c r="Q997">
        <f>'T_TTAFStock'!O31</f>
        <v/>
      </c>
      <c r="R997">
        <f>'T_TTAFStock'!P31</f>
        <v/>
      </c>
      <c r="S997">
        <f>'T_TTAFStock'!Q31</f>
        <v/>
      </c>
      <c r="T997">
        <f>'T_TTAFStock'!R31</f>
        <v/>
      </c>
      <c r="U997">
        <f>'T_TTAFStock'!S31</f>
        <v/>
      </c>
      <c r="V997">
        <f>'T_TTAFStock'!T31</f>
        <v/>
      </c>
      <c r="W997">
        <f>'T_TTAFStock'!U31</f>
        <v/>
      </c>
      <c r="X997">
        <f>'T_TTAFStock'!V31</f>
        <v/>
      </c>
      <c r="Y997">
        <f>'T_TTAFStock'!W31</f>
        <v/>
      </c>
      <c r="Z997">
        <f>'T_TTAFStock'!X31</f>
        <v/>
      </c>
      <c r="AA997">
        <f>'T_TTAFStock'!Y31</f>
        <v/>
      </c>
      <c r="AB997">
        <f>'T_TTAFStock'!Z31</f>
        <v/>
      </c>
      <c r="AC997">
        <f>'T_TTAFStock'!AA31</f>
        <v/>
      </c>
      <c r="AD997">
        <f>'T_TTAFStock'!AB31</f>
        <v/>
      </c>
      <c r="AE997">
        <f>'T_TTAFStock'!AC31</f>
        <v/>
      </c>
      <c r="AF997">
        <f>'T_TTAFStock'!AD31</f>
        <v/>
      </c>
      <c r="AG997">
        <f>'T_TTAFStock'!AE31</f>
        <v/>
      </c>
      <c r="AH997">
        <f>'T_TTAFStock'!AF31</f>
        <v/>
      </c>
      <c r="AI997">
        <f>'T_TTAFStock'!AG31</f>
        <v/>
      </c>
      <c r="AJ997">
        <f>'T_TTAFStock'!AH31</f>
        <v/>
      </c>
      <c r="AK997">
        <f>'T_TTAFStock'!AI31</f>
        <v/>
      </c>
      <c r="AL997">
        <f>'T_TTAFStock'!AJ31</f>
        <v/>
      </c>
      <c r="AM997">
        <f>'T_TTAFStock'!AK31</f>
        <v/>
      </c>
      <c r="AN997">
        <f>'T_TTAFStock'!AL31</f>
        <v/>
      </c>
      <c r="AO997">
        <f>'T_TTAFStock'!AM31</f>
        <v/>
      </c>
      <c r="AP997">
        <f>'T_TTAFStock'!AN31</f>
        <v/>
      </c>
      <c r="AQ997">
        <f>'T_TTAFStock'!AO31</f>
        <v/>
      </c>
      <c r="AR997">
        <f>'T_TTAFStock'!AP31</f>
        <v/>
      </c>
      <c r="AS997">
        <f>'T_TTAFStock'!AQ31</f>
        <v/>
      </c>
      <c r="AT997">
        <f>'T_TTAFStock'!AR31</f>
        <v/>
      </c>
      <c r="AU997">
        <f>'T_TTAFStock'!AS31</f>
        <v/>
      </c>
      <c r="AV997">
        <f>'T_TTAFStock'!AT31</f>
        <v/>
      </c>
      <c r="AW997">
        <f>'T_TTAFStock'!AU31</f>
        <v/>
      </c>
      <c r="AX997">
        <f>'T_TTAFStock'!AV31</f>
        <v/>
      </c>
      <c r="AY997">
        <f>'T_TTAFStock'!AW31</f>
        <v/>
      </c>
      <c r="AZ997">
        <f>'T_TTAFStock'!AX31</f>
        <v/>
      </c>
      <c r="BA997">
        <f>'T_TTAFStock'!AY31</f>
        <v/>
      </c>
      <c r="BB997">
        <f>'T_TTAFStock'!AZ31</f>
        <v/>
      </c>
      <c r="BC997">
        <f>'T_TTAFStock'!BA31</f>
        <v/>
      </c>
      <c r="BD997">
        <f>'T_TTAFStock'!BB31</f>
        <v/>
      </c>
      <c r="BE997">
        <f>'T_TTAFStock'!BC31</f>
        <v/>
      </c>
      <c r="BF997">
        <f>'T_TTAFStock'!BD31</f>
        <v/>
      </c>
      <c r="BG997">
        <f>'T_TTAFStock'!BE31</f>
        <v/>
      </c>
      <c r="BH997">
        <f>'T_TTAFStock'!BF31</f>
        <v/>
      </c>
      <c r="BI997">
        <f>'T_TTAFStock'!BG31</f>
        <v/>
      </c>
      <c r="BJ997">
        <f>'T_TTAFStock'!BH31</f>
        <v/>
      </c>
      <c r="BK997">
        <f>'T_TTAFStock'!BI31</f>
        <v/>
      </c>
      <c r="BL997">
        <f>'T_TTAFStock'!BJ31</f>
        <v/>
      </c>
      <c r="BM997">
        <f>'T_TTAFStock'!BK31</f>
        <v/>
      </c>
      <c r="BN997">
        <f>'T_TTAFStock'!BL31</f>
        <v/>
      </c>
      <c r="BO997">
        <f>'T_TTAFStock'!BM31</f>
        <v/>
      </c>
      <c r="BP997">
        <f>'T_TTAFStock'!BN31</f>
        <v/>
      </c>
      <c r="BQ997">
        <f>'T_TTAFStock'!BO31</f>
        <v/>
      </c>
      <c r="BR997">
        <f>'T_TTAFStock'!BP31</f>
        <v/>
      </c>
      <c r="BS997">
        <f>'T_TTAFStock'!BQ31</f>
        <v/>
      </c>
      <c r="BT997">
        <f>'T_TTAFStock'!BR31</f>
        <v/>
      </c>
      <c r="BU997">
        <f>'T_TTAFStock'!BS31</f>
        <v/>
      </c>
      <c r="BV997">
        <f>'T_TTAFStock'!BT31</f>
        <v/>
      </c>
      <c r="BW997">
        <f>'T_TTAFStock'!BU31</f>
        <v/>
      </c>
      <c r="BX997">
        <f>'T_TTAFStock'!BV31</f>
        <v/>
      </c>
      <c r="BY997">
        <f>'T_TTAFStock'!BW31</f>
        <v/>
      </c>
      <c r="BZ997">
        <f>'T_TTAFStock'!BX31</f>
        <v/>
      </c>
      <c r="CA997">
        <f>'T_TTAFStock'!BY31</f>
        <v/>
      </c>
      <c r="CB997">
        <f>'T_TTAFStock'!BZ31</f>
        <v/>
      </c>
      <c r="CC997">
        <f>'T_TTAFStock'!CA31</f>
        <v/>
      </c>
      <c r="CD997">
        <f>'T_TTAFStock'!CB31</f>
        <v/>
      </c>
      <c r="CE997">
        <f>'T_TTAFStock'!CC31</f>
        <v/>
      </c>
      <c r="CF997">
        <f>'T_TTAFStock'!CD31</f>
        <v/>
      </c>
      <c r="CG997">
        <f>'T_TTAFStock'!CE31</f>
        <v/>
      </c>
      <c r="CH997">
        <f>'T_TTAFStock'!CF31</f>
        <v/>
      </c>
      <c r="CI997">
        <f>'T_TTAFStock'!CG31</f>
        <v/>
      </c>
      <c r="CJ997">
        <f>'T_TTAFStock'!CH31</f>
        <v/>
      </c>
      <c r="CK997">
        <f>'T_TTAFStock'!CI31</f>
        <v/>
      </c>
      <c r="CL997">
        <f>'T_TTAFStock'!CJ31</f>
        <v/>
      </c>
      <c r="CM997">
        <f>'T_TTAFStock'!CK31</f>
        <v/>
      </c>
      <c r="CN997">
        <f>'T_TTAFStock'!CL31</f>
        <v/>
      </c>
      <c r="CO997">
        <f>'T_TTAFStock'!CM31</f>
        <v/>
      </c>
      <c r="CP997">
        <f>'T_TTAFStock'!CN31</f>
        <v/>
      </c>
      <c r="CQ997">
        <f>'T_TTAFStock'!CO31</f>
        <v/>
      </c>
      <c r="CR997">
        <f>'T_TTAFStock'!CP31</f>
        <v/>
      </c>
      <c r="CS997">
        <f>'T_TTAFStock'!CQ31</f>
        <v/>
      </c>
      <c r="CT997">
        <f>'T_TTAFStock'!CR31</f>
        <v/>
      </c>
      <c r="CU997">
        <f>'T_TTAFStock'!CS31</f>
        <v/>
      </c>
      <c r="CV997">
        <f>'T_TTAFStock'!CT31</f>
        <v/>
      </c>
      <c r="CW997">
        <f>'T_TTAFStock'!CU31</f>
        <v/>
      </c>
      <c r="CX997">
        <f>'T_TTAFStock'!CV31</f>
        <v/>
      </c>
      <c r="CY997">
        <f>'T_TTAFStock'!CW31</f>
        <v/>
      </c>
      <c r="CZ997">
        <f>'T_TTAFStock'!CX31</f>
        <v/>
      </c>
      <c r="DA997">
        <f>'T_TTAFStock'!CY31</f>
        <v/>
      </c>
      <c r="DB997">
        <f>'T_TTAFStock'!CZ31</f>
        <v/>
      </c>
      <c r="DC997">
        <f>'T_TTAFStock'!DA31</f>
        <v/>
      </c>
    </row>
    <row r="998">
      <c r="B998" t="inlineStr">
        <is>
          <t>自社在庫(実績,kg)</t>
        </is>
      </c>
      <c r="D998">
        <f>'T_SelfStock'!B31</f>
        <v/>
      </c>
      <c r="E998">
        <f>'T_SelfStock'!C31</f>
        <v/>
      </c>
      <c r="F998">
        <f>'T_SelfStock'!D31</f>
        <v/>
      </c>
      <c r="G998">
        <f>'T_SelfStock'!E31</f>
        <v/>
      </c>
      <c r="H998">
        <f>'T_SelfStock'!F31</f>
        <v/>
      </c>
      <c r="I998">
        <f>'T_SelfStock'!G31</f>
        <v/>
      </c>
      <c r="J998">
        <f>'T_SelfStock'!H31</f>
        <v/>
      </c>
      <c r="K998">
        <f>'T_SelfStock'!I31</f>
        <v/>
      </c>
      <c r="L998">
        <f>'T_SelfStock'!J31</f>
        <v/>
      </c>
      <c r="M998">
        <f>'T_SelfStock'!K31</f>
        <v/>
      </c>
      <c r="N998">
        <f>'T_SelfStock'!L31</f>
        <v/>
      </c>
      <c r="O998">
        <f>'T_SelfStock'!M31</f>
        <v/>
      </c>
      <c r="P998">
        <f>'T_SelfStock'!N31</f>
        <v/>
      </c>
      <c r="Q998">
        <f>'T_SelfStock'!O31</f>
        <v/>
      </c>
      <c r="R998">
        <f>'T_SelfStock'!P31</f>
        <v/>
      </c>
      <c r="S998">
        <f>'T_SelfStock'!Q31</f>
        <v/>
      </c>
      <c r="T998">
        <f>'T_SelfStock'!R31</f>
        <v/>
      </c>
      <c r="U998">
        <f>'T_SelfStock'!S31</f>
        <v/>
      </c>
      <c r="V998">
        <f>'T_SelfStock'!T31</f>
        <v/>
      </c>
      <c r="W998">
        <f>'T_SelfStock'!U31</f>
        <v/>
      </c>
      <c r="X998">
        <f>'T_SelfStock'!V31</f>
        <v/>
      </c>
      <c r="Y998">
        <f>'T_SelfStock'!W31</f>
        <v/>
      </c>
      <c r="Z998">
        <f>'T_SelfStock'!X31</f>
        <v/>
      </c>
      <c r="AA998">
        <f>'T_SelfStock'!Y31</f>
        <v/>
      </c>
      <c r="AB998">
        <f>'T_SelfStock'!Z31</f>
        <v/>
      </c>
      <c r="AC998">
        <f>'T_SelfStock'!AA31</f>
        <v/>
      </c>
      <c r="AD998">
        <f>'T_SelfStock'!AB31</f>
        <v/>
      </c>
      <c r="AE998">
        <f>'T_SelfStock'!AC31</f>
        <v/>
      </c>
      <c r="AF998">
        <f>'T_SelfStock'!AD31</f>
        <v/>
      </c>
      <c r="AG998">
        <f>'T_SelfStock'!AE31</f>
        <v/>
      </c>
      <c r="AH998">
        <f>'T_SelfStock'!AF31</f>
        <v/>
      </c>
      <c r="AI998">
        <f>'T_SelfStock'!AG31</f>
        <v/>
      </c>
      <c r="AJ998">
        <f>'T_SelfStock'!AH31</f>
        <v/>
      </c>
      <c r="AK998">
        <f>'T_SelfStock'!AI31</f>
        <v/>
      </c>
      <c r="AL998">
        <f>'T_SelfStock'!AJ31</f>
        <v/>
      </c>
      <c r="AM998">
        <f>'T_SelfStock'!AK31</f>
        <v/>
      </c>
      <c r="AN998">
        <f>'T_SelfStock'!AL31</f>
        <v/>
      </c>
      <c r="AO998">
        <f>'T_SelfStock'!AM31</f>
        <v/>
      </c>
      <c r="AP998">
        <f>'T_SelfStock'!AN31</f>
        <v/>
      </c>
      <c r="AQ998">
        <f>'T_SelfStock'!AO31</f>
        <v/>
      </c>
      <c r="AR998">
        <f>'T_SelfStock'!AP31</f>
        <v/>
      </c>
      <c r="AS998">
        <f>'T_SelfStock'!AQ31</f>
        <v/>
      </c>
      <c r="AT998">
        <f>'T_SelfStock'!AR31</f>
        <v/>
      </c>
      <c r="AU998">
        <f>'T_SelfStock'!AS31</f>
        <v/>
      </c>
      <c r="AV998">
        <f>'T_SelfStock'!AT31</f>
        <v/>
      </c>
      <c r="AW998">
        <f>'T_SelfStock'!AU31</f>
        <v/>
      </c>
      <c r="AX998">
        <f>'T_SelfStock'!AV31</f>
        <v/>
      </c>
      <c r="AY998">
        <f>'T_SelfStock'!AW31</f>
        <v/>
      </c>
      <c r="AZ998">
        <f>'T_SelfStock'!AX31</f>
        <v/>
      </c>
      <c r="BA998">
        <f>'T_SelfStock'!AY31</f>
        <v/>
      </c>
      <c r="BB998">
        <f>'T_SelfStock'!AZ31</f>
        <v/>
      </c>
      <c r="BC998">
        <f>'T_SelfStock'!BA31</f>
        <v/>
      </c>
      <c r="BD998">
        <f>'T_SelfStock'!BB31</f>
        <v/>
      </c>
      <c r="BE998">
        <f>'T_SelfStock'!BC31</f>
        <v/>
      </c>
      <c r="BF998">
        <f>'T_SelfStock'!BD31</f>
        <v/>
      </c>
      <c r="BG998">
        <f>'T_SelfStock'!BE31</f>
        <v/>
      </c>
      <c r="BH998">
        <f>'T_SelfStock'!BF31</f>
        <v/>
      </c>
      <c r="BI998">
        <f>'T_SelfStock'!BG31</f>
        <v/>
      </c>
      <c r="BJ998">
        <f>'T_SelfStock'!BH31</f>
        <v/>
      </c>
      <c r="BK998">
        <f>'T_SelfStock'!BI31</f>
        <v/>
      </c>
      <c r="BL998">
        <f>'T_SelfStock'!BJ31</f>
        <v/>
      </c>
      <c r="BM998">
        <f>'T_SelfStock'!BK31</f>
        <v/>
      </c>
      <c r="BN998">
        <f>'T_SelfStock'!BL31</f>
        <v/>
      </c>
      <c r="BO998">
        <f>'T_SelfStock'!BM31</f>
        <v/>
      </c>
      <c r="BP998">
        <f>'T_SelfStock'!BN31</f>
        <v/>
      </c>
      <c r="BQ998">
        <f>'T_SelfStock'!BO31</f>
        <v/>
      </c>
      <c r="BR998">
        <f>'T_SelfStock'!BP31</f>
        <v/>
      </c>
      <c r="BS998">
        <f>'T_SelfStock'!BQ31</f>
        <v/>
      </c>
      <c r="BT998">
        <f>'T_SelfStock'!BR31</f>
        <v/>
      </c>
      <c r="BU998">
        <f>'T_SelfStock'!BS31</f>
        <v/>
      </c>
      <c r="BV998">
        <f>'T_SelfStock'!BT31</f>
        <v/>
      </c>
      <c r="BW998">
        <f>'T_SelfStock'!BU31</f>
        <v/>
      </c>
      <c r="BX998">
        <f>'T_SelfStock'!BV31</f>
        <v/>
      </c>
      <c r="BY998">
        <f>'T_SelfStock'!BW31</f>
        <v/>
      </c>
      <c r="BZ998">
        <f>'T_SelfStock'!BX31</f>
        <v/>
      </c>
      <c r="CA998">
        <f>'T_SelfStock'!BY31</f>
        <v/>
      </c>
      <c r="CB998">
        <f>'T_SelfStock'!BZ31</f>
        <v/>
      </c>
      <c r="CC998">
        <f>'T_SelfStock'!CA31</f>
        <v/>
      </c>
      <c r="CD998">
        <f>'T_SelfStock'!CB31</f>
        <v/>
      </c>
      <c r="CE998">
        <f>'T_SelfStock'!CC31</f>
        <v/>
      </c>
      <c r="CF998">
        <f>'T_SelfStock'!CD31</f>
        <v/>
      </c>
      <c r="CG998">
        <f>'T_SelfStock'!CE31</f>
        <v/>
      </c>
      <c r="CH998">
        <f>'T_SelfStock'!CF31</f>
        <v/>
      </c>
      <c r="CI998">
        <f>'T_SelfStock'!CG31</f>
        <v/>
      </c>
      <c r="CJ998">
        <f>'T_SelfStock'!CH31</f>
        <v/>
      </c>
      <c r="CK998">
        <f>'T_SelfStock'!CI31</f>
        <v/>
      </c>
      <c r="CL998">
        <f>'T_SelfStock'!CJ31</f>
        <v/>
      </c>
      <c r="CM998">
        <f>'T_SelfStock'!CK31</f>
        <v/>
      </c>
      <c r="CN998">
        <f>'T_SelfStock'!CL31</f>
        <v/>
      </c>
      <c r="CO998">
        <f>'T_SelfStock'!CM31</f>
        <v/>
      </c>
      <c r="CP998">
        <f>'T_SelfStock'!CN31</f>
        <v/>
      </c>
      <c r="CQ998">
        <f>'T_SelfStock'!CO31</f>
        <v/>
      </c>
      <c r="CR998">
        <f>'T_SelfStock'!CP31</f>
        <v/>
      </c>
      <c r="CS998">
        <f>'T_SelfStock'!CQ31</f>
        <v/>
      </c>
      <c r="CT998">
        <f>'T_SelfStock'!CR31</f>
        <v/>
      </c>
      <c r="CU998">
        <f>'T_SelfStock'!CS31</f>
        <v/>
      </c>
      <c r="CV998">
        <f>'T_SelfStock'!CT31</f>
        <v/>
      </c>
      <c r="CW998">
        <f>'T_SelfStock'!CU31</f>
        <v/>
      </c>
      <c r="CX998">
        <f>'T_SelfStock'!CV31</f>
        <v/>
      </c>
      <c r="CY998">
        <f>'T_SelfStock'!CW31</f>
        <v/>
      </c>
      <c r="CZ998">
        <f>'T_SelfStock'!CX31</f>
        <v/>
      </c>
      <c r="DA998">
        <f>'T_SelfStock'!CY31</f>
        <v/>
      </c>
      <c r="DB998">
        <f>'T_SelfStock'!CZ31</f>
        <v/>
      </c>
      <c r="DC998">
        <f>'T_SelfStock'!DA31</f>
        <v/>
      </c>
    </row>
    <row r="999">
      <c r="B999" t="inlineStr">
        <is>
          <t>Order(発注予定,kg)</t>
        </is>
      </c>
      <c r="D999">
        <f>IF(SUMIFS(T_PlannedOrders[EffectiveQty],T_PlannedOrders[Part Name],$A973,T_PlannedOrders[WeekIndex],1)=0,"",SUMIFS(T_PlannedOrders[EffectiveQty],T_PlannedOrders[Part Name],$A973,T_PlannedOrders[WeekIndex],1)&amp;" ("&amp;TEXT(SUMPRODUCT(MAX((T_PlannedOrders[Part Name]=$A973)*(T_PlannedOrders[WeekIndex]=1)*(T_PlannedOrders[EffectiveQty]&gt;0)*T_PlannedOrders[Order_Month])),"m月")&amp;"発注)")</f>
        <v/>
      </c>
      <c r="E999">
        <f>IF(SUMIFS(T_PlannedOrders[EffectiveQty],T_PlannedOrders[Part Name],$A973,T_PlannedOrders[WeekIndex],2)=0,"",SUMIFS(T_PlannedOrders[EffectiveQty],T_PlannedOrders[Part Name],$A973,T_PlannedOrders[WeekIndex],2)&amp;" ("&amp;TEXT(SUMPRODUCT(MAX((T_PlannedOrders[Part Name]=$A973)*(T_PlannedOrders[WeekIndex]=2)*(T_PlannedOrders[EffectiveQty]&gt;0)*T_PlannedOrders[Order_Month])),"m月")&amp;"発注)")</f>
        <v/>
      </c>
      <c r="F999">
        <f>IF(SUMIFS(T_PlannedOrders[EffectiveQty],T_PlannedOrders[Part Name],$A973,T_PlannedOrders[WeekIndex],3)=0,"",SUMIFS(T_PlannedOrders[EffectiveQty],T_PlannedOrders[Part Name],$A973,T_PlannedOrders[WeekIndex],3)&amp;" ("&amp;TEXT(SUMPRODUCT(MAX((T_PlannedOrders[Part Name]=$A973)*(T_PlannedOrders[WeekIndex]=3)*(T_PlannedOrders[EffectiveQty]&gt;0)*T_PlannedOrders[Order_Month])),"m月")&amp;"発注)")</f>
        <v/>
      </c>
      <c r="G999">
        <f>IF(SUMIFS(T_PlannedOrders[EffectiveQty],T_PlannedOrders[Part Name],$A973,T_PlannedOrders[WeekIndex],4)=0,"",SUMIFS(T_PlannedOrders[EffectiveQty],T_PlannedOrders[Part Name],$A973,T_PlannedOrders[WeekIndex],4)&amp;" ("&amp;TEXT(SUMPRODUCT(MAX((T_PlannedOrders[Part Name]=$A973)*(T_PlannedOrders[WeekIndex]=4)*(T_PlannedOrders[EffectiveQty]&gt;0)*T_PlannedOrders[Order_Month])),"m月")&amp;"発注)")</f>
        <v/>
      </c>
      <c r="H999">
        <f>IF(SUMIFS(T_PlannedOrders[EffectiveQty],T_PlannedOrders[Part Name],$A973,T_PlannedOrders[WeekIndex],5)=0,"",SUMIFS(T_PlannedOrders[EffectiveQty],T_PlannedOrders[Part Name],$A973,T_PlannedOrders[WeekIndex],5)&amp;" ("&amp;TEXT(SUMPRODUCT(MAX((T_PlannedOrders[Part Name]=$A973)*(T_PlannedOrders[WeekIndex]=5)*(T_PlannedOrders[EffectiveQty]&gt;0)*T_PlannedOrders[Order_Month])),"m月")&amp;"発注)")</f>
        <v/>
      </c>
      <c r="I999">
        <f>IF(SUMIFS(T_PlannedOrders[EffectiveQty],T_PlannedOrders[Part Name],$A973,T_PlannedOrders[WeekIndex],6)=0,"",SUMIFS(T_PlannedOrders[EffectiveQty],T_PlannedOrders[Part Name],$A973,T_PlannedOrders[WeekIndex],6)&amp;" ("&amp;TEXT(SUMPRODUCT(MAX((T_PlannedOrders[Part Name]=$A973)*(T_PlannedOrders[WeekIndex]=6)*(T_PlannedOrders[EffectiveQty]&gt;0)*T_PlannedOrders[Order_Month])),"m月")&amp;"発注)")</f>
        <v/>
      </c>
      <c r="J999">
        <f>IF(SUMIFS(T_PlannedOrders[EffectiveQty],T_PlannedOrders[Part Name],$A973,T_PlannedOrders[WeekIndex],7)=0,"",SUMIFS(T_PlannedOrders[EffectiveQty],T_PlannedOrders[Part Name],$A973,T_PlannedOrders[WeekIndex],7)&amp;" ("&amp;TEXT(SUMPRODUCT(MAX((T_PlannedOrders[Part Name]=$A973)*(T_PlannedOrders[WeekIndex]=7)*(T_PlannedOrders[EffectiveQty]&gt;0)*T_PlannedOrders[Order_Month])),"m月")&amp;"発注)")</f>
        <v/>
      </c>
      <c r="K999">
        <f>IF(SUMIFS(T_PlannedOrders[EffectiveQty],T_PlannedOrders[Part Name],$A973,T_PlannedOrders[WeekIndex],8)=0,"",SUMIFS(T_PlannedOrders[EffectiveQty],T_PlannedOrders[Part Name],$A973,T_PlannedOrders[WeekIndex],8)&amp;" ("&amp;TEXT(SUMPRODUCT(MAX((T_PlannedOrders[Part Name]=$A973)*(T_PlannedOrders[WeekIndex]=8)*(T_PlannedOrders[EffectiveQty]&gt;0)*T_PlannedOrders[Order_Month])),"m月")&amp;"発注)")</f>
        <v/>
      </c>
      <c r="L999">
        <f>IF(SUMIFS(T_PlannedOrders[EffectiveQty],T_PlannedOrders[Part Name],$A973,T_PlannedOrders[WeekIndex],9)=0,"",SUMIFS(T_PlannedOrders[EffectiveQty],T_PlannedOrders[Part Name],$A973,T_PlannedOrders[WeekIndex],9)&amp;" ("&amp;TEXT(SUMPRODUCT(MAX((T_PlannedOrders[Part Name]=$A973)*(T_PlannedOrders[WeekIndex]=9)*(T_PlannedOrders[EffectiveQty]&gt;0)*T_PlannedOrders[Order_Month])),"m月")&amp;"発注)")</f>
        <v/>
      </c>
      <c r="M999">
        <f>IF(SUMIFS(T_PlannedOrders[EffectiveQty],T_PlannedOrders[Part Name],$A973,T_PlannedOrders[WeekIndex],10)=0,"",SUMIFS(T_PlannedOrders[EffectiveQty],T_PlannedOrders[Part Name],$A973,T_PlannedOrders[WeekIndex],10)&amp;" ("&amp;TEXT(SUMPRODUCT(MAX((T_PlannedOrders[Part Name]=$A973)*(T_PlannedOrders[WeekIndex]=10)*(T_PlannedOrders[EffectiveQty]&gt;0)*T_PlannedOrders[Order_Month])),"m月")&amp;"発注)")</f>
        <v/>
      </c>
      <c r="N999">
        <f>IF(SUMIFS(T_PlannedOrders[EffectiveQty],T_PlannedOrders[Part Name],$A973,T_PlannedOrders[WeekIndex],11)=0,"",SUMIFS(T_PlannedOrders[EffectiveQty],T_PlannedOrders[Part Name],$A973,T_PlannedOrders[WeekIndex],11)&amp;" ("&amp;TEXT(SUMPRODUCT(MAX((T_PlannedOrders[Part Name]=$A973)*(T_PlannedOrders[WeekIndex]=11)*(T_PlannedOrders[EffectiveQty]&gt;0)*T_PlannedOrders[Order_Month])),"m月")&amp;"発注)")</f>
        <v/>
      </c>
      <c r="O999">
        <f>IF(SUMIFS(T_PlannedOrders[EffectiveQty],T_PlannedOrders[Part Name],$A973,T_PlannedOrders[WeekIndex],12)=0,"",SUMIFS(T_PlannedOrders[EffectiveQty],T_PlannedOrders[Part Name],$A973,T_PlannedOrders[WeekIndex],12)&amp;" ("&amp;TEXT(SUMPRODUCT(MAX((T_PlannedOrders[Part Name]=$A973)*(T_PlannedOrders[WeekIndex]=12)*(T_PlannedOrders[EffectiveQty]&gt;0)*T_PlannedOrders[Order_Month])),"m月")&amp;"発注)")</f>
        <v/>
      </c>
      <c r="P999">
        <f>IF(SUMIFS(T_PlannedOrders[EffectiveQty],T_PlannedOrders[Part Name],$A973,T_PlannedOrders[WeekIndex],13)=0,"",SUMIFS(T_PlannedOrders[EffectiveQty],T_PlannedOrders[Part Name],$A973,T_PlannedOrders[WeekIndex],13)&amp;" ("&amp;TEXT(SUMPRODUCT(MAX((T_PlannedOrders[Part Name]=$A973)*(T_PlannedOrders[WeekIndex]=13)*(T_PlannedOrders[EffectiveQty]&gt;0)*T_PlannedOrders[Order_Month])),"m月")&amp;"発注)")</f>
        <v/>
      </c>
      <c r="Q999">
        <f>IF(SUMIFS(T_PlannedOrders[EffectiveQty],T_PlannedOrders[Part Name],$A973,T_PlannedOrders[WeekIndex],14)=0,"",SUMIFS(T_PlannedOrders[EffectiveQty],T_PlannedOrders[Part Name],$A973,T_PlannedOrders[WeekIndex],14)&amp;" ("&amp;TEXT(SUMPRODUCT(MAX((T_PlannedOrders[Part Name]=$A973)*(T_PlannedOrders[WeekIndex]=14)*(T_PlannedOrders[EffectiveQty]&gt;0)*T_PlannedOrders[Order_Month])),"m月")&amp;"発注)")</f>
        <v/>
      </c>
      <c r="R999">
        <f>IF(SUMIFS(T_PlannedOrders[EffectiveQty],T_PlannedOrders[Part Name],$A973,T_PlannedOrders[WeekIndex],15)=0,"",SUMIFS(T_PlannedOrders[EffectiveQty],T_PlannedOrders[Part Name],$A973,T_PlannedOrders[WeekIndex],15)&amp;" ("&amp;TEXT(SUMPRODUCT(MAX((T_PlannedOrders[Part Name]=$A973)*(T_PlannedOrders[WeekIndex]=15)*(T_PlannedOrders[EffectiveQty]&gt;0)*T_PlannedOrders[Order_Month])),"m月")&amp;"発注)")</f>
        <v/>
      </c>
      <c r="S999">
        <f>IF(SUMIFS(T_PlannedOrders[EffectiveQty],T_PlannedOrders[Part Name],$A973,T_PlannedOrders[WeekIndex],16)=0,"",SUMIFS(T_PlannedOrders[EffectiveQty],T_PlannedOrders[Part Name],$A973,T_PlannedOrders[WeekIndex],16)&amp;" ("&amp;TEXT(SUMPRODUCT(MAX((T_PlannedOrders[Part Name]=$A973)*(T_PlannedOrders[WeekIndex]=16)*(T_PlannedOrders[EffectiveQty]&gt;0)*T_PlannedOrders[Order_Month])),"m月")&amp;"発注)")</f>
        <v/>
      </c>
      <c r="T999">
        <f>IF(SUMIFS(T_PlannedOrders[EffectiveQty],T_PlannedOrders[Part Name],$A973,T_PlannedOrders[WeekIndex],17)=0,"",SUMIFS(T_PlannedOrders[EffectiveQty],T_PlannedOrders[Part Name],$A973,T_PlannedOrders[WeekIndex],17)&amp;" ("&amp;TEXT(SUMPRODUCT(MAX((T_PlannedOrders[Part Name]=$A973)*(T_PlannedOrders[WeekIndex]=17)*(T_PlannedOrders[EffectiveQty]&gt;0)*T_PlannedOrders[Order_Month])),"m月")&amp;"発注)")</f>
        <v/>
      </c>
      <c r="U999">
        <f>IF(SUMIFS(T_PlannedOrders[EffectiveQty],T_PlannedOrders[Part Name],$A973,T_PlannedOrders[WeekIndex],18)=0,"",SUMIFS(T_PlannedOrders[EffectiveQty],T_PlannedOrders[Part Name],$A973,T_PlannedOrders[WeekIndex],18)&amp;" ("&amp;TEXT(SUMPRODUCT(MAX((T_PlannedOrders[Part Name]=$A973)*(T_PlannedOrders[WeekIndex]=18)*(T_PlannedOrders[EffectiveQty]&gt;0)*T_PlannedOrders[Order_Month])),"m月")&amp;"発注)")</f>
        <v/>
      </c>
      <c r="V999">
        <f>IF(SUMIFS(T_PlannedOrders[EffectiveQty],T_PlannedOrders[Part Name],$A973,T_PlannedOrders[WeekIndex],19)=0,"",SUMIFS(T_PlannedOrders[EffectiveQty],T_PlannedOrders[Part Name],$A973,T_PlannedOrders[WeekIndex],19)&amp;" ("&amp;TEXT(SUMPRODUCT(MAX((T_PlannedOrders[Part Name]=$A973)*(T_PlannedOrders[WeekIndex]=19)*(T_PlannedOrders[EffectiveQty]&gt;0)*T_PlannedOrders[Order_Month])),"m月")&amp;"発注)")</f>
        <v/>
      </c>
      <c r="W999">
        <f>IF(SUMIFS(T_PlannedOrders[EffectiveQty],T_PlannedOrders[Part Name],$A973,T_PlannedOrders[WeekIndex],20)=0,"",SUMIFS(T_PlannedOrders[EffectiveQty],T_PlannedOrders[Part Name],$A973,T_PlannedOrders[WeekIndex],20)&amp;" ("&amp;TEXT(SUMPRODUCT(MAX((T_PlannedOrders[Part Name]=$A973)*(T_PlannedOrders[WeekIndex]=20)*(T_PlannedOrders[EffectiveQty]&gt;0)*T_PlannedOrders[Order_Month])),"m月")&amp;"発注)")</f>
        <v/>
      </c>
      <c r="X999">
        <f>IF(SUMIFS(T_PlannedOrders[EffectiveQty],T_PlannedOrders[Part Name],$A973,T_PlannedOrders[WeekIndex],21)=0,"",SUMIFS(T_PlannedOrders[EffectiveQty],T_PlannedOrders[Part Name],$A973,T_PlannedOrders[WeekIndex],21)&amp;" ("&amp;TEXT(SUMPRODUCT(MAX((T_PlannedOrders[Part Name]=$A973)*(T_PlannedOrders[WeekIndex]=21)*(T_PlannedOrders[EffectiveQty]&gt;0)*T_PlannedOrders[Order_Month])),"m月")&amp;"発注)")</f>
        <v/>
      </c>
      <c r="Y999">
        <f>IF(SUMIFS(T_PlannedOrders[EffectiveQty],T_PlannedOrders[Part Name],$A973,T_PlannedOrders[WeekIndex],22)=0,"",SUMIFS(T_PlannedOrders[EffectiveQty],T_PlannedOrders[Part Name],$A973,T_PlannedOrders[WeekIndex],22)&amp;" ("&amp;TEXT(SUMPRODUCT(MAX((T_PlannedOrders[Part Name]=$A973)*(T_PlannedOrders[WeekIndex]=22)*(T_PlannedOrders[EffectiveQty]&gt;0)*T_PlannedOrders[Order_Month])),"m月")&amp;"発注)")</f>
        <v/>
      </c>
      <c r="Z999">
        <f>IF(SUMIFS(T_PlannedOrders[EffectiveQty],T_PlannedOrders[Part Name],$A973,T_PlannedOrders[WeekIndex],23)=0,"",SUMIFS(T_PlannedOrders[EffectiveQty],T_PlannedOrders[Part Name],$A973,T_PlannedOrders[WeekIndex],23)&amp;" ("&amp;TEXT(SUMPRODUCT(MAX((T_PlannedOrders[Part Name]=$A973)*(T_PlannedOrders[WeekIndex]=23)*(T_PlannedOrders[EffectiveQty]&gt;0)*T_PlannedOrders[Order_Month])),"m月")&amp;"発注)")</f>
        <v/>
      </c>
      <c r="AA999">
        <f>IF(SUMIFS(T_PlannedOrders[EffectiveQty],T_PlannedOrders[Part Name],$A973,T_PlannedOrders[WeekIndex],24)=0,"",SUMIFS(T_PlannedOrders[EffectiveQty],T_PlannedOrders[Part Name],$A973,T_PlannedOrders[WeekIndex],24)&amp;" ("&amp;TEXT(SUMPRODUCT(MAX((T_PlannedOrders[Part Name]=$A973)*(T_PlannedOrders[WeekIndex]=24)*(T_PlannedOrders[EffectiveQty]&gt;0)*T_PlannedOrders[Order_Month])),"m月")&amp;"発注)")</f>
        <v/>
      </c>
      <c r="AB999">
        <f>IF(SUMIFS(T_PlannedOrders[EffectiveQty],T_PlannedOrders[Part Name],$A973,T_PlannedOrders[WeekIndex],25)=0,"",SUMIFS(T_PlannedOrders[EffectiveQty],T_PlannedOrders[Part Name],$A973,T_PlannedOrders[WeekIndex],25)&amp;" ("&amp;TEXT(SUMPRODUCT(MAX((T_PlannedOrders[Part Name]=$A973)*(T_PlannedOrders[WeekIndex]=25)*(T_PlannedOrders[EffectiveQty]&gt;0)*T_PlannedOrders[Order_Month])),"m月")&amp;"発注)")</f>
        <v/>
      </c>
      <c r="AC999">
        <f>IF(SUMIFS(T_PlannedOrders[EffectiveQty],T_PlannedOrders[Part Name],$A973,T_PlannedOrders[WeekIndex],26)=0,"",SUMIFS(T_PlannedOrders[EffectiveQty],T_PlannedOrders[Part Name],$A973,T_PlannedOrders[WeekIndex],26)&amp;" ("&amp;TEXT(SUMPRODUCT(MAX((T_PlannedOrders[Part Name]=$A973)*(T_PlannedOrders[WeekIndex]=26)*(T_PlannedOrders[EffectiveQty]&gt;0)*T_PlannedOrders[Order_Month])),"m月")&amp;"発注)")</f>
        <v/>
      </c>
      <c r="AD999">
        <f>IF(SUMIFS(T_PlannedOrders[EffectiveQty],T_PlannedOrders[Part Name],$A973,T_PlannedOrders[WeekIndex],27)=0,"",SUMIFS(T_PlannedOrders[EffectiveQty],T_PlannedOrders[Part Name],$A973,T_PlannedOrders[WeekIndex],27)&amp;" ("&amp;TEXT(SUMPRODUCT(MAX((T_PlannedOrders[Part Name]=$A973)*(T_PlannedOrders[WeekIndex]=27)*(T_PlannedOrders[EffectiveQty]&gt;0)*T_PlannedOrders[Order_Month])),"m月")&amp;"発注)")</f>
        <v/>
      </c>
      <c r="AE999">
        <f>IF(SUMIFS(T_PlannedOrders[EffectiveQty],T_PlannedOrders[Part Name],$A973,T_PlannedOrders[WeekIndex],28)=0,"",SUMIFS(T_PlannedOrders[EffectiveQty],T_PlannedOrders[Part Name],$A973,T_PlannedOrders[WeekIndex],28)&amp;" ("&amp;TEXT(SUMPRODUCT(MAX((T_PlannedOrders[Part Name]=$A973)*(T_PlannedOrders[WeekIndex]=28)*(T_PlannedOrders[EffectiveQty]&gt;0)*T_PlannedOrders[Order_Month])),"m月")&amp;"発注)")</f>
        <v/>
      </c>
      <c r="AF999">
        <f>IF(SUMIFS(T_PlannedOrders[EffectiveQty],T_PlannedOrders[Part Name],$A973,T_PlannedOrders[WeekIndex],29)=0,"",SUMIFS(T_PlannedOrders[EffectiveQty],T_PlannedOrders[Part Name],$A973,T_PlannedOrders[WeekIndex],29)&amp;" ("&amp;TEXT(SUMPRODUCT(MAX((T_PlannedOrders[Part Name]=$A973)*(T_PlannedOrders[WeekIndex]=29)*(T_PlannedOrders[EffectiveQty]&gt;0)*T_PlannedOrders[Order_Month])),"m月")&amp;"発注)")</f>
        <v/>
      </c>
      <c r="AG999">
        <f>IF(SUMIFS(T_PlannedOrders[EffectiveQty],T_PlannedOrders[Part Name],$A973,T_PlannedOrders[WeekIndex],30)=0,"",SUMIFS(T_PlannedOrders[EffectiveQty],T_PlannedOrders[Part Name],$A973,T_PlannedOrders[WeekIndex],30)&amp;" ("&amp;TEXT(SUMPRODUCT(MAX((T_PlannedOrders[Part Name]=$A973)*(T_PlannedOrders[WeekIndex]=30)*(T_PlannedOrders[EffectiveQty]&gt;0)*T_PlannedOrders[Order_Month])),"m月")&amp;"発注)")</f>
        <v/>
      </c>
      <c r="AH999">
        <f>IF(SUMIFS(T_PlannedOrders[EffectiveQty],T_PlannedOrders[Part Name],$A973,T_PlannedOrders[WeekIndex],31)=0,"",SUMIFS(T_PlannedOrders[EffectiveQty],T_PlannedOrders[Part Name],$A973,T_PlannedOrders[WeekIndex],31)&amp;" ("&amp;TEXT(SUMPRODUCT(MAX((T_PlannedOrders[Part Name]=$A973)*(T_PlannedOrders[WeekIndex]=31)*(T_PlannedOrders[EffectiveQty]&gt;0)*T_PlannedOrders[Order_Month])),"m月")&amp;"発注)")</f>
        <v/>
      </c>
      <c r="AI999">
        <f>IF(SUMIFS(T_PlannedOrders[EffectiveQty],T_PlannedOrders[Part Name],$A973,T_PlannedOrders[WeekIndex],32)=0,"",SUMIFS(T_PlannedOrders[EffectiveQty],T_PlannedOrders[Part Name],$A973,T_PlannedOrders[WeekIndex],32)&amp;" ("&amp;TEXT(SUMPRODUCT(MAX((T_PlannedOrders[Part Name]=$A973)*(T_PlannedOrders[WeekIndex]=32)*(T_PlannedOrders[EffectiveQty]&gt;0)*T_PlannedOrders[Order_Month])),"m月")&amp;"発注)")</f>
        <v/>
      </c>
      <c r="AJ999">
        <f>IF(SUMIFS(T_PlannedOrders[EffectiveQty],T_PlannedOrders[Part Name],$A973,T_PlannedOrders[WeekIndex],33)=0,"",SUMIFS(T_PlannedOrders[EffectiveQty],T_PlannedOrders[Part Name],$A973,T_PlannedOrders[WeekIndex],33)&amp;" ("&amp;TEXT(SUMPRODUCT(MAX((T_PlannedOrders[Part Name]=$A973)*(T_PlannedOrders[WeekIndex]=33)*(T_PlannedOrders[EffectiveQty]&gt;0)*T_PlannedOrders[Order_Month])),"m月")&amp;"発注)")</f>
        <v/>
      </c>
      <c r="AK999">
        <f>IF(SUMIFS(T_PlannedOrders[EffectiveQty],T_PlannedOrders[Part Name],$A973,T_PlannedOrders[WeekIndex],34)=0,"",SUMIFS(T_PlannedOrders[EffectiveQty],T_PlannedOrders[Part Name],$A973,T_PlannedOrders[WeekIndex],34)&amp;" ("&amp;TEXT(SUMPRODUCT(MAX((T_PlannedOrders[Part Name]=$A973)*(T_PlannedOrders[WeekIndex]=34)*(T_PlannedOrders[EffectiveQty]&gt;0)*T_PlannedOrders[Order_Month])),"m月")&amp;"発注)")</f>
        <v/>
      </c>
      <c r="AL999">
        <f>IF(SUMIFS(T_PlannedOrders[EffectiveQty],T_PlannedOrders[Part Name],$A973,T_PlannedOrders[WeekIndex],35)=0,"",SUMIFS(T_PlannedOrders[EffectiveQty],T_PlannedOrders[Part Name],$A973,T_PlannedOrders[WeekIndex],35)&amp;" ("&amp;TEXT(SUMPRODUCT(MAX((T_PlannedOrders[Part Name]=$A973)*(T_PlannedOrders[WeekIndex]=35)*(T_PlannedOrders[EffectiveQty]&gt;0)*T_PlannedOrders[Order_Month])),"m月")&amp;"発注)")</f>
        <v/>
      </c>
      <c r="AM999">
        <f>IF(SUMIFS(T_PlannedOrders[EffectiveQty],T_PlannedOrders[Part Name],$A973,T_PlannedOrders[WeekIndex],36)=0,"",SUMIFS(T_PlannedOrders[EffectiveQty],T_PlannedOrders[Part Name],$A973,T_PlannedOrders[WeekIndex],36)&amp;" ("&amp;TEXT(SUMPRODUCT(MAX((T_PlannedOrders[Part Name]=$A973)*(T_PlannedOrders[WeekIndex]=36)*(T_PlannedOrders[EffectiveQty]&gt;0)*T_PlannedOrders[Order_Month])),"m月")&amp;"発注)")</f>
        <v/>
      </c>
      <c r="AN999">
        <f>IF(SUMIFS(T_PlannedOrders[EffectiveQty],T_PlannedOrders[Part Name],$A973,T_PlannedOrders[WeekIndex],37)=0,"",SUMIFS(T_PlannedOrders[EffectiveQty],T_PlannedOrders[Part Name],$A973,T_PlannedOrders[WeekIndex],37)&amp;" ("&amp;TEXT(SUMPRODUCT(MAX((T_PlannedOrders[Part Name]=$A973)*(T_PlannedOrders[WeekIndex]=37)*(T_PlannedOrders[EffectiveQty]&gt;0)*T_PlannedOrders[Order_Month])),"m月")&amp;"発注)")</f>
        <v/>
      </c>
      <c r="AO999">
        <f>IF(SUMIFS(T_PlannedOrders[EffectiveQty],T_PlannedOrders[Part Name],$A973,T_PlannedOrders[WeekIndex],38)=0,"",SUMIFS(T_PlannedOrders[EffectiveQty],T_PlannedOrders[Part Name],$A973,T_PlannedOrders[WeekIndex],38)&amp;" ("&amp;TEXT(SUMPRODUCT(MAX((T_PlannedOrders[Part Name]=$A973)*(T_PlannedOrders[WeekIndex]=38)*(T_PlannedOrders[EffectiveQty]&gt;0)*T_PlannedOrders[Order_Month])),"m月")&amp;"発注)")</f>
        <v/>
      </c>
      <c r="AP999">
        <f>IF(SUMIFS(T_PlannedOrders[EffectiveQty],T_PlannedOrders[Part Name],$A973,T_PlannedOrders[WeekIndex],39)=0,"",SUMIFS(T_PlannedOrders[EffectiveQty],T_PlannedOrders[Part Name],$A973,T_PlannedOrders[WeekIndex],39)&amp;" ("&amp;TEXT(SUMPRODUCT(MAX((T_PlannedOrders[Part Name]=$A973)*(T_PlannedOrders[WeekIndex]=39)*(T_PlannedOrders[EffectiveQty]&gt;0)*T_PlannedOrders[Order_Month])),"m月")&amp;"発注)")</f>
        <v/>
      </c>
      <c r="AQ999">
        <f>IF(SUMIFS(T_PlannedOrders[EffectiveQty],T_PlannedOrders[Part Name],$A973,T_PlannedOrders[WeekIndex],40)=0,"",SUMIFS(T_PlannedOrders[EffectiveQty],T_PlannedOrders[Part Name],$A973,T_PlannedOrders[WeekIndex],40)&amp;" ("&amp;TEXT(SUMPRODUCT(MAX((T_PlannedOrders[Part Name]=$A973)*(T_PlannedOrders[WeekIndex]=40)*(T_PlannedOrders[EffectiveQty]&gt;0)*T_PlannedOrders[Order_Month])),"m月")&amp;"発注)")</f>
        <v/>
      </c>
      <c r="AR999">
        <f>IF(SUMIFS(T_PlannedOrders[EffectiveQty],T_PlannedOrders[Part Name],$A973,T_PlannedOrders[WeekIndex],41)=0,"",SUMIFS(T_PlannedOrders[EffectiveQty],T_PlannedOrders[Part Name],$A973,T_PlannedOrders[WeekIndex],41)&amp;" ("&amp;TEXT(SUMPRODUCT(MAX((T_PlannedOrders[Part Name]=$A973)*(T_PlannedOrders[WeekIndex]=41)*(T_PlannedOrders[EffectiveQty]&gt;0)*T_PlannedOrders[Order_Month])),"m月")&amp;"発注)")</f>
        <v/>
      </c>
      <c r="AS999">
        <f>IF(SUMIFS(T_PlannedOrders[EffectiveQty],T_PlannedOrders[Part Name],$A973,T_PlannedOrders[WeekIndex],42)=0,"",SUMIFS(T_PlannedOrders[EffectiveQty],T_PlannedOrders[Part Name],$A973,T_PlannedOrders[WeekIndex],42)&amp;" ("&amp;TEXT(SUMPRODUCT(MAX((T_PlannedOrders[Part Name]=$A973)*(T_PlannedOrders[WeekIndex]=42)*(T_PlannedOrders[EffectiveQty]&gt;0)*T_PlannedOrders[Order_Month])),"m月")&amp;"発注)")</f>
        <v/>
      </c>
      <c r="AT999">
        <f>IF(SUMIFS(T_PlannedOrders[EffectiveQty],T_PlannedOrders[Part Name],$A973,T_PlannedOrders[WeekIndex],43)=0,"",SUMIFS(T_PlannedOrders[EffectiveQty],T_PlannedOrders[Part Name],$A973,T_PlannedOrders[WeekIndex],43)&amp;" ("&amp;TEXT(SUMPRODUCT(MAX((T_PlannedOrders[Part Name]=$A973)*(T_PlannedOrders[WeekIndex]=43)*(T_PlannedOrders[EffectiveQty]&gt;0)*T_PlannedOrders[Order_Month])),"m月")&amp;"発注)")</f>
        <v/>
      </c>
      <c r="AU999">
        <f>IF(SUMIFS(T_PlannedOrders[EffectiveQty],T_PlannedOrders[Part Name],$A973,T_PlannedOrders[WeekIndex],44)=0,"",SUMIFS(T_PlannedOrders[EffectiveQty],T_PlannedOrders[Part Name],$A973,T_PlannedOrders[WeekIndex],44)&amp;" ("&amp;TEXT(SUMPRODUCT(MAX((T_PlannedOrders[Part Name]=$A973)*(T_PlannedOrders[WeekIndex]=44)*(T_PlannedOrders[EffectiveQty]&gt;0)*T_PlannedOrders[Order_Month])),"m月")&amp;"発注)")</f>
        <v/>
      </c>
      <c r="AV999">
        <f>IF(SUMIFS(T_PlannedOrders[EffectiveQty],T_PlannedOrders[Part Name],$A973,T_PlannedOrders[WeekIndex],45)=0,"",SUMIFS(T_PlannedOrders[EffectiveQty],T_PlannedOrders[Part Name],$A973,T_PlannedOrders[WeekIndex],45)&amp;" ("&amp;TEXT(SUMPRODUCT(MAX((T_PlannedOrders[Part Name]=$A973)*(T_PlannedOrders[WeekIndex]=45)*(T_PlannedOrders[EffectiveQty]&gt;0)*T_PlannedOrders[Order_Month])),"m月")&amp;"発注)")</f>
        <v/>
      </c>
      <c r="AW999">
        <f>IF(SUMIFS(T_PlannedOrders[EffectiveQty],T_PlannedOrders[Part Name],$A973,T_PlannedOrders[WeekIndex],46)=0,"",SUMIFS(T_PlannedOrders[EffectiveQty],T_PlannedOrders[Part Name],$A973,T_PlannedOrders[WeekIndex],46)&amp;" ("&amp;TEXT(SUMPRODUCT(MAX((T_PlannedOrders[Part Name]=$A973)*(T_PlannedOrders[WeekIndex]=46)*(T_PlannedOrders[EffectiveQty]&gt;0)*T_PlannedOrders[Order_Month])),"m月")&amp;"発注)")</f>
        <v/>
      </c>
      <c r="AX999">
        <f>IF(SUMIFS(T_PlannedOrders[EffectiveQty],T_PlannedOrders[Part Name],$A973,T_PlannedOrders[WeekIndex],47)=0,"",SUMIFS(T_PlannedOrders[EffectiveQty],T_PlannedOrders[Part Name],$A973,T_PlannedOrders[WeekIndex],47)&amp;" ("&amp;TEXT(SUMPRODUCT(MAX((T_PlannedOrders[Part Name]=$A973)*(T_PlannedOrders[WeekIndex]=47)*(T_PlannedOrders[EffectiveQty]&gt;0)*T_PlannedOrders[Order_Month])),"m月")&amp;"発注)")</f>
        <v/>
      </c>
      <c r="AY999">
        <f>IF(SUMIFS(T_PlannedOrders[EffectiveQty],T_PlannedOrders[Part Name],$A973,T_PlannedOrders[WeekIndex],48)=0,"",SUMIFS(T_PlannedOrders[EffectiveQty],T_PlannedOrders[Part Name],$A973,T_PlannedOrders[WeekIndex],48)&amp;" ("&amp;TEXT(SUMPRODUCT(MAX((T_PlannedOrders[Part Name]=$A973)*(T_PlannedOrders[WeekIndex]=48)*(T_PlannedOrders[EffectiveQty]&gt;0)*T_PlannedOrders[Order_Month])),"m月")&amp;"発注)")</f>
        <v/>
      </c>
      <c r="AZ999">
        <f>IF(SUMIFS(T_PlannedOrders[EffectiveQty],T_PlannedOrders[Part Name],$A973,T_PlannedOrders[WeekIndex],49)=0,"",SUMIFS(T_PlannedOrders[EffectiveQty],T_PlannedOrders[Part Name],$A973,T_PlannedOrders[WeekIndex],49)&amp;" ("&amp;TEXT(SUMPRODUCT(MAX((T_PlannedOrders[Part Name]=$A973)*(T_PlannedOrders[WeekIndex]=49)*(T_PlannedOrders[EffectiveQty]&gt;0)*T_PlannedOrders[Order_Month])),"m月")&amp;"発注)")</f>
        <v/>
      </c>
      <c r="BA999">
        <f>IF(SUMIFS(T_PlannedOrders[EffectiveQty],T_PlannedOrders[Part Name],$A973,T_PlannedOrders[WeekIndex],50)=0,"",SUMIFS(T_PlannedOrders[EffectiveQty],T_PlannedOrders[Part Name],$A973,T_PlannedOrders[WeekIndex],50)&amp;" ("&amp;TEXT(SUMPRODUCT(MAX((T_PlannedOrders[Part Name]=$A973)*(T_PlannedOrders[WeekIndex]=50)*(T_PlannedOrders[EffectiveQty]&gt;0)*T_PlannedOrders[Order_Month])),"m月")&amp;"発注)")</f>
        <v/>
      </c>
      <c r="BB999">
        <f>IF(SUMIFS(T_PlannedOrders[EffectiveQty],T_PlannedOrders[Part Name],$A973,T_PlannedOrders[WeekIndex],51)=0,"",SUMIFS(T_PlannedOrders[EffectiveQty],T_PlannedOrders[Part Name],$A973,T_PlannedOrders[WeekIndex],51)&amp;" ("&amp;TEXT(SUMPRODUCT(MAX((T_PlannedOrders[Part Name]=$A973)*(T_PlannedOrders[WeekIndex]=51)*(T_PlannedOrders[EffectiveQty]&gt;0)*T_PlannedOrders[Order_Month])),"m月")&amp;"発注)")</f>
        <v/>
      </c>
      <c r="BC999">
        <f>IF(SUMIFS(T_PlannedOrders[EffectiveQty],T_PlannedOrders[Part Name],$A973,T_PlannedOrders[WeekIndex],52)=0,"",SUMIFS(T_PlannedOrders[EffectiveQty],T_PlannedOrders[Part Name],$A973,T_PlannedOrders[WeekIndex],52)&amp;" ("&amp;TEXT(SUMPRODUCT(MAX((T_PlannedOrders[Part Name]=$A973)*(T_PlannedOrders[WeekIndex]=52)*(T_PlannedOrders[EffectiveQty]&gt;0)*T_PlannedOrders[Order_Month])),"m月")&amp;"発注)")</f>
        <v/>
      </c>
      <c r="BD999">
        <f>IF(SUMIFS(T_PlannedOrders[EffectiveQty],T_PlannedOrders[Part Name],$A973,T_PlannedOrders[WeekIndex],53)=0,"",SUMIFS(T_PlannedOrders[EffectiveQty],T_PlannedOrders[Part Name],$A973,T_PlannedOrders[WeekIndex],53)&amp;" ("&amp;TEXT(SUMPRODUCT(MAX((T_PlannedOrders[Part Name]=$A973)*(T_PlannedOrders[WeekIndex]=53)*(T_PlannedOrders[EffectiveQty]&gt;0)*T_PlannedOrders[Order_Month])),"m月")&amp;"発注)")</f>
        <v/>
      </c>
      <c r="BE999">
        <f>IF(SUMIFS(T_PlannedOrders[EffectiveQty],T_PlannedOrders[Part Name],$A973,T_PlannedOrders[WeekIndex],54)=0,"",SUMIFS(T_PlannedOrders[EffectiveQty],T_PlannedOrders[Part Name],$A973,T_PlannedOrders[WeekIndex],54)&amp;" ("&amp;TEXT(SUMPRODUCT(MAX((T_PlannedOrders[Part Name]=$A973)*(T_PlannedOrders[WeekIndex]=54)*(T_PlannedOrders[EffectiveQty]&gt;0)*T_PlannedOrders[Order_Month])),"m月")&amp;"発注)")</f>
        <v/>
      </c>
      <c r="BF999">
        <f>IF(SUMIFS(T_PlannedOrders[EffectiveQty],T_PlannedOrders[Part Name],$A973,T_PlannedOrders[WeekIndex],55)=0,"",SUMIFS(T_PlannedOrders[EffectiveQty],T_PlannedOrders[Part Name],$A973,T_PlannedOrders[WeekIndex],55)&amp;" ("&amp;TEXT(SUMPRODUCT(MAX((T_PlannedOrders[Part Name]=$A973)*(T_PlannedOrders[WeekIndex]=55)*(T_PlannedOrders[EffectiveQty]&gt;0)*T_PlannedOrders[Order_Month])),"m月")&amp;"発注)")</f>
        <v/>
      </c>
      <c r="BG999">
        <f>IF(SUMIFS(T_PlannedOrders[EffectiveQty],T_PlannedOrders[Part Name],$A973,T_PlannedOrders[WeekIndex],56)=0,"",SUMIFS(T_PlannedOrders[EffectiveQty],T_PlannedOrders[Part Name],$A973,T_PlannedOrders[WeekIndex],56)&amp;" ("&amp;TEXT(SUMPRODUCT(MAX((T_PlannedOrders[Part Name]=$A973)*(T_PlannedOrders[WeekIndex]=56)*(T_PlannedOrders[EffectiveQty]&gt;0)*T_PlannedOrders[Order_Month])),"m月")&amp;"発注)")</f>
        <v/>
      </c>
      <c r="BH999">
        <f>IF(SUMIFS(T_PlannedOrders[EffectiveQty],T_PlannedOrders[Part Name],$A973,T_PlannedOrders[WeekIndex],57)=0,"",SUMIFS(T_PlannedOrders[EffectiveQty],T_PlannedOrders[Part Name],$A973,T_PlannedOrders[WeekIndex],57)&amp;" ("&amp;TEXT(SUMPRODUCT(MAX((T_PlannedOrders[Part Name]=$A973)*(T_PlannedOrders[WeekIndex]=57)*(T_PlannedOrders[EffectiveQty]&gt;0)*T_PlannedOrders[Order_Month])),"m月")&amp;"発注)")</f>
        <v/>
      </c>
      <c r="BI999">
        <f>IF(SUMIFS(T_PlannedOrders[EffectiveQty],T_PlannedOrders[Part Name],$A973,T_PlannedOrders[WeekIndex],58)=0,"",SUMIFS(T_PlannedOrders[EffectiveQty],T_PlannedOrders[Part Name],$A973,T_PlannedOrders[WeekIndex],58)&amp;" ("&amp;TEXT(SUMPRODUCT(MAX((T_PlannedOrders[Part Name]=$A973)*(T_PlannedOrders[WeekIndex]=58)*(T_PlannedOrders[EffectiveQty]&gt;0)*T_PlannedOrders[Order_Month])),"m月")&amp;"発注)")</f>
        <v/>
      </c>
      <c r="BJ999">
        <f>IF(SUMIFS(T_PlannedOrders[EffectiveQty],T_PlannedOrders[Part Name],$A973,T_PlannedOrders[WeekIndex],59)=0,"",SUMIFS(T_PlannedOrders[EffectiveQty],T_PlannedOrders[Part Name],$A973,T_PlannedOrders[WeekIndex],59)&amp;" ("&amp;TEXT(SUMPRODUCT(MAX((T_PlannedOrders[Part Name]=$A973)*(T_PlannedOrders[WeekIndex]=59)*(T_PlannedOrders[EffectiveQty]&gt;0)*T_PlannedOrders[Order_Month])),"m月")&amp;"発注)")</f>
        <v/>
      </c>
      <c r="BK999">
        <f>IF(SUMIFS(T_PlannedOrders[EffectiveQty],T_PlannedOrders[Part Name],$A973,T_PlannedOrders[WeekIndex],60)=0,"",SUMIFS(T_PlannedOrders[EffectiveQty],T_PlannedOrders[Part Name],$A973,T_PlannedOrders[WeekIndex],60)&amp;" ("&amp;TEXT(SUMPRODUCT(MAX((T_PlannedOrders[Part Name]=$A973)*(T_PlannedOrders[WeekIndex]=60)*(T_PlannedOrders[EffectiveQty]&gt;0)*T_PlannedOrders[Order_Month])),"m月")&amp;"発注)")</f>
        <v/>
      </c>
      <c r="BL999">
        <f>IF(SUMIFS(T_PlannedOrders[EffectiveQty],T_PlannedOrders[Part Name],$A973,T_PlannedOrders[WeekIndex],61)=0,"",SUMIFS(T_PlannedOrders[EffectiveQty],T_PlannedOrders[Part Name],$A973,T_PlannedOrders[WeekIndex],61)&amp;" ("&amp;TEXT(SUMPRODUCT(MAX((T_PlannedOrders[Part Name]=$A973)*(T_PlannedOrders[WeekIndex]=61)*(T_PlannedOrders[EffectiveQty]&gt;0)*T_PlannedOrders[Order_Month])),"m月")&amp;"発注)")</f>
        <v/>
      </c>
      <c r="BM999">
        <f>IF(SUMIFS(T_PlannedOrders[EffectiveQty],T_PlannedOrders[Part Name],$A973,T_PlannedOrders[WeekIndex],62)=0,"",SUMIFS(T_PlannedOrders[EffectiveQty],T_PlannedOrders[Part Name],$A973,T_PlannedOrders[WeekIndex],62)&amp;" ("&amp;TEXT(SUMPRODUCT(MAX((T_PlannedOrders[Part Name]=$A973)*(T_PlannedOrders[WeekIndex]=62)*(T_PlannedOrders[EffectiveQty]&gt;0)*T_PlannedOrders[Order_Month])),"m月")&amp;"発注)")</f>
        <v/>
      </c>
      <c r="BN999">
        <f>IF(SUMIFS(T_PlannedOrders[EffectiveQty],T_PlannedOrders[Part Name],$A973,T_PlannedOrders[WeekIndex],63)=0,"",SUMIFS(T_PlannedOrders[EffectiveQty],T_PlannedOrders[Part Name],$A973,T_PlannedOrders[WeekIndex],63)&amp;" ("&amp;TEXT(SUMPRODUCT(MAX((T_PlannedOrders[Part Name]=$A973)*(T_PlannedOrders[WeekIndex]=63)*(T_PlannedOrders[EffectiveQty]&gt;0)*T_PlannedOrders[Order_Month])),"m月")&amp;"発注)")</f>
        <v/>
      </c>
      <c r="BO999">
        <f>IF(SUMIFS(T_PlannedOrders[EffectiveQty],T_PlannedOrders[Part Name],$A973,T_PlannedOrders[WeekIndex],64)=0,"",SUMIFS(T_PlannedOrders[EffectiveQty],T_PlannedOrders[Part Name],$A973,T_PlannedOrders[WeekIndex],64)&amp;" ("&amp;TEXT(SUMPRODUCT(MAX((T_PlannedOrders[Part Name]=$A973)*(T_PlannedOrders[WeekIndex]=64)*(T_PlannedOrders[EffectiveQty]&gt;0)*T_PlannedOrders[Order_Month])),"m月")&amp;"発注)")</f>
        <v/>
      </c>
      <c r="BP999">
        <f>IF(SUMIFS(T_PlannedOrders[EffectiveQty],T_PlannedOrders[Part Name],$A973,T_PlannedOrders[WeekIndex],65)=0,"",SUMIFS(T_PlannedOrders[EffectiveQty],T_PlannedOrders[Part Name],$A973,T_PlannedOrders[WeekIndex],65)&amp;" ("&amp;TEXT(SUMPRODUCT(MAX((T_PlannedOrders[Part Name]=$A973)*(T_PlannedOrders[WeekIndex]=65)*(T_PlannedOrders[EffectiveQty]&gt;0)*T_PlannedOrders[Order_Month])),"m月")&amp;"発注)")</f>
        <v/>
      </c>
      <c r="BQ999">
        <f>IF(SUMIFS(T_PlannedOrders[EffectiveQty],T_PlannedOrders[Part Name],$A973,T_PlannedOrders[WeekIndex],66)=0,"",SUMIFS(T_PlannedOrders[EffectiveQty],T_PlannedOrders[Part Name],$A973,T_PlannedOrders[WeekIndex],66)&amp;" ("&amp;TEXT(SUMPRODUCT(MAX((T_PlannedOrders[Part Name]=$A973)*(T_PlannedOrders[WeekIndex]=66)*(T_PlannedOrders[EffectiveQty]&gt;0)*T_PlannedOrders[Order_Month])),"m月")&amp;"発注)")</f>
        <v/>
      </c>
      <c r="BR999">
        <f>IF(SUMIFS(T_PlannedOrders[EffectiveQty],T_PlannedOrders[Part Name],$A973,T_PlannedOrders[WeekIndex],67)=0,"",SUMIFS(T_PlannedOrders[EffectiveQty],T_PlannedOrders[Part Name],$A973,T_PlannedOrders[WeekIndex],67)&amp;" ("&amp;TEXT(SUMPRODUCT(MAX((T_PlannedOrders[Part Name]=$A973)*(T_PlannedOrders[WeekIndex]=67)*(T_PlannedOrders[EffectiveQty]&gt;0)*T_PlannedOrders[Order_Month])),"m月")&amp;"発注)")</f>
        <v/>
      </c>
      <c r="BS999">
        <f>IF(SUMIFS(T_PlannedOrders[EffectiveQty],T_PlannedOrders[Part Name],$A973,T_PlannedOrders[WeekIndex],68)=0,"",SUMIFS(T_PlannedOrders[EffectiveQty],T_PlannedOrders[Part Name],$A973,T_PlannedOrders[WeekIndex],68)&amp;" ("&amp;TEXT(SUMPRODUCT(MAX((T_PlannedOrders[Part Name]=$A973)*(T_PlannedOrders[WeekIndex]=68)*(T_PlannedOrders[EffectiveQty]&gt;0)*T_PlannedOrders[Order_Month])),"m月")&amp;"発注)")</f>
        <v/>
      </c>
      <c r="BT999">
        <f>IF(SUMIFS(T_PlannedOrders[EffectiveQty],T_PlannedOrders[Part Name],$A973,T_PlannedOrders[WeekIndex],69)=0,"",SUMIFS(T_PlannedOrders[EffectiveQty],T_PlannedOrders[Part Name],$A973,T_PlannedOrders[WeekIndex],69)&amp;" ("&amp;TEXT(SUMPRODUCT(MAX((T_PlannedOrders[Part Name]=$A973)*(T_PlannedOrders[WeekIndex]=69)*(T_PlannedOrders[EffectiveQty]&gt;0)*T_PlannedOrders[Order_Month])),"m月")&amp;"発注)")</f>
        <v/>
      </c>
      <c r="BU999">
        <f>IF(SUMIFS(T_PlannedOrders[EffectiveQty],T_PlannedOrders[Part Name],$A973,T_PlannedOrders[WeekIndex],70)=0,"",SUMIFS(T_PlannedOrders[EffectiveQty],T_PlannedOrders[Part Name],$A973,T_PlannedOrders[WeekIndex],70)&amp;" ("&amp;TEXT(SUMPRODUCT(MAX((T_PlannedOrders[Part Name]=$A973)*(T_PlannedOrders[WeekIndex]=70)*(T_PlannedOrders[EffectiveQty]&gt;0)*T_PlannedOrders[Order_Month])),"m月")&amp;"発注)")</f>
        <v/>
      </c>
      <c r="BV999">
        <f>IF(SUMIFS(T_PlannedOrders[EffectiveQty],T_PlannedOrders[Part Name],$A973,T_PlannedOrders[WeekIndex],71)=0,"",SUMIFS(T_PlannedOrders[EffectiveQty],T_PlannedOrders[Part Name],$A973,T_PlannedOrders[WeekIndex],71)&amp;" ("&amp;TEXT(SUMPRODUCT(MAX((T_PlannedOrders[Part Name]=$A973)*(T_PlannedOrders[WeekIndex]=71)*(T_PlannedOrders[EffectiveQty]&gt;0)*T_PlannedOrders[Order_Month])),"m月")&amp;"発注)")</f>
        <v/>
      </c>
      <c r="BW999">
        <f>IF(SUMIFS(T_PlannedOrders[EffectiveQty],T_PlannedOrders[Part Name],$A973,T_PlannedOrders[WeekIndex],72)=0,"",SUMIFS(T_PlannedOrders[EffectiveQty],T_PlannedOrders[Part Name],$A973,T_PlannedOrders[WeekIndex],72)&amp;" ("&amp;TEXT(SUMPRODUCT(MAX((T_PlannedOrders[Part Name]=$A973)*(T_PlannedOrders[WeekIndex]=72)*(T_PlannedOrders[EffectiveQty]&gt;0)*T_PlannedOrders[Order_Month])),"m月")&amp;"発注)")</f>
        <v/>
      </c>
      <c r="BX999">
        <f>IF(SUMIFS(T_PlannedOrders[EffectiveQty],T_PlannedOrders[Part Name],$A973,T_PlannedOrders[WeekIndex],73)=0,"",SUMIFS(T_PlannedOrders[EffectiveQty],T_PlannedOrders[Part Name],$A973,T_PlannedOrders[WeekIndex],73)&amp;" ("&amp;TEXT(SUMPRODUCT(MAX((T_PlannedOrders[Part Name]=$A973)*(T_PlannedOrders[WeekIndex]=73)*(T_PlannedOrders[EffectiveQty]&gt;0)*T_PlannedOrders[Order_Month])),"m月")&amp;"発注)")</f>
        <v/>
      </c>
      <c r="BY999">
        <f>IF(SUMIFS(T_PlannedOrders[EffectiveQty],T_PlannedOrders[Part Name],$A973,T_PlannedOrders[WeekIndex],74)=0,"",SUMIFS(T_PlannedOrders[EffectiveQty],T_PlannedOrders[Part Name],$A973,T_PlannedOrders[WeekIndex],74)&amp;" ("&amp;TEXT(SUMPRODUCT(MAX((T_PlannedOrders[Part Name]=$A973)*(T_PlannedOrders[WeekIndex]=74)*(T_PlannedOrders[EffectiveQty]&gt;0)*T_PlannedOrders[Order_Month])),"m月")&amp;"発注)")</f>
        <v/>
      </c>
      <c r="BZ999">
        <f>IF(SUMIFS(T_PlannedOrders[EffectiveQty],T_PlannedOrders[Part Name],$A973,T_PlannedOrders[WeekIndex],75)=0,"",SUMIFS(T_PlannedOrders[EffectiveQty],T_PlannedOrders[Part Name],$A973,T_PlannedOrders[WeekIndex],75)&amp;" ("&amp;TEXT(SUMPRODUCT(MAX((T_PlannedOrders[Part Name]=$A973)*(T_PlannedOrders[WeekIndex]=75)*(T_PlannedOrders[EffectiveQty]&gt;0)*T_PlannedOrders[Order_Month])),"m月")&amp;"発注)")</f>
        <v/>
      </c>
      <c r="CA999">
        <f>IF(SUMIFS(T_PlannedOrders[EffectiveQty],T_PlannedOrders[Part Name],$A973,T_PlannedOrders[WeekIndex],76)=0,"",SUMIFS(T_PlannedOrders[EffectiveQty],T_PlannedOrders[Part Name],$A973,T_PlannedOrders[WeekIndex],76)&amp;" ("&amp;TEXT(SUMPRODUCT(MAX((T_PlannedOrders[Part Name]=$A973)*(T_PlannedOrders[WeekIndex]=76)*(T_PlannedOrders[EffectiveQty]&gt;0)*T_PlannedOrders[Order_Month])),"m月")&amp;"発注)")</f>
        <v/>
      </c>
      <c r="CB999">
        <f>IF(SUMIFS(T_PlannedOrders[EffectiveQty],T_PlannedOrders[Part Name],$A973,T_PlannedOrders[WeekIndex],77)=0,"",SUMIFS(T_PlannedOrders[EffectiveQty],T_PlannedOrders[Part Name],$A973,T_PlannedOrders[WeekIndex],77)&amp;" ("&amp;TEXT(SUMPRODUCT(MAX((T_PlannedOrders[Part Name]=$A973)*(T_PlannedOrders[WeekIndex]=77)*(T_PlannedOrders[EffectiveQty]&gt;0)*T_PlannedOrders[Order_Month])),"m月")&amp;"発注)")</f>
        <v/>
      </c>
      <c r="CC999">
        <f>IF(SUMIFS(T_PlannedOrders[EffectiveQty],T_PlannedOrders[Part Name],$A973,T_PlannedOrders[WeekIndex],78)=0,"",SUMIFS(T_PlannedOrders[EffectiveQty],T_PlannedOrders[Part Name],$A973,T_PlannedOrders[WeekIndex],78)&amp;" ("&amp;TEXT(SUMPRODUCT(MAX((T_PlannedOrders[Part Name]=$A973)*(T_PlannedOrders[WeekIndex]=78)*(T_PlannedOrders[EffectiveQty]&gt;0)*T_PlannedOrders[Order_Month])),"m月")&amp;"発注)")</f>
        <v/>
      </c>
      <c r="CD999">
        <f>IF(SUMIFS(T_PlannedOrders[EffectiveQty],T_PlannedOrders[Part Name],$A973,T_PlannedOrders[WeekIndex],79)=0,"",SUMIFS(T_PlannedOrders[EffectiveQty],T_PlannedOrders[Part Name],$A973,T_PlannedOrders[WeekIndex],79)&amp;" ("&amp;TEXT(SUMPRODUCT(MAX((T_PlannedOrders[Part Name]=$A973)*(T_PlannedOrders[WeekIndex]=79)*(T_PlannedOrders[EffectiveQty]&gt;0)*T_PlannedOrders[Order_Month])),"m月")&amp;"発注)")</f>
        <v/>
      </c>
      <c r="CE999">
        <f>IF(SUMIFS(T_PlannedOrders[EffectiveQty],T_PlannedOrders[Part Name],$A973,T_PlannedOrders[WeekIndex],80)=0,"",SUMIFS(T_PlannedOrders[EffectiveQty],T_PlannedOrders[Part Name],$A973,T_PlannedOrders[WeekIndex],80)&amp;" ("&amp;TEXT(SUMPRODUCT(MAX((T_PlannedOrders[Part Name]=$A973)*(T_PlannedOrders[WeekIndex]=80)*(T_PlannedOrders[EffectiveQty]&gt;0)*T_PlannedOrders[Order_Month])),"m月")&amp;"発注)")</f>
        <v/>
      </c>
      <c r="CF999">
        <f>IF(SUMIFS(T_PlannedOrders[EffectiveQty],T_PlannedOrders[Part Name],$A973,T_PlannedOrders[WeekIndex],81)=0,"",SUMIFS(T_PlannedOrders[EffectiveQty],T_PlannedOrders[Part Name],$A973,T_PlannedOrders[WeekIndex],81)&amp;" ("&amp;TEXT(SUMPRODUCT(MAX((T_PlannedOrders[Part Name]=$A973)*(T_PlannedOrders[WeekIndex]=81)*(T_PlannedOrders[EffectiveQty]&gt;0)*T_PlannedOrders[Order_Month])),"m月")&amp;"発注)")</f>
        <v/>
      </c>
      <c r="CG999">
        <f>IF(SUMIFS(T_PlannedOrders[EffectiveQty],T_PlannedOrders[Part Name],$A973,T_PlannedOrders[WeekIndex],82)=0,"",SUMIFS(T_PlannedOrders[EffectiveQty],T_PlannedOrders[Part Name],$A973,T_PlannedOrders[WeekIndex],82)&amp;" ("&amp;TEXT(SUMPRODUCT(MAX((T_PlannedOrders[Part Name]=$A973)*(T_PlannedOrders[WeekIndex]=82)*(T_PlannedOrders[EffectiveQty]&gt;0)*T_PlannedOrders[Order_Month])),"m月")&amp;"発注)")</f>
        <v/>
      </c>
      <c r="CH999">
        <f>IF(SUMIFS(T_PlannedOrders[EffectiveQty],T_PlannedOrders[Part Name],$A973,T_PlannedOrders[WeekIndex],83)=0,"",SUMIFS(T_PlannedOrders[EffectiveQty],T_PlannedOrders[Part Name],$A973,T_PlannedOrders[WeekIndex],83)&amp;" ("&amp;TEXT(SUMPRODUCT(MAX((T_PlannedOrders[Part Name]=$A973)*(T_PlannedOrders[WeekIndex]=83)*(T_PlannedOrders[EffectiveQty]&gt;0)*T_PlannedOrders[Order_Month])),"m月")&amp;"発注)")</f>
        <v/>
      </c>
      <c r="CI999">
        <f>IF(SUMIFS(T_PlannedOrders[EffectiveQty],T_PlannedOrders[Part Name],$A973,T_PlannedOrders[WeekIndex],84)=0,"",SUMIFS(T_PlannedOrders[EffectiveQty],T_PlannedOrders[Part Name],$A973,T_PlannedOrders[WeekIndex],84)&amp;" ("&amp;TEXT(SUMPRODUCT(MAX((T_PlannedOrders[Part Name]=$A973)*(T_PlannedOrders[WeekIndex]=84)*(T_PlannedOrders[EffectiveQty]&gt;0)*T_PlannedOrders[Order_Month])),"m月")&amp;"発注)")</f>
        <v/>
      </c>
      <c r="CJ999">
        <f>IF(SUMIFS(T_PlannedOrders[EffectiveQty],T_PlannedOrders[Part Name],$A973,T_PlannedOrders[WeekIndex],85)=0,"",SUMIFS(T_PlannedOrders[EffectiveQty],T_PlannedOrders[Part Name],$A973,T_PlannedOrders[WeekIndex],85)&amp;" ("&amp;TEXT(SUMPRODUCT(MAX((T_PlannedOrders[Part Name]=$A973)*(T_PlannedOrders[WeekIndex]=85)*(T_PlannedOrders[EffectiveQty]&gt;0)*T_PlannedOrders[Order_Month])),"m月")&amp;"発注)")</f>
        <v/>
      </c>
      <c r="CK999">
        <f>IF(SUMIFS(T_PlannedOrders[EffectiveQty],T_PlannedOrders[Part Name],$A973,T_PlannedOrders[WeekIndex],86)=0,"",SUMIFS(T_PlannedOrders[EffectiveQty],T_PlannedOrders[Part Name],$A973,T_PlannedOrders[WeekIndex],86)&amp;" ("&amp;TEXT(SUMPRODUCT(MAX((T_PlannedOrders[Part Name]=$A973)*(T_PlannedOrders[WeekIndex]=86)*(T_PlannedOrders[EffectiveQty]&gt;0)*T_PlannedOrders[Order_Month])),"m月")&amp;"発注)")</f>
        <v/>
      </c>
      <c r="CL999">
        <f>IF(SUMIFS(T_PlannedOrders[EffectiveQty],T_PlannedOrders[Part Name],$A973,T_PlannedOrders[WeekIndex],87)=0,"",SUMIFS(T_PlannedOrders[EffectiveQty],T_PlannedOrders[Part Name],$A973,T_PlannedOrders[WeekIndex],87)&amp;" ("&amp;TEXT(SUMPRODUCT(MAX((T_PlannedOrders[Part Name]=$A973)*(T_PlannedOrders[WeekIndex]=87)*(T_PlannedOrders[EffectiveQty]&gt;0)*T_PlannedOrders[Order_Month])),"m月")&amp;"発注)")</f>
        <v/>
      </c>
      <c r="CM999">
        <f>IF(SUMIFS(T_PlannedOrders[EffectiveQty],T_PlannedOrders[Part Name],$A973,T_PlannedOrders[WeekIndex],88)=0,"",SUMIFS(T_PlannedOrders[EffectiveQty],T_PlannedOrders[Part Name],$A973,T_PlannedOrders[WeekIndex],88)&amp;" ("&amp;TEXT(SUMPRODUCT(MAX((T_PlannedOrders[Part Name]=$A973)*(T_PlannedOrders[WeekIndex]=88)*(T_PlannedOrders[EffectiveQty]&gt;0)*T_PlannedOrders[Order_Month])),"m月")&amp;"発注)")</f>
        <v/>
      </c>
      <c r="CN999">
        <f>IF(SUMIFS(T_PlannedOrders[EffectiveQty],T_PlannedOrders[Part Name],$A973,T_PlannedOrders[WeekIndex],89)=0,"",SUMIFS(T_PlannedOrders[EffectiveQty],T_PlannedOrders[Part Name],$A973,T_PlannedOrders[WeekIndex],89)&amp;" ("&amp;TEXT(SUMPRODUCT(MAX((T_PlannedOrders[Part Name]=$A973)*(T_PlannedOrders[WeekIndex]=89)*(T_PlannedOrders[EffectiveQty]&gt;0)*T_PlannedOrders[Order_Month])),"m月")&amp;"発注)")</f>
        <v/>
      </c>
      <c r="CO999">
        <f>IF(SUMIFS(T_PlannedOrders[EffectiveQty],T_PlannedOrders[Part Name],$A973,T_PlannedOrders[WeekIndex],90)=0,"",SUMIFS(T_PlannedOrders[EffectiveQty],T_PlannedOrders[Part Name],$A973,T_PlannedOrders[WeekIndex],90)&amp;" ("&amp;TEXT(SUMPRODUCT(MAX((T_PlannedOrders[Part Name]=$A973)*(T_PlannedOrders[WeekIndex]=90)*(T_PlannedOrders[EffectiveQty]&gt;0)*T_PlannedOrders[Order_Month])),"m月")&amp;"発注)")</f>
        <v/>
      </c>
      <c r="CP999">
        <f>IF(SUMIFS(T_PlannedOrders[EffectiveQty],T_PlannedOrders[Part Name],$A973,T_PlannedOrders[WeekIndex],91)=0,"",SUMIFS(T_PlannedOrders[EffectiveQty],T_PlannedOrders[Part Name],$A973,T_PlannedOrders[WeekIndex],91)&amp;" ("&amp;TEXT(SUMPRODUCT(MAX((T_PlannedOrders[Part Name]=$A973)*(T_PlannedOrders[WeekIndex]=91)*(T_PlannedOrders[EffectiveQty]&gt;0)*T_PlannedOrders[Order_Month])),"m月")&amp;"発注)")</f>
        <v/>
      </c>
      <c r="CQ999">
        <f>IF(SUMIFS(T_PlannedOrders[EffectiveQty],T_PlannedOrders[Part Name],$A973,T_PlannedOrders[WeekIndex],92)=0,"",SUMIFS(T_PlannedOrders[EffectiveQty],T_PlannedOrders[Part Name],$A973,T_PlannedOrders[WeekIndex],92)&amp;" ("&amp;TEXT(SUMPRODUCT(MAX((T_PlannedOrders[Part Name]=$A973)*(T_PlannedOrders[WeekIndex]=92)*(T_PlannedOrders[EffectiveQty]&gt;0)*T_PlannedOrders[Order_Month])),"m月")&amp;"発注)")</f>
        <v/>
      </c>
      <c r="CR999">
        <f>IF(SUMIFS(T_PlannedOrders[EffectiveQty],T_PlannedOrders[Part Name],$A973,T_PlannedOrders[WeekIndex],93)=0,"",SUMIFS(T_PlannedOrders[EffectiveQty],T_PlannedOrders[Part Name],$A973,T_PlannedOrders[WeekIndex],93)&amp;" ("&amp;TEXT(SUMPRODUCT(MAX((T_PlannedOrders[Part Name]=$A973)*(T_PlannedOrders[WeekIndex]=93)*(T_PlannedOrders[EffectiveQty]&gt;0)*T_PlannedOrders[Order_Month])),"m月")&amp;"発注)")</f>
        <v/>
      </c>
      <c r="CS999">
        <f>IF(SUMIFS(T_PlannedOrders[EffectiveQty],T_PlannedOrders[Part Name],$A973,T_PlannedOrders[WeekIndex],94)=0,"",SUMIFS(T_PlannedOrders[EffectiveQty],T_PlannedOrders[Part Name],$A973,T_PlannedOrders[WeekIndex],94)&amp;" ("&amp;TEXT(SUMPRODUCT(MAX((T_PlannedOrders[Part Name]=$A973)*(T_PlannedOrders[WeekIndex]=94)*(T_PlannedOrders[EffectiveQty]&gt;0)*T_PlannedOrders[Order_Month])),"m月")&amp;"発注)")</f>
        <v/>
      </c>
      <c r="CT999">
        <f>IF(SUMIFS(T_PlannedOrders[EffectiveQty],T_PlannedOrders[Part Name],$A973,T_PlannedOrders[WeekIndex],95)=0,"",SUMIFS(T_PlannedOrders[EffectiveQty],T_PlannedOrders[Part Name],$A973,T_PlannedOrders[WeekIndex],95)&amp;" ("&amp;TEXT(SUMPRODUCT(MAX((T_PlannedOrders[Part Name]=$A973)*(T_PlannedOrders[WeekIndex]=95)*(T_PlannedOrders[EffectiveQty]&gt;0)*T_PlannedOrders[Order_Month])),"m月")&amp;"発注)")</f>
        <v/>
      </c>
      <c r="CU999">
        <f>IF(SUMIFS(T_PlannedOrders[EffectiveQty],T_PlannedOrders[Part Name],$A973,T_PlannedOrders[WeekIndex],96)=0,"",SUMIFS(T_PlannedOrders[EffectiveQty],T_PlannedOrders[Part Name],$A973,T_PlannedOrders[WeekIndex],96)&amp;" ("&amp;TEXT(SUMPRODUCT(MAX((T_PlannedOrders[Part Name]=$A973)*(T_PlannedOrders[WeekIndex]=96)*(T_PlannedOrders[EffectiveQty]&gt;0)*T_PlannedOrders[Order_Month])),"m月")&amp;"発注)")</f>
        <v/>
      </c>
      <c r="CV999">
        <f>IF(SUMIFS(T_PlannedOrders[EffectiveQty],T_PlannedOrders[Part Name],$A973,T_PlannedOrders[WeekIndex],97)=0,"",SUMIFS(T_PlannedOrders[EffectiveQty],T_PlannedOrders[Part Name],$A973,T_PlannedOrders[WeekIndex],97)&amp;" ("&amp;TEXT(SUMPRODUCT(MAX((T_PlannedOrders[Part Name]=$A973)*(T_PlannedOrders[WeekIndex]=97)*(T_PlannedOrders[EffectiveQty]&gt;0)*T_PlannedOrders[Order_Month])),"m月")&amp;"発注)")</f>
        <v/>
      </c>
      <c r="CW999">
        <f>IF(SUMIFS(T_PlannedOrders[EffectiveQty],T_PlannedOrders[Part Name],$A973,T_PlannedOrders[WeekIndex],98)=0,"",SUMIFS(T_PlannedOrders[EffectiveQty],T_PlannedOrders[Part Name],$A973,T_PlannedOrders[WeekIndex],98)&amp;" ("&amp;TEXT(SUMPRODUCT(MAX((T_PlannedOrders[Part Name]=$A973)*(T_PlannedOrders[WeekIndex]=98)*(T_PlannedOrders[EffectiveQty]&gt;0)*T_PlannedOrders[Order_Month])),"m月")&amp;"発注)")</f>
        <v/>
      </c>
      <c r="CX999">
        <f>IF(SUMIFS(T_PlannedOrders[EffectiveQty],T_PlannedOrders[Part Name],$A973,T_PlannedOrders[WeekIndex],99)=0,"",SUMIFS(T_PlannedOrders[EffectiveQty],T_PlannedOrders[Part Name],$A973,T_PlannedOrders[WeekIndex],99)&amp;" ("&amp;TEXT(SUMPRODUCT(MAX((T_PlannedOrders[Part Name]=$A973)*(T_PlannedOrders[WeekIndex]=99)*(T_PlannedOrders[EffectiveQty]&gt;0)*T_PlannedOrders[Order_Month])),"m月")&amp;"発注)")</f>
        <v/>
      </c>
      <c r="CY999">
        <f>IF(SUMIFS(T_PlannedOrders[EffectiveQty],T_PlannedOrders[Part Name],$A973,T_PlannedOrders[WeekIndex],100)=0,"",SUMIFS(T_PlannedOrders[EffectiveQty],T_PlannedOrders[Part Name],$A973,T_PlannedOrders[WeekIndex],100)&amp;" ("&amp;TEXT(SUMPRODUCT(MAX((T_PlannedOrders[Part Name]=$A973)*(T_PlannedOrders[WeekIndex]=100)*(T_PlannedOrders[EffectiveQty]&gt;0)*T_PlannedOrders[Order_Month])),"m月")&amp;"発注)")</f>
        <v/>
      </c>
      <c r="CZ999">
        <f>IF(SUMIFS(T_PlannedOrders[EffectiveQty],T_PlannedOrders[Part Name],$A973,T_PlannedOrders[WeekIndex],101)=0,"",SUMIFS(T_PlannedOrders[EffectiveQty],T_PlannedOrders[Part Name],$A973,T_PlannedOrders[WeekIndex],101)&amp;" ("&amp;TEXT(SUMPRODUCT(MAX((T_PlannedOrders[Part Name]=$A973)*(T_PlannedOrders[WeekIndex]=101)*(T_PlannedOrders[EffectiveQty]&gt;0)*T_PlannedOrders[Order_Month])),"m月")&amp;"発注)")</f>
        <v/>
      </c>
      <c r="DA999">
        <f>IF(SUMIFS(T_PlannedOrders[EffectiveQty],T_PlannedOrders[Part Name],$A973,T_PlannedOrders[WeekIndex],102)=0,"",SUMIFS(T_PlannedOrders[EffectiveQty],T_PlannedOrders[Part Name],$A973,T_PlannedOrders[WeekIndex],102)&amp;" ("&amp;TEXT(SUMPRODUCT(MAX((T_PlannedOrders[Part Name]=$A973)*(T_PlannedOrders[WeekIndex]=102)*(T_PlannedOrders[EffectiveQty]&gt;0)*T_PlannedOrders[Order_Month])),"m月")&amp;"発注)")</f>
        <v/>
      </c>
      <c r="DB999">
        <f>IF(SUMIFS(T_PlannedOrders[EffectiveQty],T_PlannedOrders[Part Name],$A973,T_PlannedOrders[WeekIndex],103)=0,"",SUMIFS(T_PlannedOrders[EffectiveQty],T_PlannedOrders[Part Name],$A973,T_PlannedOrders[WeekIndex],103)&amp;" ("&amp;TEXT(SUMPRODUCT(MAX((T_PlannedOrders[Part Name]=$A973)*(T_PlannedOrders[WeekIndex]=103)*(T_PlannedOrders[EffectiveQty]&gt;0)*T_PlannedOrders[Order_Month])),"m月")&amp;"発注)")</f>
        <v/>
      </c>
      <c r="DC999">
        <f>IF(SUMIFS(T_PlannedOrders[EffectiveQty],T_PlannedOrders[Part Name],$A973,T_PlannedOrders[WeekIndex],104)=0,"",SUMIFS(T_PlannedOrders[EffectiveQty],T_PlannedOrders[Part Name],$A973,T_PlannedOrders[WeekIndex],104)&amp;" ("&amp;TEXT(SUMPRODUCT(MAX((T_PlannedOrders[Part Name]=$A973)*(T_PlannedOrders[WeekIndex]=104)*(T_PlannedOrders[EffectiveQty]&gt;0)*T_PlannedOrders[Order_Month])),"m月")&amp;"発注)")</f>
        <v/>
      </c>
    </row>
    <row r="1000">
      <c r="B1000" s="4" t="inlineStr">
        <is>
          <t>合計在庫(週末時点,kg)</t>
        </is>
      </c>
      <c r="D1000">
        <f>'Grid_Stock'!B27</f>
        <v/>
      </c>
      <c r="E1000">
        <f>'Grid_Stock'!C27</f>
        <v/>
      </c>
      <c r="F1000">
        <f>'Grid_Stock'!D27</f>
        <v/>
      </c>
      <c r="G1000">
        <f>'Grid_Stock'!E27</f>
        <v/>
      </c>
      <c r="H1000">
        <f>'Grid_Stock'!F27</f>
        <v/>
      </c>
      <c r="I1000">
        <f>'Grid_Stock'!G27</f>
        <v/>
      </c>
      <c r="J1000">
        <f>'Grid_Stock'!H27</f>
        <v/>
      </c>
      <c r="K1000">
        <f>'Grid_Stock'!I27</f>
        <v/>
      </c>
      <c r="L1000">
        <f>'Grid_Stock'!J27</f>
        <v/>
      </c>
      <c r="M1000">
        <f>'Grid_Stock'!K27</f>
        <v/>
      </c>
      <c r="N1000">
        <f>'Grid_Stock'!L27</f>
        <v/>
      </c>
      <c r="O1000">
        <f>'Grid_Stock'!M27</f>
        <v/>
      </c>
      <c r="P1000">
        <f>'Grid_Stock'!N27</f>
        <v/>
      </c>
      <c r="Q1000">
        <f>'Grid_Stock'!O27</f>
        <v/>
      </c>
      <c r="R1000">
        <f>'Grid_Stock'!P27</f>
        <v/>
      </c>
      <c r="S1000">
        <f>'Grid_Stock'!Q27</f>
        <v/>
      </c>
      <c r="T1000">
        <f>'Grid_Stock'!R27</f>
        <v/>
      </c>
      <c r="U1000">
        <f>'Grid_Stock'!S27</f>
        <v/>
      </c>
      <c r="V1000">
        <f>'Grid_Stock'!T27</f>
        <v/>
      </c>
      <c r="W1000">
        <f>'Grid_Stock'!U27</f>
        <v/>
      </c>
      <c r="X1000">
        <f>'Grid_Stock'!V27</f>
        <v/>
      </c>
      <c r="Y1000">
        <f>'Grid_Stock'!W27</f>
        <v/>
      </c>
      <c r="Z1000">
        <f>'Grid_Stock'!X27</f>
        <v/>
      </c>
      <c r="AA1000">
        <f>'Grid_Stock'!Y27</f>
        <v/>
      </c>
      <c r="AB1000">
        <f>'Grid_Stock'!Z27</f>
        <v/>
      </c>
      <c r="AC1000">
        <f>'Grid_Stock'!AA27</f>
        <v/>
      </c>
      <c r="AD1000">
        <f>'Grid_Stock'!AB27</f>
        <v/>
      </c>
      <c r="AE1000">
        <f>'Grid_Stock'!AC27</f>
        <v/>
      </c>
      <c r="AF1000">
        <f>'Grid_Stock'!AD27</f>
        <v/>
      </c>
      <c r="AG1000">
        <f>'Grid_Stock'!AE27</f>
        <v/>
      </c>
      <c r="AH1000">
        <f>'Grid_Stock'!AF27</f>
        <v/>
      </c>
      <c r="AI1000">
        <f>'Grid_Stock'!AG27</f>
        <v/>
      </c>
      <c r="AJ1000">
        <f>'Grid_Stock'!AH27</f>
        <v/>
      </c>
      <c r="AK1000">
        <f>'Grid_Stock'!AI27</f>
        <v/>
      </c>
      <c r="AL1000">
        <f>'Grid_Stock'!AJ27</f>
        <v/>
      </c>
      <c r="AM1000">
        <f>'Grid_Stock'!AK27</f>
        <v/>
      </c>
      <c r="AN1000">
        <f>'Grid_Stock'!AL27</f>
        <v/>
      </c>
      <c r="AO1000">
        <f>'Grid_Stock'!AM27</f>
        <v/>
      </c>
      <c r="AP1000">
        <f>'Grid_Stock'!AN27</f>
        <v/>
      </c>
      <c r="AQ1000">
        <f>'Grid_Stock'!AO27</f>
        <v/>
      </c>
      <c r="AR1000">
        <f>'Grid_Stock'!AP27</f>
        <v/>
      </c>
      <c r="AS1000">
        <f>'Grid_Stock'!AQ27</f>
        <v/>
      </c>
      <c r="AT1000">
        <f>'Grid_Stock'!AR27</f>
        <v/>
      </c>
      <c r="AU1000">
        <f>'Grid_Stock'!AS27</f>
        <v/>
      </c>
      <c r="AV1000">
        <f>'Grid_Stock'!AT27</f>
        <v/>
      </c>
      <c r="AW1000">
        <f>'Grid_Stock'!AU27</f>
        <v/>
      </c>
      <c r="AX1000">
        <f>'Grid_Stock'!AV27</f>
        <v/>
      </c>
      <c r="AY1000">
        <f>'Grid_Stock'!AW27</f>
        <v/>
      </c>
      <c r="AZ1000">
        <f>'Grid_Stock'!AX27</f>
        <v/>
      </c>
      <c r="BA1000">
        <f>'Grid_Stock'!AY27</f>
        <v/>
      </c>
      <c r="BB1000">
        <f>'Grid_Stock'!AZ27</f>
        <v/>
      </c>
      <c r="BC1000">
        <f>'Grid_Stock'!BA27</f>
        <v/>
      </c>
      <c r="BD1000">
        <f>'Grid_Stock'!BB27</f>
        <v/>
      </c>
      <c r="BE1000">
        <f>'Grid_Stock'!BC27</f>
        <v/>
      </c>
      <c r="BF1000">
        <f>'Grid_Stock'!BD27</f>
        <v/>
      </c>
      <c r="BG1000">
        <f>'Grid_Stock'!BE27</f>
        <v/>
      </c>
      <c r="BH1000">
        <f>'Grid_Stock'!BF27</f>
        <v/>
      </c>
      <c r="BI1000">
        <f>'Grid_Stock'!BG27</f>
        <v/>
      </c>
      <c r="BJ1000">
        <f>'Grid_Stock'!BH27</f>
        <v/>
      </c>
      <c r="BK1000">
        <f>'Grid_Stock'!BI27</f>
        <v/>
      </c>
      <c r="BL1000">
        <f>'Grid_Stock'!BJ27</f>
        <v/>
      </c>
      <c r="BM1000">
        <f>'Grid_Stock'!BK27</f>
        <v/>
      </c>
      <c r="BN1000">
        <f>'Grid_Stock'!BL27</f>
        <v/>
      </c>
      <c r="BO1000">
        <f>'Grid_Stock'!BM27</f>
        <v/>
      </c>
      <c r="BP1000">
        <f>'Grid_Stock'!BN27</f>
        <v/>
      </c>
      <c r="BQ1000">
        <f>'Grid_Stock'!BO27</f>
        <v/>
      </c>
      <c r="BR1000">
        <f>'Grid_Stock'!BP27</f>
        <v/>
      </c>
      <c r="BS1000">
        <f>'Grid_Stock'!BQ27</f>
        <v/>
      </c>
      <c r="BT1000">
        <f>'Grid_Stock'!BR27</f>
        <v/>
      </c>
      <c r="BU1000">
        <f>'Grid_Stock'!BS27</f>
        <v/>
      </c>
      <c r="BV1000">
        <f>'Grid_Stock'!BT27</f>
        <v/>
      </c>
      <c r="BW1000">
        <f>'Grid_Stock'!BU27</f>
        <v/>
      </c>
      <c r="BX1000">
        <f>'Grid_Stock'!BV27</f>
        <v/>
      </c>
      <c r="BY1000">
        <f>'Grid_Stock'!BW27</f>
        <v/>
      </c>
      <c r="BZ1000">
        <f>'Grid_Stock'!BX27</f>
        <v/>
      </c>
      <c r="CA1000">
        <f>'Grid_Stock'!BY27</f>
        <v/>
      </c>
      <c r="CB1000">
        <f>'Grid_Stock'!BZ27</f>
        <v/>
      </c>
      <c r="CC1000">
        <f>'Grid_Stock'!CA27</f>
        <v/>
      </c>
      <c r="CD1000">
        <f>'Grid_Stock'!CB27</f>
        <v/>
      </c>
      <c r="CE1000">
        <f>'Grid_Stock'!CC27</f>
        <v/>
      </c>
      <c r="CF1000">
        <f>'Grid_Stock'!CD27</f>
        <v/>
      </c>
      <c r="CG1000">
        <f>'Grid_Stock'!CE27</f>
        <v/>
      </c>
      <c r="CH1000">
        <f>'Grid_Stock'!CF27</f>
        <v/>
      </c>
      <c r="CI1000">
        <f>'Grid_Stock'!CG27</f>
        <v/>
      </c>
      <c r="CJ1000">
        <f>'Grid_Stock'!CH27</f>
        <v/>
      </c>
      <c r="CK1000">
        <f>'Grid_Stock'!CI27</f>
        <v/>
      </c>
      <c r="CL1000">
        <f>'Grid_Stock'!CJ27</f>
        <v/>
      </c>
      <c r="CM1000">
        <f>'Grid_Stock'!CK27</f>
        <v/>
      </c>
      <c r="CN1000">
        <f>'Grid_Stock'!CL27</f>
        <v/>
      </c>
      <c r="CO1000">
        <f>'Grid_Stock'!CM27</f>
        <v/>
      </c>
      <c r="CP1000">
        <f>'Grid_Stock'!CN27</f>
        <v/>
      </c>
      <c r="CQ1000">
        <f>'Grid_Stock'!CO27</f>
        <v/>
      </c>
      <c r="CR1000">
        <f>'Grid_Stock'!CP27</f>
        <v/>
      </c>
      <c r="CS1000">
        <f>'Grid_Stock'!CQ27</f>
        <v/>
      </c>
      <c r="CT1000">
        <f>'Grid_Stock'!CR27</f>
        <v/>
      </c>
      <c r="CU1000">
        <f>'Grid_Stock'!CS27</f>
        <v/>
      </c>
      <c r="CV1000">
        <f>'Grid_Stock'!CT27</f>
        <v/>
      </c>
      <c r="CW1000">
        <f>'Grid_Stock'!CU27</f>
        <v/>
      </c>
      <c r="CX1000">
        <f>'Grid_Stock'!CV27</f>
        <v/>
      </c>
      <c r="CY1000">
        <f>'Grid_Stock'!CW27</f>
        <v/>
      </c>
      <c r="CZ1000">
        <f>'Grid_Stock'!CX27</f>
        <v/>
      </c>
      <c r="DA1000">
        <f>'Grid_Stock'!CY27</f>
        <v/>
      </c>
      <c r="DB1000">
        <f>'Grid_Stock'!CZ27</f>
        <v/>
      </c>
      <c r="DC1000">
        <f>'Grid_Stock'!DA27</f>
        <v/>
      </c>
    </row>
    <row r="1001">
      <c r="B1001" s="16" t="inlineStr">
        <is>
          <t>（発注の目安はDashboardの基準在庫[下限/上限]と色分けを参照）</t>
        </is>
      </c>
    </row>
    <row r="1003">
      <c r="A1003" s="14" t="inlineStr">
        <is>
          <t>CHEM-1730</t>
        </is>
      </c>
      <c r="B1003" s="14" t="inlineStr">
        <is>
          <t>NAT-41</t>
        </is>
      </c>
      <c r="C1003" s="15" t="n"/>
      <c r="D1003" s="14" t="n"/>
      <c r="E1003" s="14" t="n"/>
      <c r="F1003" s="14" t="n"/>
      <c r="G1003" s="14" t="n"/>
      <c r="H1003" s="14" t="n"/>
      <c r="I1003" s="14" t="n"/>
      <c r="J1003" s="14" t="n"/>
      <c r="K1003" s="14" t="n"/>
      <c r="L1003" s="14" t="n"/>
      <c r="M1003" s="14" t="n"/>
      <c r="N1003" s="14" t="n"/>
      <c r="O1003" s="14" t="n"/>
      <c r="P1003" s="14" t="n"/>
      <c r="Q1003" s="14" t="n"/>
      <c r="R1003" s="14" t="n"/>
      <c r="S1003" s="14" t="n"/>
      <c r="T1003" s="14" t="n"/>
      <c r="U1003" s="14" t="n"/>
      <c r="V1003" s="14" t="n"/>
      <c r="W1003" s="14" t="n"/>
      <c r="X1003" s="14" t="n"/>
      <c r="Y1003" s="14" t="n"/>
      <c r="Z1003" s="14" t="n"/>
      <c r="AA1003" s="14" t="n"/>
      <c r="AB1003" s="14" t="n"/>
      <c r="AC1003" s="14" t="n"/>
      <c r="AD1003" s="14" t="n"/>
      <c r="AE1003" s="14" t="n"/>
      <c r="AF1003" s="14" t="n"/>
      <c r="AG1003" s="14" t="n"/>
      <c r="AH1003" s="14" t="n"/>
      <c r="AI1003" s="14" t="n"/>
      <c r="AJ1003" s="14" t="n"/>
      <c r="AK1003" s="14" t="n"/>
      <c r="AL1003" s="14" t="n"/>
      <c r="AM1003" s="14" t="n"/>
      <c r="AN1003" s="14" t="n"/>
      <c r="AO1003" s="14" t="n"/>
      <c r="AP1003" s="14" t="n"/>
      <c r="AQ1003" s="14" t="n"/>
      <c r="AR1003" s="14" t="n"/>
      <c r="AS1003" s="14" t="n"/>
      <c r="AT1003" s="14" t="n"/>
      <c r="AU1003" s="14" t="n"/>
      <c r="AV1003" s="14" t="n"/>
      <c r="AW1003" s="14" t="n"/>
      <c r="AX1003" s="14" t="n"/>
      <c r="AY1003" s="14" t="n"/>
      <c r="AZ1003" s="14" t="n"/>
      <c r="BA1003" s="14" t="n"/>
      <c r="BB1003" s="14" t="n"/>
      <c r="BC1003" s="14" t="n"/>
      <c r="BD1003" s="14" t="n"/>
      <c r="BE1003" s="14" t="n"/>
      <c r="BF1003" s="14" t="n"/>
      <c r="BG1003" s="14" t="n"/>
      <c r="BH1003" s="14" t="n"/>
      <c r="BI1003" s="14" t="n"/>
      <c r="BJ1003" s="14" t="n"/>
      <c r="BK1003" s="14" t="n"/>
      <c r="BL1003" s="14" t="n"/>
      <c r="BM1003" s="14" t="n"/>
      <c r="BN1003" s="14" t="n"/>
      <c r="BO1003" s="14" t="n"/>
      <c r="BP1003" s="14" t="n"/>
      <c r="BQ1003" s="14" t="n"/>
      <c r="BR1003" s="14" t="n"/>
      <c r="BS1003" s="14" t="n"/>
      <c r="BT1003" s="14" t="n"/>
      <c r="BU1003" s="14" t="n"/>
      <c r="BV1003" s="14" t="n"/>
      <c r="BW1003" s="14" t="n"/>
      <c r="BX1003" s="14" t="n"/>
      <c r="BY1003" s="14" t="n"/>
      <c r="BZ1003" s="14" t="n"/>
      <c r="CA1003" s="14" t="n"/>
      <c r="CB1003" s="14" t="n"/>
      <c r="CC1003" s="14" t="n"/>
      <c r="CD1003" s="14" t="n"/>
      <c r="CE1003" s="14" t="n"/>
      <c r="CF1003" s="14" t="n"/>
      <c r="CG1003" s="14" t="n"/>
      <c r="CH1003" s="14" t="n"/>
      <c r="CI1003" s="14" t="n"/>
      <c r="CJ1003" s="14" t="n"/>
      <c r="CK1003" s="14" t="n"/>
      <c r="CL1003" s="14" t="n"/>
      <c r="CM1003" s="14" t="n"/>
      <c r="CN1003" s="14" t="n"/>
      <c r="CO1003" s="14" t="n"/>
      <c r="CP1003" s="14" t="n"/>
      <c r="CQ1003" s="14" t="n"/>
      <c r="CR1003" s="14" t="n"/>
      <c r="CS1003" s="14" t="n"/>
      <c r="CT1003" s="14" t="n"/>
      <c r="CU1003" s="14" t="n"/>
      <c r="CV1003" s="14" t="n"/>
      <c r="CW1003" s="14" t="n"/>
      <c r="CX1003" s="14" t="n"/>
      <c r="CY1003" s="14" t="n"/>
      <c r="CZ1003" s="14" t="n"/>
      <c r="DA1003" s="14" t="n"/>
      <c r="DB1003" s="14" t="n"/>
      <c r="DC1003" s="14" t="n"/>
    </row>
    <row r="1004">
      <c r="B1004" t="inlineStr">
        <is>
          <t>TPP-911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7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Name],$A1003)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TPP-912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7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Name],$A1003)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No of times used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Name],$A1003)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s="4" t="inlineStr">
        <is>
          <t>合計使用量(kg)/週</t>
        </is>
      </c>
      <c r="D1010">
        <f>'Grid_Requirement'!B31</f>
        <v/>
      </c>
      <c r="E1010">
        <f>'Grid_Requirement'!C31</f>
        <v/>
      </c>
      <c r="F1010">
        <f>'Grid_Requirement'!D31</f>
        <v/>
      </c>
      <c r="G1010">
        <f>'Grid_Requirement'!E31</f>
        <v/>
      </c>
      <c r="H1010">
        <f>'Grid_Requirement'!F31</f>
        <v/>
      </c>
      <c r="I1010">
        <f>'Grid_Requirement'!G31</f>
        <v/>
      </c>
      <c r="J1010">
        <f>'Grid_Requirement'!H31</f>
        <v/>
      </c>
      <c r="K1010">
        <f>'Grid_Requirement'!I31</f>
        <v/>
      </c>
      <c r="L1010">
        <f>'Grid_Requirement'!J31</f>
        <v/>
      </c>
      <c r="M1010">
        <f>'Grid_Requirement'!K31</f>
        <v/>
      </c>
      <c r="N1010">
        <f>'Grid_Requirement'!L31</f>
        <v/>
      </c>
      <c r="O1010">
        <f>'Grid_Requirement'!M31</f>
        <v/>
      </c>
      <c r="P1010">
        <f>'Grid_Requirement'!N31</f>
        <v/>
      </c>
      <c r="Q1010">
        <f>'Grid_Requirement'!O31</f>
        <v/>
      </c>
      <c r="R1010">
        <f>'Grid_Requirement'!P31</f>
        <v/>
      </c>
      <c r="S1010">
        <f>'Grid_Requirement'!Q31</f>
        <v/>
      </c>
      <c r="T1010">
        <f>'Grid_Requirement'!R31</f>
        <v/>
      </c>
      <c r="U1010">
        <f>'Grid_Requirement'!S31</f>
        <v/>
      </c>
      <c r="V1010">
        <f>'Grid_Requirement'!T31</f>
        <v/>
      </c>
      <c r="W1010">
        <f>'Grid_Requirement'!U31</f>
        <v/>
      </c>
      <c r="X1010">
        <f>'Grid_Requirement'!V31</f>
        <v/>
      </c>
      <c r="Y1010">
        <f>'Grid_Requirement'!W31</f>
        <v/>
      </c>
      <c r="Z1010">
        <f>'Grid_Requirement'!X31</f>
        <v/>
      </c>
      <c r="AA1010">
        <f>'Grid_Requirement'!Y31</f>
        <v/>
      </c>
      <c r="AB1010">
        <f>'Grid_Requirement'!Z31</f>
        <v/>
      </c>
      <c r="AC1010">
        <f>'Grid_Requirement'!AA31</f>
        <v/>
      </c>
      <c r="AD1010">
        <f>'Grid_Requirement'!AB31</f>
        <v/>
      </c>
      <c r="AE1010">
        <f>'Grid_Requirement'!AC31</f>
        <v/>
      </c>
      <c r="AF1010">
        <f>'Grid_Requirement'!AD31</f>
        <v/>
      </c>
      <c r="AG1010">
        <f>'Grid_Requirement'!AE31</f>
        <v/>
      </c>
      <c r="AH1010">
        <f>'Grid_Requirement'!AF31</f>
        <v/>
      </c>
      <c r="AI1010">
        <f>'Grid_Requirement'!AG31</f>
        <v/>
      </c>
      <c r="AJ1010">
        <f>'Grid_Requirement'!AH31</f>
        <v/>
      </c>
      <c r="AK1010">
        <f>'Grid_Requirement'!AI31</f>
        <v/>
      </c>
      <c r="AL1010">
        <f>'Grid_Requirement'!AJ31</f>
        <v/>
      </c>
      <c r="AM1010">
        <f>'Grid_Requirement'!AK31</f>
        <v/>
      </c>
      <c r="AN1010">
        <f>'Grid_Requirement'!AL31</f>
        <v/>
      </c>
      <c r="AO1010">
        <f>'Grid_Requirement'!AM31</f>
        <v/>
      </c>
      <c r="AP1010">
        <f>'Grid_Requirement'!AN31</f>
        <v/>
      </c>
      <c r="AQ1010">
        <f>'Grid_Requirement'!AO31</f>
        <v/>
      </c>
      <c r="AR1010">
        <f>'Grid_Requirement'!AP31</f>
        <v/>
      </c>
      <c r="AS1010">
        <f>'Grid_Requirement'!AQ31</f>
        <v/>
      </c>
      <c r="AT1010">
        <f>'Grid_Requirement'!AR31</f>
        <v/>
      </c>
      <c r="AU1010">
        <f>'Grid_Requirement'!AS31</f>
        <v/>
      </c>
      <c r="AV1010">
        <f>'Grid_Requirement'!AT31</f>
        <v/>
      </c>
      <c r="AW1010">
        <f>'Grid_Requirement'!AU31</f>
        <v/>
      </c>
      <c r="AX1010">
        <f>'Grid_Requirement'!AV31</f>
        <v/>
      </c>
      <c r="AY1010">
        <f>'Grid_Requirement'!AW31</f>
        <v/>
      </c>
      <c r="AZ1010">
        <f>'Grid_Requirement'!AX31</f>
        <v/>
      </c>
      <c r="BA1010">
        <f>'Grid_Requirement'!AY31</f>
        <v/>
      </c>
      <c r="BB1010">
        <f>'Grid_Requirement'!AZ31</f>
        <v/>
      </c>
      <c r="BC1010">
        <f>'Grid_Requirement'!BA31</f>
        <v/>
      </c>
      <c r="BD1010">
        <f>'Grid_Requirement'!BB31</f>
        <v/>
      </c>
      <c r="BE1010">
        <f>'Grid_Requirement'!BC31</f>
        <v/>
      </c>
      <c r="BF1010">
        <f>'Grid_Requirement'!BD31</f>
        <v/>
      </c>
      <c r="BG1010">
        <f>'Grid_Requirement'!BE31</f>
        <v/>
      </c>
      <c r="BH1010">
        <f>'Grid_Requirement'!BF31</f>
        <v/>
      </c>
      <c r="BI1010">
        <f>'Grid_Requirement'!BG31</f>
        <v/>
      </c>
      <c r="BJ1010">
        <f>'Grid_Requirement'!BH31</f>
        <v/>
      </c>
      <c r="BK1010">
        <f>'Grid_Requirement'!BI31</f>
        <v/>
      </c>
      <c r="BL1010">
        <f>'Grid_Requirement'!BJ31</f>
        <v/>
      </c>
      <c r="BM1010">
        <f>'Grid_Requirement'!BK31</f>
        <v/>
      </c>
      <c r="BN1010">
        <f>'Grid_Requirement'!BL31</f>
        <v/>
      </c>
      <c r="BO1010">
        <f>'Grid_Requirement'!BM31</f>
        <v/>
      </c>
      <c r="BP1010">
        <f>'Grid_Requirement'!BN31</f>
        <v/>
      </c>
      <c r="BQ1010">
        <f>'Grid_Requirement'!BO31</f>
        <v/>
      </c>
      <c r="BR1010">
        <f>'Grid_Requirement'!BP31</f>
        <v/>
      </c>
      <c r="BS1010">
        <f>'Grid_Requirement'!BQ31</f>
        <v/>
      </c>
      <c r="BT1010">
        <f>'Grid_Requirement'!BR31</f>
        <v/>
      </c>
      <c r="BU1010">
        <f>'Grid_Requirement'!BS31</f>
        <v/>
      </c>
      <c r="BV1010">
        <f>'Grid_Requirement'!BT31</f>
        <v/>
      </c>
      <c r="BW1010">
        <f>'Grid_Requirement'!BU31</f>
        <v/>
      </c>
      <c r="BX1010">
        <f>'Grid_Requirement'!BV31</f>
        <v/>
      </c>
      <c r="BY1010">
        <f>'Grid_Requirement'!BW31</f>
        <v/>
      </c>
      <c r="BZ1010">
        <f>'Grid_Requirement'!BX31</f>
        <v/>
      </c>
      <c r="CA1010">
        <f>'Grid_Requirement'!BY31</f>
        <v/>
      </c>
      <c r="CB1010">
        <f>'Grid_Requirement'!BZ31</f>
        <v/>
      </c>
      <c r="CC1010">
        <f>'Grid_Requirement'!CA31</f>
        <v/>
      </c>
      <c r="CD1010">
        <f>'Grid_Requirement'!CB31</f>
        <v/>
      </c>
      <c r="CE1010">
        <f>'Grid_Requirement'!CC31</f>
        <v/>
      </c>
      <c r="CF1010">
        <f>'Grid_Requirement'!CD31</f>
        <v/>
      </c>
      <c r="CG1010">
        <f>'Grid_Requirement'!CE31</f>
        <v/>
      </c>
      <c r="CH1010">
        <f>'Grid_Requirement'!CF31</f>
        <v/>
      </c>
      <c r="CI1010">
        <f>'Grid_Requirement'!CG31</f>
        <v/>
      </c>
      <c r="CJ1010">
        <f>'Grid_Requirement'!CH31</f>
        <v/>
      </c>
      <c r="CK1010">
        <f>'Grid_Requirement'!CI31</f>
        <v/>
      </c>
      <c r="CL1010">
        <f>'Grid_Requirement'!CJ31</f>
        <v/>
      </c>
      <c r="CM1010">
        <f>'Grid_Requirement'!CK31</f>
        <v/>
      </c>
      <c r="CN1010">
        <f>'Grid_Requirement'!CL31</f>
        <v/>
      </c>
      <c r="CO1010">
        <f>'Grid_Requirement'!CM31</f>
        <v/>
      </c>
      <c r="CP1010">
        <f>'Grid_Requirement'!CN31</f>
        <v/>
      </c>
      <c r="CQ1010">
        <f>'Grid_Requirement'!CO31</f>
        <v/>
      </c>
      <c r="CR1010">
        <f>'Grid_Requirement'!CP31</f>
        <v/>
      </c>
      <c r="CS1010">
        <f>'Grid_Requirement'!CQ31</f>
        <v/>
      </c>
      <c r="CT1010">
        <f>'Grid_Requirement'!CR31</f>
        <v/>
      </c>
      <c r="CU1010">
        <f>'Grid_Requirement'!CS31</f>
        <v/>
      </c>
      <c r="CV1010">
        <f>'Grid_Requirement'!CT31</f>
        <v/>
      </c>
      <c r="CW1010">
        <f>'Grid_Requirement'!CU31</f>
        <v/>
      </c>
      <c r="CX1010">
        <f>'Grid_Requirement'!CV31</f>
        <v/>
      </c>
      <c r="CY1010">
        <f>'Grid_Requirement'!CW31</f>
        <v/>
      </c>
      <c r="CZ1010">
        <f>'Grid_Requirement'!CX31</f>
        <v/>
      </c>
      <c r="DA1010">
        <f>'Grid_Requirement'!CY31</f>
        <v/>
      </c>
      <c r="DB1010">
        <f>'Grid_Requirement'!CZ31</f>
        <v/>
      </c>
      <c r="DC1010">
        <f>'Grid_Requirement'!DA31</f>
        <v/>
      </c>
    </row>
    <row r="1011">
      <c r="B1011" t="inlineStr">
        <is>
          <t>TTAF在庫(実績,kg)</t>
        </is>
      </c>
      <c r="D1011">
        <f>'T_TTAFStock'!B35</f>
        <v/>
      </c>
      <c r="E1011">
        <f>'T_TTAFStock'!C35</f>
        <v/>
      </c>
      <c r="F1011">
        <f>'T_TTAFStock'!D35</f>
        <v/>
      </c>
      <c r="G1011">
        <f>'T_TTAFStock'!E35</f>
        <v/>
      </c>
      <c r="H1011">
        <f>'T_TTAFStock'!F35</f>
        <v/>
      </c>
      <c r="I1011">
        <f>'T_TTAFStock'!G35</f>
        <v/>
      </c>
      <c r="J1011">
        <f>'T_TTAFStock'!H35</f>
        <v/>
      </c>
      <c r="K1011">
        <f>'T_TTAFStock'!I35</f>
        <v/>
      </c>
      <c r="L1011">
        <f>'T_TTAFStock'!J35</f>
        <v/>
      </c>
      <c r="M1011">
        <f>'T_TTAFStock'!K35</f>
        <v/>
      </c>
      <c r="N1011">
        <f>'T_TTAFStock'!L35</f>
        <v/>
      </c>
      <c r="O1011">
        <f>'T_TTAFStock'!M35</f>
        <v/>
      </c>
      <c r="P1011">
        <f>'T_TTAFStock'!N35</f>
        <v/>
      </c>
      <c r="Q1011">
        <f>'T_TTAFStock'!O35</f>
        <v/>
      </c>
      <c r="R1011">
        <f>'T_TTAFStock'!P35</f>
        <v/>
      </c>
      <c r="S1011">
        <f>'T_TTAFStock'!Q35</f>
        <v/>
      </c>
      <c r="T1011">
        <f>'T_TTAFStock'!R35</f>
        <v/>
      </c>
      <c r="U1011">
        <f>'T_TTAFStock'!S35</f>
        <v/>
      </c>
      <c r="V1011">
        <f>'T_TTAFStock'!T35</f>
        <v/>
      </c>
      <c r="W1011">
        <f>'T_TTAFStock'!U35</f>
        <v/>
      </c>
      <c r="X1011">
        <f>'T_TTAFStock'!V35</f>
        <v/>
      </c>
      <c r="Y1011">
        <f>'T_TTAFStock'!W35</f>
        <v/>
      </c>
      <c r="Z1011">
        <f>'T_TTAFStock'!X35</f>
        <v/>
      </c>
      <c r="AA1011">
        <f>'T_TTAFStock'!Y35</f>
        <v/>
      </c>
      <c r="AB1011">
        <f>'T_TTAFStock'!Z35</f>
        <v/>
      </c>
      <c r="AC1011">
        <f>'T_TTAFStock'!AA35</f>
        <v/>
      </c>
      <c r="AD1011">
        <f>'T_TTAFStock'!AB35</f>
        <v/>
      </c>
      <c r="AE1011">
        <f>'T_TTAFStock'!AC35</f>
        <v/>
      </c>
      <c r="AF1011">
        <f>'T_TTAFStock'!AD35</f>
        <v/>
      </c>
      <c r="AG1011">
        <f>'T_TTAFStock'!AE35</f>
        <v/>
      </c>
      <c r="AH1011">
        <f>'T_TTAFStock'!AF35</f>
        <v/>
      </c>
      <c r="AI1011">
        <f>'T_TTAFStock'!AG35</f>
        <v/>
      </c>
      <c r="AJ1011">
        <f>'T_TTAFStock'!AH35</f>
        <v/>
      </c>
      <c r="AK1011">
        <f>'T_TTAFStock'!AI35</f>
        <v/>
      </c>
      <c r="AL1011">
        <f>'T_TTAFStock'!AJ35</f>
        <v/>
      </c>
      <c r="AM1011">
        <f>'T_TTAFStock'!AK35</f>
        <v/>
      </c>
      <c r="AN1011">
        <f>'T_TTAFStock'!AL35</f>
        <v/>
      </c>
      <c r="AO1011">
        <f>'T_TTAFStock'!AM35</f>
        <v/>
      </c>
      <c r="AP1011">
        <f>'T_TTAFStock'!AN35</f>
        <v/>
      </c>
      <c r="AQ1011">
        <f>'T_TTAFStock'!AO35</f>
        <v/>
      </c>
      <c r="AR1011">
        <f>'T_TTAFStock'!AP35</f>
        <v/>
      </c>
      <c r="AS1011">
        <f>'T_TTAFStock'!AQ35</f>
        <v/>
      </c>
      <c r="AT1011">
        <f>'T_TTAFStock'!AR35</f>
        <v/>
      </c>
      <c r="AU1011">
        <f>'T_TTAFStock'!AS35</f>
        <v/>
      </c>
      <c r="AV1011">
        <f>'T_TTAFStock'!AT35</f>
        <v/>
      </c>
      <c r="AW1011">
        <f>'T_TTAFStock'!AU35</f>
        <v/>
      </c>
      <c r="AX1011">
        <f>'T_TTAFStock'!AV35</f>
        <v/>
      </c>
      <c r="AY1011">
        <f>'T_TTAFStock'!AW35</f>
        <v/>
      </c>
      <c r="AZ1011">
        <f>'T_TTAFStock'!AX35</f>
        <v/>
      </c>
      <c r="BA1011">
        <f>'T_TTAFStock'!AY35</f>
        <v/>
      </c>
      <c r="BB1011">
        <f>'T_TTAFStock'!AZ35</f>
        <v/>
      </c>
      <c r="BC1011">
        <f>'T_TTAFStock'!BA35</f>
        <v/>
      </c>
      <c r="BD1011">
        <f>'T_TTAFStock'!BB35</f>
        <v/>
      </c>
      <c r="BE1011">
        <f>'T_TTAFStock'!BC35</f>
        <v/>
      </c>
      <c r="BF1011">
        <f>'T_TTAFStock'!BD35</f>
        <v/>
      </c>
      <c r="BG1011">
        <f>'T_TTAFStock'!BE35</f>
        <v/>
      </c>
      <c r="BH1011">
        <f>'T_TTAFStock'!BF35</f>
        <v/>
      </c>
      <c r="BI1011">
        <f>'T_TTAFStock'!BG35</f>
        <v/>
      </c>
      <c r="BJ1011">
        <f>'T_TTAFStock'!BH35</f>
        <v/>
      </c>
      <c r="BK1011">
        <f>'T_TTAFStock'!BI35</f>
        <v/>
      </c>
      <c r="BL1011">
        <f>'T_TTAFStock'!BJ35</f>
        <v/>
      </c>
      <c r="BM1011">
        <f>'T_TTAFStock'!BK35</f>
        <v/>
      </c>
      <c r="BN1011">
        <f>'T_TTAFStock'!BL35</f>
        <v/>
      </c>
      <c r="BO1011">
        <f>'T_TTAFStock'!BM35</f>
        <v/>
      </c>
      <c r="BP1011">
        <f>'T_TTAFStock'!BN35</f>
        <v/>
      </c>
      <c r="BQ1011">
        <f>'T_TTAFStock'!BO35</f>
        <v/>
      </c>
      <c r="BR1011">
        <f>'T_TTAFStock'!BP35</f>
        <v/>
      </c>
      <c r="BS1011">
        <f>'T_TTAFStock'!BQ35</f>
        <v/>
      </c>
      <c r="BT1011">
        <f>'T_TTAFStock'!BR35</f>
        <v/>
      </c>
      <c r="BU1011">
        <f>'T_TTAFStock'!BS35</f>
        <v/>
      </c>
      <c r="BV1011">
        <f>'T_TTAFStock'!BT35</f>
        <v/>
      </c>
      <c r="BW1011">
        <f>'T_TTAFStock'!BU35</f>
        <v/>
      </c>
      <c r="BX1011">
        <f>'T_TTAFStock'!BV35</f>
        <v/>
      </c>
      <c r="BY1011">
        <f>'T_TTAFStock'!BW35</f>
        <v/>
      </c>
      <c r="BZ1011">
        <f>'T_TTAFStock'!BX35</f>
        <v/>
      </c>
      <c r="CA1011">
        <f>'T_TTAFStock'!BY35</f>
        <v/>
      </c>
      <c r="CB1011">
        <f>'T_TTAFStock'!BZ35</f>
        <v/>
      </c>
      <c r="CC1011">
        <f>'T_TTAFStock'!CA35</f>
        <v/>
      </c>
      <c r="CD1011">
        <f>'T_TTAFStock'!CB35</f>
        <v/>
      </c>
      <c r="CE1011">
        <f>'T_TTAFStock'!CC35</f>
        <v/>
      </c>
      <c r="CF1011">
        <f>'T_TTAFStock'!CD35</f>
        <v/>
      </c>
      <c r="CG1011">
        <f>'T_TTAFStock'!CE35</f>
        <v/>
      </c>
      <c r="CH1011">
        <f>'T_TTAFStock'!CF35</f>
        <v/>
      </c>
      <c r="CI1011">
        <f>'T_TTAFStock'!CG35</f>
        <v/>
      </c>
      <c r="CJ1011">
        <f>'T_TTAFStock'!CH35</f>
        <v/>
      </c>
      <c r="CK1011">
        <f>'T_TTAFStock'!CI35</f>
        <v/>
      </c>
      <c r="CL1011">
        <f>'T_TTAFStock'!CJ35</f>
        <v/>
      </c>
      <c r="CM1011">
        <f>'T_TTAFStock'!CK35</f>
        <v/>
      </c>
      <c r="CN1011">
        <f>'T_TTAFStock'!CL35</f>
        <v/>
      </c>
      <c r="CO1011">
        <f>'T_TTAFStock'!CM35</f>
        <v/>
      </c>
      <c r="CP1011">
        <f>'T_TTAFStock'!CN35</f>
        <v/>
      </c>
      <c r="CQ1011">
        <f>'T_TTAFStock'!CO35</f>
        <v/>
      </c>
      <c r="CR1011">
        <f>'T_TTAFStock'!CP35</f>
        <v/>
      </c>
      <c r="CS1011">
        <f>'T_TTAFStock'!CQ35</f>
        <v/>
      </c>
      <c r="CT1011">
        <f>'T_TTAFStock'!CR35</f>
        <v/>
      </c>
      <c r="CU1011">
        <f>'T_TTAFStock'!CS35</f>
        <v/>
      </c>
      <c r="CV1011">
        <f>'T_TTAFStock'!CT35</f>
        <v/>
      </c>
      <c r="CW1011">
        <f>'T_TTAFStock'!CU35</f>
        <v/>
      </c>
      <c r="CX1011">
        <f>'T_TTAFStock'!CV35</f>
        <v/>
      </c>
      <c r="CY1011">
        <f>'T_TTAFStock'!CW35</f>
        <v/>
      </c>
      <c r="CZ1011">
        <f>'T_TTAFStock'!CX35</f>
        <v/>
      </c>
      <c r="DA1011">
        <f>'T_TTAFStock'!CY35</f>
        <v/>
      </c>
      <c r="DB1011">
        <f>'T_TTAFStock'!CZ35</f>
        <v/>
      </c>
      <c r="DC1011">
        <f>'T_TTAFStock'!DA35</f>
        <v/>
      </c>
    </row>
    <row r="1012">
      <c r="B1012" t="inlineStr">
        <is>
          <t>自社在庫(実績,kg)</t>
        </is>
      </c>
      <c r="D1012">
        <f>'T_SelfStock'!B35</f>
        <v/>
      </c>
      <c r="E1012">
        <f>'T_SelfStock'!C35</f>
        <v/>
      </c>
      <c r="F1012">
        <f>'T_SelfStock'!D35</f>
        <v/>
      </c>
      <c r="G1012">
        <f>'T_SelfStock'!E35</f>
        <v/>
      </c>
      <c r="H1012">
        <f>'T_SelfStock'!F35</f>
        <v/>
      </c>
      <c r="I1012">
        <f>'T_SelfStock'!G35</f>
        <v/>
      </c>
      <c r="J1012">
        <f>'T_SelfStock'!H35</f>
        <v/>
      </c>
      <c r="K1012">
        <f>'T_SelfStock'!I35</f>
        <v/>
      </c>
      <c r="L1012">
        <f>'T_SelfStock'!J35</f>
        <v/>
      </c>
      <c r="M1012">
        <f>'T_SelfStock'!K35</f>
        <v/>
      </c>
      <c r="N1012">
        <f>'T_SelfStock'!L35</f>
        <v/>
      </c>
      <c r="O1012">
        <f>'T_SelfStock'!M35</f>
        <v/>
      </c>
      <c r="P1012">
        <f>'T_SelfStock'!N35</f>
        <v/>
      </c>
      <c r="Q1012">
        <f>'T_SelfStock'!O35</f>
        <v/>
      </c>
      <c r="R1012">
        <f>'T_SelfStock'!P35</f>
        <v/>
      </c>
      <c r="S1012">
        <f>'T_SelfStock'!Q35</f>
        <v/>
      </c>
      <c r="T1012">
        <f>'T_SelfStock'!R35</f>
        <v/>
      </c>
      <c r="U1012">
        <f>'T_SelfStock'!S35</f>
        <v/>
      </c>
      <c r="V1012">
        <f>'T_SelfStock'!T35</f>
        <v/>
      </c>
      <c r="W1012">
        <f>'T_SelfStock'!U35</f>
        <v/>
      </c>
      <c r="X1012">
        <f>'T_SelfStock'!V35</f>
        <v/>
      </c>
      <c r="Y1012">
        <f>'T_SelfStock'!W35</f>
        <v/>
      </c>
      <c r="Z1012">
        <f>'T_SelfStock'!X35</f>
        <v/>
      </c>
      <c r="AA1012">
        <f>'T_SelfStock'!Y35</f>
        <v/>
      </c>
      <c r="AB1012">
        <f>'T_SelfStock'!Z35</f>
        <v/>
      </c>
      <c r="AC1012">
        <f>'T_SelfStock'!AA35</f>
        <v/>
      </c>
      <c r="AD1012">
        <f>'T_SelfStock'!AB35</f>
        <v/>
      </c>
      <c r="AE1012">
        <f>'T_SelfStock'!AC35</f>
        <v/>
      </c>
      <c r="AF1012">
        <f>'T_SelfStock'!AD35</f>
        <v/>
      </c>
      <c r="AG1012">
        <f>'T_SelfStock'!AE35</f>
        <v/>
      </c>
      <c r="AH1012">
        <f>'T_SelfStock'!AF35</f>
        <v/>
      </c>
      <c r="AI1012">
        <f>'T_SelfStock'!AG35</f>
        <v/>
      </c>
      <c r="AJ1012">
        <f>'T_SelfStock'!AH35</f>
        <v/>
      </c>
      <c r="AK1012">
        <f>'T_SelfStock'!AI35</f>
        <v/>
      </c>
      <c r="AL1012">
        <f>'T_SelfStock'!AJ35</f>
        <v/>
      </c>
      <c r="AM1012">
        <f>'T_SelfStock'!AK35</f>
        <v/>
      </c>
      <c r="AN1012">
        <f>'T_SelfStock'!AL35</f>
        <v/>
      </c>
      <c r="AO1012">
        <f>'T_SelfStock'!AM35</f>
        <v/>
      </c>
      <c r="AP1012">
        <f>'T_SelfStock'!AN35</f>
        <v/>
      </c>
      <c r="AQ1012">
        <f>'T_SelfStock'!AO35</f>
        <v/>
      </c>
      <c r="AR1012">
        <f>'T_SelfStock'!AP35</f>
        <v/>
      </c>
      <c r="AS1012">
        <f>'T_SelfStock'!AQ35</f>
        <v/>
      </c>
      <c r="AT1012">
        <f>'T_SelfStock'!AR35</f>
        <v/>
      </c>
      <c r="AU1012">
        <f>'T_SelfStock'!AS35</f>
        <v/>
      </c>
      <c r="AV1012">
        <f>'T_SelfStock'!AT35</f>
        <v/>
      </c>
      <c r="AW1012">
        <f>'T_SelfStock'!AU35</f>
        <v/>
      </c>
      <c r="AX1012">
        <f>'T_SelfStock'!AV35</f>
        <v/>
      </c>
      <c r="AY1012">
        <f>'T_SelfStock'!AW35</f>
        <v/>
      </c>
      <c r="AZ1012">
        <f>'T_SelfStock'!AX35</f>
        <v/>
      </c>
      <c r="BA1012">
        <f>'T_SelfStock'!AY35</f>
        <v/>
      </c>
      <c r="BB1012">
        <f>'T_SelfStock'!AZ35</f>
        <v/>
      </c>
      <c r="BC1012">
        <f>'T_SelfStock'!BA35</f>
        <v/>
      </c>
      <c r="BD1012">
        <f>'T_SelfStock'!BB35</f>
        <v/>
      </c>
      <c r="BE1012">
        <f>'T_SelfStock'!BC35</f>
        <v/>
      </c>
      <c r="BF1012">
        <f>'T_SelfStock'!BD35</f>
        <v/>
      </c>
      <c r="BG1012">
        <f>'T_SelfStock'!BE35</f>
        <v/>
      </c>
      <c r="BH1012">
        <f>'T_SelfStock'!BF35</f>
        <v/>
      </c>
      <c r="BI1012">
        <f>'T_SelfStock'!BG35</f>
        <v/>
      </c>
      <c r="BJ1012">
        <f>'T_SelfStock'!BH35</f>
        <v/>
      </c>
      <c r="BK1012">
        <f>'T_SelfStock'!BI35</f>
        <v/>
      </c>
      <c r="BL1012">
        <f>'T_SelfStock'!BJ35</f>
        <v/>
      </c>
      <c r="BM1012">
        <f>'T_SelfStock'!BK35</f>
        <v/>
      </c>
      <c r="BN1012">
        <f>'T_SelfStock'!BL35</f>
        <v/>
      </c>
      <c r="BO1012">
        <f>'T_SelfStock'!BM35</f>
        <v/>
      </c>
      <c r="BP1012">
        <f>'T_SelfStock'!BN35</f>
        <v/>
      </c>
      <c r="BQ1012">
        <f>'T_SelfStock'!BO35</f>
        <v/>
      </c>
      <c r="BR1012">
        <f>'T_SelfStock'!BP35</f>
        <v/>
      </c>
      <c r="BS1012">
        <f>'T_SelfStock'!BQ35</f>
        <v/>
      </c>
      <c r="BT1012">
        <f>'T_SelfStock'!BR35</f>
        <v/>
      </c>
      <c r="BU1012">
        <f>'T_SelfStock'!BS35</f>
        <v/>
      </c>
      <c r="BV1012">
        <f>'T_SelfStock'!BT35</f>
        <v/>
      </c>
      <c r="BW1012">
        <f>'T_SelfStock'!BU35</f>
        <v/>
      </c>
      <c r="BX1012">
        <f>'T_SelfStock'!BV35</f>
        <v/>
      </c>
      <c r="BY1012">
        <f>'T_SelfStock'!BW35</f>
        <v/>
      </c>
      <c r="BZ1012">
        <f>'T_SelfStock'!BX35</f>
        <v/>
      </c>
      <c r="CA1012">
        <f>'T_SelfStock'!BY35</f>
        <v/>
      </c>
      <c r="CB1012">
        <f>'T_SelfStock'!BZ35</f>
        <v/>
      </c>
      <c r="CC1012">
        <f>'T_SelfStock'!CA35</f>
        <v/>
      </c>
      <c r="CD1012">
        <f>'T_SelfStock'!CB35</f>
        <v/>
      </c>
      <c r="CE1012">
        <f>'T_SelfStock'!CC35</f>
        <v/>
      </c>
      <c r="CF1012">
        <f>'T_SelfStock'!CD35</f>
        <v/>
      </c>
      <c r="CG1012">
        <f>'T_SelfStock'!CE35</f>
        <v/>
      </c>
      <c r="CH1012">
        <f>'T_SelfStock'!CF35</f>
        <v/>
      </c>
      <c r="CI1012">
        <f>'T_SelfStock'!CG35</f>
        <v/>
      </c>
      <c r="CJ1012">
        <f>'T_SelfStock'!CH35</f>
        <v/>
      </c>
      <c r="CK1012">
        <f>'T_SelfStock'!CI35</f>
        <v/>
      </c>
      <c r="CL1012">
        <f>'T_SelfStock'!CJ35</f>
        <v/>
      </c>
      <c r="CM1012">
        <f>'T_SelfStock'!CK35</f>
        <v/>
      </c>
      <c r="CN1012">
        <f>'T_SelfStock'!CL35</f>
        <v/>
      </c>
      <c r="CO1012">
        <f>'T_SelfStock'!CM35</f>
        <v/>
      </c>
      <c r="CP1012">
        <f>'T_SelfStock'!CN35</f>
        <v/>
      </c>
      <c r="CQ1012">
        <f>'T_SelfStock'!CO35</f>
        <v/>
      </c>
      <c r="CR1012">
        <f>'T_SelfStock'!CP35</f>
        <v/>
      </c>
      <c r="CS1012">
        <f>'T_SelfStock'!CQ35</f>
        <v/>
      </c>
      <c r="CT1012">
        <f>'T_SelfStock'!CR35</f>
        <v/>
      </c>
      <c r="CU1012">
        <f>'T_SelfStock'!CS35</f>
        <v/>
      </c>
      <c r="CV1012">
        <f>'T_SelfStock'!CT35</f>
        <v/>
      </c>
      <c r="CW1012">
        <f>'T_SelfStock'!CU35</f>
        <v/>
      </c>
      <c r="CX1012">
        <f>'T_SelfStock'!CV35</f>
        <v/>
      </c>
      <c r="CY1012">
        <f>'T_SelfStock'!CW35</f>
        <v/>
      </c>
      <c r="CZ1012">
        <f>'T_SelfStock'!CX35</f>
        <v/>
      </c>
      <c r="DA1012">
        <f>'T_SelfStock'!CY35</f>
        <v/>
      </c>
      <c r="DB1012">
        <f>'T_SelfStock'!CZ35</f>
        <v/>
      </c>
      <c r="DC1012">
        <f>'T_SelfStock'!DA35</f>
        <v/>
      </c>
    </row>
    <row r="1013">
      <c r="B1013" t="inlineStr">
        <is>
          <t>Order(発注予定,kg)</t>
        </is>
      </c>
      <c r="D1013">
        <f>IF(SUMIFS(T_PlannedOrders[EffectiveQty],T_PlannedOrders[Part Name],$A1003,T_PlannedOrders[WeekIndex],1)=0,"",SUMIFS(T_PlannedOrders[EffectiveQty],T_PlannedOrders[Part Name],$A1003,T_PlannedOrders[WeekIndex],1)&amp;" ("&amp;TEXT(SUMPRODUCT(MAX((T_PlannedOrders[Part Name]=$A1003)*(T_PlannedOrders[WeekIndex]=1)*(T_PlannedOrders[EffectiveQty]&gt;0)*T_PlannedOrders[Order_Month])),"m月")&amp;"発注)")</f>
        <v/>
      </c>
      <c r="E1013">
        <f>IF(SUMIFS(T_PlannedOrders[EffectiveQty],T_PlannedOrders[Part Name],$A1003,T_PlannedOrders[WeekIndex],2)=0,"",SUMIFS(T_PlannedOrders[EffectiveQty],T_PlannedOrders[Part Name],$A1003,T_PlannedOrders[WeekIndex],2)&amp;" ("&amp;TEXT(SUMPRODUCT(MAX((T_PlannedOrders[Part Name]=$A1003)*(T_PlannedOrders[WeekIndex]=2)*(T_PlannedOrders[EffectiveQty]&gt;0)*T_PlannedOrders[Order_Month])),"m月")&amp;"発注)")</f>
        <v/>
      </c>
      <c r="F1013">
        <f>IF(SUMIFS(T_PlannedOrders[EffectiveQty],T_PlannedOrders[Part Name],$A1003,T_PlannedOrders[WeekIndex],3)=0,"",SUMIFS(T_PlannedOrders[EffectiveQty],T_PlannedOrders[Part Name],$A1003,T_PlannedOrders[WeekIndex],3)&amp;" ("&amp;TEXT(SUMPRODUCT(MAX((T_PlannedOrders[Part Name]=$A1003)*(T_PlannedOrders[WeekIndex]=3)*(T_PlannedOrders[EffectiveQty]&gt;0)*T_PlannedOrders[Order_Month])),"m月")&amp;"発注)")</f>
        <v/>
      </c>
      <c r="G1013">
        <f>IF(SUMIFS(T_PlannedOrders[EffectiveQty],T_PlannedOrders[Part Name],$A1003,T_PlannedOrders[WeekIndex],4)=0,"",SUMIFS(T_PlannedOrders[EffectiveQty],T_PlannedOrders[Part Name],$A1003,T_PlannedOrders[WeekIndex],4)&amp;" ("&amp;TEXT(SUMPRODUCT(MAX((T_PlannedOrders[Part Name]=$A1003)*(T_PlannedOrders[WeekIndex]=4)*(T_PlannedOrders[EffectiveQty]&gt;0)*T_PlannedOrders[Order_Month])),"m月")&amp;"発注)")</f>
        <v/>
      </c>
      <c r="H1013">
        <f>IF(SUMIFS(T_PlannedOrders[EffectiveQty],T_PlannedOrders[Part Name],$A1003,T_PlannedOrders[WeekIndex],5)=0,"",SUMIFS(T_PlannedOrders[EffectiveQty],T_PlannedOrders[Part Name],$A1003,T_PlannedOrders[WeekIndex],5)&amp;" ("&amp;TEXT(SUMPRODUCT(MAX((T_PlannedOrders[Part Name]=$A1003)*(T_PlannedOrders[WeekIndex]=5)*(T_PlannedOrders[EffectiveQty]&gt;0)*T_PlannedOrders[Order_Month])),"m月")&amp;"発注)")</f>
        <v/>
      </c>
      <c r="I1013">
        <f>IF(SUMIFS(T_PlannedOrders[EffectiveQty],T_PlannedOrders[Part Name],$A1003,T_PlannedOrders[WeekIndex],6)=0,"",SUMIFS(T_PlannedOrders[EffectiveQty],T_PlannedOrders[Part Name],$A1003,T_PlannedOrders[WeekIndex],6)&amp;" ("&amp;TEXT(SUMPRODUCT(MAX((T_PlannedOrders[Part Name]=$A1003)*(T_PlannedOrders[WeekIndex]=6)*(T_PlannedOrders[EffectiveQty]&gt;0)*T_PlannedOrders[Order_Month])),"m月")&amp;"発注)")</f>
        <v/>
      </c>
      <c r="J1013">
        <f>IF(SUMIFS(T_PlannedOrders[EffectiveQty],T_PlannedOrders[Part Name],$A1003,T_PlannedOrders[WeekIndex],7)=0,"",SUMIFS(T_PlannedOrders[EffectiveQty],T_PlannedOrders[Part Name],$A1003,T_PlannedOrders[WeekIndex],7)&amp;" ("&amp;TEXT(SUMPRODUCT(MAX((T_PlannedOrders[Part Name]=$A1003)*(T_PlannedOrders[WeekIndex]=7)*(T_PlannedOrders[EffectiveQty]&gt;0)*T_PlannedOrders[Order_Month])),"m月")&amp;"発注)")</f>
        <v/>
      </c>
      <c r="K1013">
        <f>IF(SUMIFS(T_PlannedOrders[EffectiveQty],T_PlannedOrders[Part Name],$A1003,T_PlannedOrders[WeekIndex],8)=0,"",SUMIFS(T_PlannedOrders[EffectiveQty],T_PlannedOrders[Part Name],$A1003,T_PlannedOrders[WeekIndex],8)&amp;" ("&amp;TEXT(SUMPRODUCT(MAX((T_PlannedOrders[Part Name]=$A1003)*(T_PlannedOrders[WeekIndex]=8)*(T_PlannedOrders[EffectiveQty]&gt;0)*T_PlannedOrders[Order_Month])),"m月")&amp;"発注)")</f>
        <v/>
      </c>
      <c r="L1013">
        <f>IF(SUMIFS(T_PlannedOrders[EffectiveQty],T_PlannedOrders[Part Name],$A1003,T_PlannedOrders[WeekIndex],9)=0,"",SUMIFS(T_PlannedOrders[EffectiveQty],T_PlannedOrders[Part Name],$A1003,T_PlannedOrders[WeekIndex],9)&amp;" ("&amp;TEXT(SUMPRODUCT(MAX((T_PlannedOrders[Part Name]=$A1003)*(T_PlannedOrders[WeekIndex]=9)*(T_PlannedOrders[EffectiveQty]&gt;0)*T_PlannedOrders[Order_Month])),"m月")&amp;"発注)")</f>
        <v/>
      </c>
      <c r="M1013">
        <f>IF(SUMIFS(T_PlannedOrders[EffectiveQty],T_PlannedOrders[Part Name],$A1003,T_PlannedOrders[WeekIndex],10)=0,"",SUMIFS(T_PlannedOrders[EffectiveQty],T_PlannedOrders[Part Name],$A1003,T_PlannedOrders[WeekIndex],10)&amp;" ("&amp;TEXT(SUMPRODUCT(MAX((T_PlannedOrders[Part Name]=$A1003)*(T_PlannedOrders[WeekIndex]=10)*(T_PlannedOrders[EffectiveQty]&gt;0)*T_PlannedOrders[Order_Month])),"m月")&amp;"発注)")</f>
        <v/>
      </c>
      <c r="N1013">
        <f>IF(SUMIFS(T_PlannedOrders[EffectiveQty],T_PlannedOrders[Part Name],$A1003,T_PlannedOrders[WeekIndex],11)=0,"",SUMIFS(T_PlannedOrders[EffectiveQty],T_PlannedOrders[Part Name],$A1003,T_PlannedOrders[WeekIndex],11)&amp;" ("&amp;TEXT(SUMPRODUCT(MAX((T_PlannedOrders[Part Name]=$A1003)*(T_PlannedOrders[WeekIndex]=11)*(T_PlannedOrders[EffectiveQty]&gt;0)*T_PlannedOrders[Order_Month])),"m月")&amp;"発注)")</f>
        <v/>
      </c>
      <c r="O1013">
        <f>IF(SUMIFS(T_PlannedOrders[EffectiveQty],T_PlannedOrders[Part Name],$A1003,T_PlannedOrders[WeekIndex],12)=0,"",SUMIFS(T_PlannedOrders[EffectiveQty],T_PlannedOrders[Part Name],$A1003,T_PlannedOrders[WeekIndex],12)&amp;" ("&amp;TEXT(SUMPRODUCT(MAX((T_PlannedOrders[Part Name]=$A1003)*(T_PlannedOrders[WeekIndex]=12)*(T_PlannedOrders[EffectiveQty]&gt;0)*T_PlannedOrders[Order_Month])),"m月")&amp;"発注)")</f>
        <v/>
      </c>
      <c r="P1013">
        <f>IF(SUMIFS(T_PlannedOrders[EffectiveQty],T_PlannedOrders[Part Name],$A1003,T_PlannedOrders[WeekIndex],13)=0,"",SUMIFS(T_PlannedOrders[EffectiveQty],T_PlannedOrders[Part Name],$A1003,T_PlannedOrders[WeekIndex],13)&amp;" ("&amp;TEXT(SUMPRODUCT(MAX((T_PlannedOrders[Part Name]=$A1003)*(T_PlannedOrders[WeekIndex]=13)*(T_PlannedOrders[EffectiveQty]&gt;0)*T_PlannedOrders[Order_Month])),"m月")&amp;"発注)")</f>
        <v/>
      </c>
      <c r="Q1013">
        <f>IF(SUMIFS(T_PlannedOrders[EffectiveQty],T_PlannedOrders[Part Name],$A1003,T_PlannedOrders[WeekIndex],14)=0,"",SUMIFS(T_PlannedOrders[EffectiveQty],T_PlannedOrders[Part Name],$A1003,T_PlannedOrders[WeekIndex],14)&amp;" ("&amp;TEXT(SUMPRODUCT(MAX((T_PlannedOrders[Part Name]=$A1003)*(T_PlannedOrders[WeekIndex]=14)*(T_PlannedOrders[EffectiveQty]&gt;0)*T_PlannedOrders[Order_Month])),"m月")&amp;"発注)")</f>
        <v/>
      </c>
      <c r="R1013">
        <f>IF(SUMIFS(T_PlannedOrders[EffectiveQty],T_PlannedOrders[Part Name],$A1003,T_PlannedOrders[WeekIndex],15)=0,"",SUMIFS(T_PlannedOrders[EffectiveQty],T_PlannedOrders[Part Name],$A1003,T_PlannedOrders[WeekIndex],15)&amp;" ("&amp;TEXT(SUMPRODUCT(MAX((T_PlannedOrders[Part Name]=$A1003)*(T_PlannedOrders[WeekIndex]=15)*(T_PlannedOrders[EffectiveQty]&gt;0)*T_PlannedOrders[Order_Month])),"m月")&amp;"発注)")</f>
        <v/>
      </c>
      <c r="S1013">
        <f>IF(SUMIFS(T_PlannedOrders[EffectiveQty],T_PlannedOrders[Part Name],$A1003,T_PlannedOrders[WeekIndex],16)=0,"",SUMIFS(T_PlannedOrders[EffectiveQty],T_PlannedOrders[Part Name],$A1003,T_PlannedOrders[WeekIndex],16)&amp;" ("&amp;TEXT(SUMPRODUCT(MAX((T_PlannedOrders[Part Name]=$A1003)*(T_PlannedOrders[WeekIndex]=16)*(T_PlannedOrders[EffectiveQty]&gt;0)*T_PlannedOrders[Order_Month])),"m月")&amp;"発注)")</f>
        <v/>
      </c>
      <c r="T1013">
        <f>IF(SUMIFS(T_PlannedOrders[EffectiveQty],T_PlannedOrders[Part Name],$A1003,T_PlannedOrders[WeekIndex],17)=0,"",SUMIFS(T_PlannedOrders[EffectiveQty],T_PlannedOrders[Part Name],$A1003,T_PlannedOrders[WeekIndex],17)&amp;" ("&amp;TEXT(SUMPRODUCT(MAX((T_PlannedOrders[Part Name]=$A1003)*(T_PlannedOrders[WeekIndex]=17)*(T_PlannedOrders[EffectiveQty]&gt;0)*T_PlannedOrders[Order_Month])),"m月")&amp;"発注)")</f>
        <v/>
      </c>
      <c r="U1013">
        <f>IF(SUMIFS(T_PlannedOrders[EffectiveQty],T_PlannedOrders[Part Name],$A1003,T_PlannedOrders[WeekIndex],18)=0,"",SUMIFS(T_PlannedOrders[EffectiveQty],T_PlannedOrders[Part Name],$A1003,T_PlannedOrders[WeekIndex],18)&amp;" ("&amp;TEXT(SUMPRODUCT(MAX((T_PlannedOrders[Part Name]=$A1003)*(T_PlannedOrders[WeekIndex]=18)*(T_PlannedOrders[EffectiveQty]&gt;0)*T_PlannedOrders[Order_Month])),"m月")&amp;"発注)")</f>
        <v/>
      </c>
      <c r="V1013">
        <f>IF(SUMIFS(T_PlannedOrders[EffectiveQty],T_PlannedOrders[Part Name],$A1003,T_PlannedOrders[WeekIndex],19)=0,"",SUMIFS(T_PlannedOrders[EffectiveQty],T_PlannedOrders[Part Name],$A1003,T_PlannedOrders[WeekIndex],19)&amp;" ("&amp;TEXT(SUMPRODUCT(MAX((T_PlannedOrders[Part Name]=$A1003)*(T_PlannedOrders[WeekIndex]=19)*(T_PlannedOrders[EffectiveQty]&gt;0)*T_PlannedOrders[Order_Month])),"m月")&amp;"発注)")</f>
        <v/>
      </c>
      <c r="W1013">
        <f>IF(SUMIFS(T_PlannedOrders[EffectiveQty],T_PlannedOrders[Part Name],$A1003,T_PlannedOrders[WeekIndex],20)=0,"",SUMIFS(T_PlannedOrders[EffectiveQty],T_PlannedOrders[Part Name],$A1003,T_PlannedOrders[WeekIndex],20)&amp;" ("&amp;TEXT(SUMPRODUCT(MAX((T_PlannedOrders[Part Name]=$A1003)*(T_PlannedOrders[WeekIndex]=20)*(T_PlannedOrders[EffectiveQty]&gt;0)*T_PlannedOrders[Order_Month])),"m月")&amp;"発注)")</f>
        <v/>
      </c>
      <c r="X1013">
        <f>IF(SUMIFS(T_PlannedOrders[EffectiveQty],T_PlannedOrders[Part Name],$A1003,T_PlannedOrders[WeekIndex],21)=0,"",SUMIFS(T_PlannedOrders[EffectiveQty],T_PlannedOrders[Part Name],$A1003,T_PlannedOrders[WeekIndex],21)&amp;" ("&amp;TEXT(SUMPRODUCT(MAX((T_PlannedOrders[Part Name]=$A1003)*(T_PlannedOrders[WeekIndex]=21)*(T_PlannedOrders[EffectiveQty]&gt;0)*T_PlannedOrders[Order_Month])),"m月")&amp;"発注)")</f>
        <v/>
      </c>
      <c r="Y1013">
        <f>IF(SUMIFS(T_PlannedOrders[EffectiveQty],T_PlannedOrders[Part Name],$A1003,T_PlannedOrders[WeekIndex],22)=0,"",SUMIFS(T_PlannedOrders[EffectiveQty],T_PlannedOrders[Part Name],$A1003,T_PlannedOrders[WeekIndex],22)&amp;" ("&amp;TEXT(SUMPRODUCT(MAX((T_PlannedOrders[Part Name]=$A1003)*(T_PlannedOrders[WeekIndex]=22)*(T_PlannedOrders[EffectiveQty]&gt;0)*T_PlannedOrders[Order_Month])),"m月")&amp;"発注)")</f>
        <v/>
      </c>
      <c r="Z1013">
        <f>IF(SUMIFS(T_PlannedOrders[EffectiveQty],T_PlannedOrders[Part Name],$A1003,T_PlannedOrders[WeekIndex],23)=0,"",SUMIFS(T_PlannedOrders[EffectiveQty],T_PlannedOrders[Part Name],$A1003,T_PlannedOrders[WeekIndex],23)&amp;" ("&amp;TEXT(SUMPRODUCT(MAX((T_PlannedOrders[Part Name]=$A1003)*(T_PlannedOrders[WeekIndex]=23)*(T_PlannedOrders[EffectiveQty]&gt;0)*T_PlannedOrders[Order_Month])),"m月")&amp;"発注)")</f>
        <v/>
      </c>
      <c r="AA1013">
        <f>IF(SUMIFS(T_PlannedOrders[EffectiveQty],T_PlannedOrders[Part Name],$A1003,T_PlannedOrders[WeekIndex],24)=0,"",SUMIFS(T_PlannedOrders[EffectiveQty],T_PlannedOrders[Part Name],$A1003,T_PlannedOrders[WeekIndex],24)&amp;" ("&amp;TEXT(SUMPRODUCT(MAX((T_PlannedOrders[Part Name]=$A1003)*(T_PlannedOrders[WeekIndex]=24)*(T_PlannedOrders[EffectiveQty]&gt;0)*T_PlannedOrders[Order_Month])),"m月")&amp;"発注)")</f>
        <v/>
      </c>
      <c r="AB1013">
        <f>IF(SUMIFS(T_PlannedOrders[EffectiveQty],T_PlannedOrders[Part Name],$A1003,T_PlannedOrders[WeekIndex],25)=0,"",SUMIFS(T_PlannedOrders[EffectiveQty],T_PlannedOrders[Part Name],$A1003,T_PlannedOrders[WeekIndex],25)&amp;" ("&amp;TEXT(SUMPRODUCT(MAX((T_PlannedOrders[Part Name]=$A1003)*(T_PlannedOrders[WeekIndex]=25)*(T_PlannedOrders[EffectiveQty]&gt;0)*T_PlannedOrders[Order_Month])),"m月")&amp;"発注)")</f>
        <v/>
      </c>
      <c r="AC1013">
        <f>IF(SUMIFS(T_PlannedOrders[EffectiveQty],T_PlannedOrders[Part Name],$A1003,T_PlannedOrders[WeekIndex],26)=0,"",SUMIFS(T_PlannedOrders[EffectiveQty],T_PlannedOrders[Part Name],$A1003,T_PlannedOrders[WeekIndex],26)&amp;" ("&amp;TEXT(SUMPRODUCT(MAX((T_PlannedOrders[Part Name]=$A1003)*(T_PlannedOrders[WeekIndex]=26)*(T_PlannedOrders[EffectiveQty]&gt;0)*T_PlannedOrders[Order_Month])),"m月")&amp;"発注)")</f>
        <v/>
      </c>
      <c r="AD1013">
        <f>IF(SUMIFS(T_PlannedOrders[EffectiveQty],T_PlannedOrders[Part Name],$A1003,T_PlannedOrders[WeekIndex],27)=0,"",SUMIFS(T_PlannedOrders[EffectiveQty],T_PlannedOrders[Part Name],$A1003,T_PlannedOrders[WeekIndex],27)&amp;" ("&amp;TEXT(SUMPRODUCT(MAX((T_PlannedOrders[Part Name]=$A1003)*(T_PlannedOrders[WeekIndex]=27)*(T_PlannedOrders[EffectiveQty]&gt;0)*T_PlannedOrders[Order_Month])),"m月")&amp;"発注)")</f>
        <v/>
      </c>
      <c r="AE1013">
        <f>IF(SUMIFS(T_PlannedOrders[EffectiveQty],T_PlannedOrders[Part Name],$A1003,T_PlannedOrders[WeekIndex],28)=0,"",SUMIFS(T_PlannedOrders[EffectiveQty],T_PlannedOrders[Part Name],$A1003,T_PlannedOrders[WeekIndex],28)&amp;" ("&amp;TEXT(SUMPRODUCT(MAX((T_PlannedOrders[Part Name]=$A1003)*(T_PlannedOrders[WeekIndex]=28)*(T_PlannedOrders[EffectiveQty]&gt;0)*T_PlannedOrders[Order_Month])),"m月")&amp;"発注)")</f>
        <v/>
      </c>
      <c r="AF1013">
        <f>IF(SUMIFS(T_PlannedOrders[EffectiveQty],T_PlannedOrders[Part Name],$A1003,T_PlannedOrders[WeekIndex],29)=0,"",SUMIFS(T_PlannedOrders[EffectiveQty],T_PlannedOrders[Part Name],$A1003,T_PlannedOrders[WeekIndex],29)&amp;" ("&amp;TEXT(SUMPRODUCT(MAX((T_PlannedOrders[Part Name]=$A1003)*(T_PlannedOrders[WeekIndex]=29)*(T_PlannedOrders[EffectiveQty]&gt;0)*T_PlannedOrders[Order_Month])),"m月")&amp;"発注)")</f>
        <v/>
      </c>
      <c r="AG1013">
        <f>IF(SUMIFS(T_PlannedOrders[EffectiveQty],T_PlannedOrders[Part Name],$A1003,T_PlannedOrders[WeekIndex],30)=0,"",SUMIFS(T_PlannedOrders[EffectiveQty],T_PlannedOrders[Part Name],$A1003,T_PlannedOrders[WeekIndex],30)&amp;" ("&amp;TEXT(SUMPRODUCT(MAX((T_PlannedOrders[Part Name]=$A1003)*(T_PlannedOrders[WeekIndex]=30)*(T_PlannedOrders[EffectiveQty]&gt;0)*T_PlannedOrders[Order_Month])),"m月")&amp;"発注)")</f>
        <v/>
      </c>
      <c r="AH1013">
        <f>IF(SUMIFS(T_PlannedOrders[EffectiveQty],T_PlannedOrders[Part Name],$A1003,T_PlannedOrders[WeekIndex],31)=0,"",SUMIFS(T_PlannedOrders[EffectiveQty],T_PlannedOrders[Part Name],$A1003,T_PlannedOrders[WeekIndex],31)&amp;" ("&amp;TEXT(SUMPRODUCT(MAX((T_PlannedOrders[Part Name]=$A1003)*(T_PlannedOrders[WeekIndex]=31)*(T_PlannedOrders[EffectiveQty]&gt;0)*T_PlannedOrders[Order_Month])),"m月")&amp;"発注)")</f>
        <v/>
      </c>
      <c r="AI1013">
        <f>IF(SUMIFS(T_PlannedOrders[EffectiveQty],T_PlannedOrders[Part Name],$A1003,T_PlannedOrders[WeekIndex],32)=0,"",SUMIFS(T_PlannedOrders[EffectiveQty],T_PlannedOrders[Part Name],$A1003,T_PlannedOrders[WeekIndex],32)&amp;" ("&amp;TEXT(SUMPRODUCT(MAX((T_PlannedOrders[Part Name]=$A1003)*(T_PlannedOrders[WeekIndex]=32)*(T_PlannedOrders[EffectiveQty]&gt;0)*T_PlannedOrders[Order_Month])),"m月")&amp;"発注)")</f>
        <v/>
      </c>
      <c r="AJ1013">
        <f>IF(SUMIFS(T_PlannedOrders[EffectiveQty],T_PlannedOrders[Part Name],$A1003,T_PlannedOrders[WeekIndex],33)=0,"",SUMIFS(T_PlannedOrders[EffectiveQty],T_PlannedOrders[Part Name],$A1003,T_PlannedOrders[WeekIndex],33)&amp;" ("&amp;TEXT(SUMPRODUCT(MAX((T_PlannedOrders[Part Name]=$A1003)*(T_PlannedOrders[WeekIndex]=33)*(T_PlannedOrders[EffectiveQty]&gt;0)*T_PlannedOrders[Order_Month])),"m月")&amp;"発注)")</f>
        <v/>
      </c>
      <c r="AK1013">
        <f>IF(SUMIFS(T_PlannedOrders[EffectiveQty],T_PlannedOrders[Part Name],$A1003,T_PlannedOrders[WeekIndex],34)=0,"",SUMIFS(T_PlannedOrders[EffectiveQty],T_PlannedOrders[Part Name],$A1003,T_PlannedOrders[WeekIndex],34)&amp;" ("&amp;TEXT(SUMPRODUCT(MAX((T_PlannedOrders[Part Name]=$A1003)*(T_PlannedOrders[WeekIndex]=34)*(T_PlannedOrders[EffectiveQty]&gt;0)*T_PlannedOrders[Order_Month])),"m月")&amp;"発注)")</f>
        <v/>
      </c>
      <c r="AL1013">
        <f>IF(SUMIFS(T_PlannedOrders[EffectiveQty],T_PlannedOrders[Part Name],$A1003,T_PlannedOrders[WeekIndex],35)=0,"",SUMIFS(T_PlannedOrders[EffectiveQty],T_PlannedOrders[Part Name],$A1003,T_PlannedOrders[WeekIndex],35)&amp;" ("&amp;TEXT(SUMPRODUCT(MAX((T_PlannedOrders[Part Name]=$A1003)*(T_PlannedOrders[WeekIndex]=35)*(T_PlannedOrders[EffectiveQty]&gt;0)*T_PlannedOrders[Order_Month])),"m月")&amp;"発注)")</f>
        <v/>
      </c>
      <c r="AM1013">
        <f>IF(SUMIFS(T_PlannedOrders[EffectiveQty],T_PlannedOrders[Part Name],$A1003,T_PlannedOrders[WeekIndex],36)=0,"",SUMIFS(T_PlannedOrders[EffectiveQty],T_PlannedOrders[Part Name],$A1003,T_PlannedOrders[WeekIndex],36)&amp;" ("&amp;TEXT(SUMPRODUCT(MAX((T_PlannedOrders[Part Name]=$A1003)*(T_PlannedOrders[WeekIndex]=36)*(T_PlannedOrders[EffectiveQty]&gt;0)*T_PlannedOrders[Order_Month])),"m月")&amp;"発注)")</f>
        <v/>
      </c>
      <c r="AN1013">
        <f>IF(SUMIFS(T_PlannedOrders[EffectiveQty],T_PlannedOrders[Part Name],$A1003,T_PlannedOrders[WeekIndex],37)=0,"",SUMIFS(T_PlannedOrders[EffectiveQty],T_PlannedOrders[Part Name],$A1003,T_PlannedOrders[WeekIndex],37)&amp;" ("&amp;TEXT(SUMPRODUCT(MAX((T_PlannedOrders[Part Name]=$A1003)*(T_PlannedOrders[WeekIndex]=37)*(T_PlannedOrders[EffectiveQty]&gt;0)*T_PlannedOrders[Order_Month])),"m月")&amp;"発注)")</f>
        <v/>
      </c>
      <c r="AO1013">
        <f>IF(SUMIFS(T_PlannedOrders[EffectiveQty],T_PlannedOrders[Part Name],$A1003,T_PlannedOrders[WeekIndex],38)=0,"",SUMIFS(T_PlannedOrders[EffectiveQty],T_PlannedOrders[Part Name],$A1003,T_PlannedOrders[WeekIndex],38)&amp;" ("&amp;TEXT(SUMPRODUCT(MAX((T_PlannedOrders[Part Name]=$A1003)*(T_PlannedOrders[WeekIndex]=38)*(T_PlannedOrders[EffectiveQty]&gt;0)*T_PlannedOrders[Order_Month])),"m月")&amp;"発注)")</f>
        <v/>
      </c>
      <c r="AP1013">
        <f>IF(SUMIFS(T_PlannedOrders[EffectiveQty],T_PlannedOrders[Part Name],$A1003,T_PlannedOrders[WeekIndex],39)=0,"",SUMIFS(T_PlannedOrders[EffectiveQty],T_PlannedOrders[Part Name],$A1003,T_PlannedOrders[WeekIndex],39)&amp;" ("&amp;TEXT(SUMPRODUCT(MAX((T_PlannedOrders[Part Name]=$A1003)*(T_PlannedOrders[WeekIndex]=39)*(T_PlannedOrders[EffectiveQty]&gt;0)*T_PlannedOrders[Order_Month])),"m月")&amp;"発注)")</f>
        <v/>
      </c>
      <c r="AQ1013">
        <f>IF(SUMIFS(T_PlannedOrders[EffectiveQty],T_PlannedOrders[Part Name],$A1003,T_PlannedOrders[WeekIndex],40)=0,"",SUMIFS(T_PlannedOrders[EffectiveQty],T_PlannedOrders[Part Name],$A1003,T_PlannedOrders[WeekIndex],40)&amp;" ("&amp;TEXT(SUMPRODUCT(MAX((T_PlannedOrders[Part Name]=$A1003)*(T_PlannedOrders[WeekIndex]=40)*(T_PlannedOrders[EffectiveQty]&gt;0)*T_PlannedOrders[Order_Month])),"m月")&amp;"発注)")</f>
        <v/>
      </c>
      <c r="AR1013">
        <f>IF(SUMIFS(T_PlannedOrders[EffectiveQty],T_PlannedOrders[Part Name],$A1003,T_PlannedOrders[WeekIndex],41)=0,"",SUMIFS(T_PlannedOrders[EffectiveQty],T_PlannedOrders[Part Name],$A1003,T_PlannedOrders[WeekIndex],41)&amp;" ("&amp;TEXT(SUMPRODUCT(MAX((T_PlannedOrders[Part Name]=$A1003)*(T_PlannedOrders[WeekIndex]=41)*(T_PlannedOrders[EffectiveQty]&gt;0)*T_PlannedOrders[Order_Month])),"m月")&amp;"発注)")</f>
        <v/>
      </c>
      <c r="AS1013">
        <f>IF(SUMIFS(T_PlannedOrders[EffectiveQty],T_PlannedOrders[Part Name],$A1003,T_PlannedOrders[WeekIndex],42)=0,"",SUMIFS(T_PlannedOrders[EffectiveQty],T_PlannedOrders[Part Name],$A1003,T_PlannedOrders[WeekIndex],42)&amp;" ("&amp;TEXT(SUMPRODUCT(MAX((T_PlannedOrders[Part Name]=$A1003)*(T_PlannedOrders[WeekIndex]=42)*(T_PlannedOrders[EffectiveQty]&gt;0)*T_PlannedOrders[Order_Month])),"m月")&amp;"発注)")</f>
        <v/>
      </c>
      <c r="AT1013">
        <f>IF(SUMIFS(T_PlannedOrders[EffectiveQty],T_PlannedOrders[Part Name],$A1003,T_PlannedOrders[WeekIndex],43)=0,"",SUMIFS(T_PlannedOrders[EffectiveQty],T_PlannedOrders[Part Name],$A1003,T_PlannedOrders[WeekIndex],43)&amp;" ("&amp;TEXT(SUMPRODUCT(MAX((T_PlannedOrders[Part Name]=$A1003)*(T_PlannedOrders[WeekIndex]=43)*(T_PlannedOrders[EffectiveQty]&gt;0)*T_PlannedOrders[Order_Month])),"m月")&amp;"発注)")</f>
        <v/>
      </c>
      <c r="AU1013">
        <f>IF(SUMIFS(T_PlannedOrders[EffectiveQty],T_PlannedOrders[Part Name],$A1003,T_PlannedOrders[WeekIndex],44)=0,"",SUMIFS(T_PlannedOrders[EffectiveQty],T_PlannedOrders[Part Name],$A1003,T_PlannedOrders[WeekIndex],44)&amp;" ("&amp;TEXT(SUMPRODUCT(MAX((T_PlannedOrders[Part Name]=$A1003)*(T_PlannedOrders[WeekIndex]=44)*(T_PlannedOrders[EffectiveQty]&gt;0)*T_PlannedOrders[Order_Month])),"m月")&amp;"発注)")</f>
        <v/>
      </c>
      <c r="AV1013">
        <f>IF(SUMIFS(T_PlannedOrders[EffectiveQty],T_PlannedOrders[Part Name],$A1003,T_PlannedOrders[WeekIndex],45)=0,"",SUMIFS(T_PlannedOrders[EffectiveQty],T_PlannedOrders[Part Name],$A1003,T_PlannedOrders[WeekIndex],45)&amp;" ("&amp;TEXT(SUMPRODUCT(MAX((T_PlannedOrders[Part Name]=$A1003)*(T_PlannedOrders[WeekIndex]=45)*(T_PlannedOrders[EffectiveQty]&gt;0)*T_PlannedOrders[Order_Month])),"m月")&amp;"発注)")</f>
        <v/>
      </c>
      <c r="AW1013">
        <f>IF(SUMIFS(T_PlannedOrders[EffectiveQty],T_PlannedOrders[Part Name],$A1003,T_PlannedOrders[WeekIndex],46)=0,"",SUMIFS(T_PlannedOrders[EffectiveQty],T_PlannedOrders[Part Name],$A1003,T_PlannedOrders[WeekIndex],46)&amp;" ("&amp;TEXT(SUMPRODUCT(MAX((T_PlannedOrders[Part Name]=$A1003)*(T_PlannedOrders[WeekIndex]=46)*(T_PlannedOrders[EffectiveQty]&gt;0)*T_PlannedOrders[Order_Month])),"m月")&amp;"発注)")</f>
        <v/>
      </c>
      <c r="AX1013">
        <f>IF(SUMIFS(T_PlannedOrders[EffectiveQty],T_PlannedOrders[Part Name],$A1003,T_PlannedOrders[WeekIndex],47)=0,"",SUMIFS(T_PlannedOrders[EffectiveQty],T_PlannedOrders[Part Name],$A1003,T_PlannedOrders[WeekIndex],47)&amp;" ("&amp;TEXT(SUMPRODUCT(MAX((T_PlannedOrders[Part Name]=$A1003)*(T_PlannedOrders[WeekIndex]=47)*(T_PlannedOrders[EffectiveQty]&gt;0)*T_PlannedOrders[Order_Month])),"m月")&amp;"発注)")</f>
        <v/>
      </c>
      <c r="AY1013">
        <f>IF(SUMIFS(T_PlannedOrders[EffectiveQty],T_PlannedOrders[Part Name],$A1003,T_PlannedOrders[WeekIndex],48)=0,"",SUMIFS(T_PlannedOrders[EffectiveQty],T_PlannedOrders[Part Name],$A1003,T_PlannedOrders[WeekIndex],48)&amp;" ("&amp;TEXT(SUMPRODUCT(MAX((T_PlannedOrders[Part Name]=$A1003)*(T_PlannedOrders[WeekIndex]=48)*(T_PlannedOrders[EffectiveQty]&gt;0)*T_PlannedOrders[Order_Month])),"m月")&amp;"発注)")</f>
        <v/>
      </c>
      <c r="AZ1013">
        <f>IF(SUMIFS(T_PlannedOrders[EffectiveQty],T_PlannedOrders[Part Name],$A1003,T_PlannedOrders[WeekIndex],49)=0,"",SUMIFS(T_PlannedOrders[EffectiveQty],T_PlannedOrders[Part Name],$A1003,T_PlannedOrders[WeekIndex],49)&amp;" ("&amp;TEXT(SUMPRODUCT(MAX((T_PlannedOrders[Part Name]=$A1003)*(T_PlannedOrders[WeekIndex]=49)*(T_PlannedOrders[EffectiveQty]&gt;0)*T_PlannedOrders[Order_Month])),"m月")&amp;"発注)")</f>
        <v/>
      </c>
      <c r="BA1013">
        <f>IF(SUMIFS(T_PlannedOrders[EffectiveQty],T_PlannedOrders[Part Name],$A1003,T_PlannedOrders[WeekIndex],50)=0,"",SUMIFS(T_PlannedOrders[EffectiveQty],T_PlannedOrders[Part Name],$A1003,T_PlannedOrders[WeekIndex],50)&amp;" ("&amp;TEXT(SUMPRODUCT(MAX((T_PlannedOrders[Part Name]=$A1003)*(T_PlannedOrders[WeekIndex]=50)*(T_PlannedOrders[EffectiveQty]&gt;0)*T_PlannedOrders[Order_Month])),"m月")&amp;"発注)")</f>
        <v/>
      </c>
      <c r="BB1013">
        <f>IF(SUMIFS(T_PlannedOrders[EffectiveQty],T_PlannedOrders[Part Name],$A1003,T_PlannedOrders[WeekIndex],51)=0,"",SUMIFS(T_PlannedOrders[EffectiveQty],T_PlannedOrders[Part Name],$A1003,T_PlannedOrders[WeekIndex],51)&amp;" ("&amp;TEXT(SUMPRODUCT(MAX((T_PlannedOrders[Part Name]=$A1003)*(T_PlannedOrders[WeekIndex]=51)*(T_PlannedOrders[EffectiveQty]&gt;0)*T_PlannedOrders[Order_Month])),"m月")&amp;"発注)")</f>
        <v/>
      </c>
      <c r="BC1013">
        <f>IF(SUMIFS(T_PlannedOrders[EffectiveQty],T_PlannedOrders[Part Name],$A1003,T_PlannedOrders[WeekIndex],52)=0,"",SUMIFS(T_PlannedOrders[EffectiveQty],T_PlannedOrders[Part Name],$A1003,T_PlannedOrders[WeekIndex],52)&amp;" ("&amp;TEXT(SUMPRODUCT(MAX((T_PlannedOrders[Part Name]=$A1003)*(T_PlannedOrders[WeekIndex]=52)*(T_PlannedOrders[EffectiveQty]&gt;0)*T_PlannedOrders[Order_Month])),"m月")&amp;"発注)")</f>
        <v/>
      </c>
      <c r="BD1013">
        <f>IF(SUMIFS(T_PlannedOrders[EffectiveQty],T_PlannedOrders[Part Name],$A1003,T_PlannedOrders[WeekIndex],53)=0,"",SUMIFS(T_PlannedOrders[EffectiveQty],T_PlannedOrders[Part Name],$A1003,T_PlannedOrders[WeekIndex],53)&amp;" ("&amp;TEXT(SUMPRODUCT(MAX((T_PlannedOrders[Part Name]=$A1003)*(T_PlannedOrders[WeekIndex]=53)*(T_PlannedOrders[EffectiveQty]&gt;0)*T_PlannedOrders[Order_Month])),"m月")&amp;"発注)")</f>
        <v/>
      </c>
      <c r="BE1013">
        <f>IF(SUMIFS(T_PlannedOrders[EffectiveQty],T_PlannedOrders[Part Name],$A1003,T_PlannedOrders[WeekIndex],54)=0,"",SUMIFS(T_PlannedOrders[EffectiveQty],T_PlannedOrders[Part Name],$A1003,T_PlannedOrders[WeekIndex],54)&amp;" ("&amp;TEXT(SUMPRODUCT(MAX((T_PlannedOrders[Part Name]=$A1003)*(T_PlannedOrders[WeekIndex]=54)*(T_PlannedOrders[EffectiveQty]&gt;0)*T_PlannedOrders[Order_Month])),"m月")&amp;"発注)")</f>
        <v/>
      </c>
      <c r="BF1013">
        <f>IF(SUMIFS(T_PlannedOrders[EffectiveQty],T_PlannedOrders[Part Name],$A1003,T_PlannedOrders[WeekIndex],55)=0,"",SUMIFS(T_PlannedOrders[EffectiveQty],T_PlannedOrders[Part Name],$A1003,T_PlannedOrders[WeekIndex],55)&amp;" ("&amp;TEXT(SUMPRODUCT(MAX((T_PlannedOrders[Part Name]=$A1003)*(T_PlannedOrders[WeekIndex]=55)*(T_PlannedOrders[EffectiveQty]&gt;0)*T_PlannedOrders[Order_Month])),"m月")&amp;"発注)")</f>
        <v/>
      </c>
      <c r="BG1013">
        <f>IF(SUMIFS(T_PlannedOrders[EffectiveQty],T_PlannedOrders[Part Name],$A1003,T_PlannedOrders[WeekIndex],56)=0,"",SUMIFS(T_PlannedOrders[EffectiveQty],T_PlannedOrders[Part Name],$A1003,T_PlannedOrders[WeekIndex],56)&amp;" ("&amp;TEXT(SUMPRODUCT(MAX((T_PlannedOrders[Part Name]=$A1003)*(T_PlannedOrders[WeekIndex]=56)*(T_PlannedOrders[EffectiveQty]&gt;0)*T_PlannedOrders[Order_Month])),"m月")&amp;"発注)")</f>
        <v/>
      </c>
      <c r="BH1013">
        <f>IF(SUMIFS(T_PlannedOrders[EffectiveQty],T_PlannedOrders[Part Name],$A1003,T_PlannedOrders[WeekIndex],57)=0,"",SUMIFS(T_PlannedOrders[EffectiveQty],T_PlannedOrders[Part Name],$A1003,T_PlannedOrders[WeekIndex],57)&amp;" ("&amp;TEXT(SUMPRODUCT(MAX((T_PlannedOrders[Part Name]=$A1003)*(T_PlannedOrders[WeekIndex]=57)*(T_PlannedOrders[EffectiveQty]&gt;0)*T_PlannedOrders[Order_Month])),"m月")&amp;"発注)")</f>
        <v/>
      </c>
      <c r="BI1013">
        <f>IF(SUMIFS(T_PlannedOrders[EffectiveQty],T_PlannedOrders[Part Name],$A1003,T_PlannedOrders[WeekIndex],58)=0,"",SUMIFS(T_PlannedOrders[EffectiveQty],T_PlannedOrders[Part Name],$A1003,T_PlannedOrders[WeekIndex],58)&amp;" ("&amp;TEXT(SUMPRODUCT(MAX((T_PlannedOrders[Part Name]=$A1003)*(T_PlannedOrders[WeekIndex]=58)*(T_PlannedOrders[EffectiveQty]&gt;0)*T_PlannedOrders[Order_Month])),"m月")&amp;"発注)")</f>
        <v/>
      </c>
      <c r="BJ1013">
        <f>IF(SUMIFS(T_PlannedOrders[EffectiveQty],T_PlannedOrders[Part Name],$A1003,T_PlannedOrders[WeekIndex],59)=0,"",SUMIFS(T_PlannedOrders[EffectiveQty],T_PlannedOrders[Part Name],$A1003,T_PlannedOrders[WeekIndex],59)&amp;" ("&amp;TEXT(SUMPRODUCT(MAX((T_PlannedOrders[Part Name]=$A1003)*(T_PlannedOrders[WeekIndex]=59)*(T_PlannedOrders[EffectiveQty]&gt;0)*T_PlannedOrders[Order_Month])),"m月")&amp;"発注)")</f>
        <v/>
      </c>
      <c r="BK1013">
        <f>IF(SUMIFS(T_PlannedOrders[EffectiveQty],T_PlannedOrders[Part Name],$A1003,T_PlannedOrders[WeekIndex],60)=0,"",SUMIFS(T_PlannedOrders[EffectiveQty],T_PlannedOrders[Part Name],$A1003,T_PlannedOrders[WeekIndex],60)&amp;" ("&amp;TEXT(SUMPRODUCT(MAX((T_PlannedOrders[Part Name]=$A1003)*(T_PlannedOrders[WeekIndex]=60)*(T_PlannedOrders[EffectiveQty]&gt;0)*T_PlannedOrders[Order_Month])),"m月")&amp;"発注)")</f>
        <v/>
      </c>
      <c r="BL1013">
        <f>IF(SUMIFS(T_PlannedOrders[EffectiveQty],T_PlannedOrders[Part Name],$A1003,T_PlannedOrders[WeekIndex],61)=0,"",SUMIFS(T_PlannedOrders[EffectiveQty],T_PlannedOrders[Part Name],$A1003,T_PlannedOrders[WeekIndex],61)&amp;" ("&amp;TEXT(SUMPRODUCT(MAX((T_PlannedOrders[Part Name]=$A1003)*(T_PlannedOrders[WeekIndex]=61)*(T_PlannedOrders[EffectiveQty]&gt;0)*T_PlannedOrders[Order_Month])),"m月")&amp;"発注)")</f>
        <v/>
      </c>
      <c r="BM1013">
        <f>IF(SUMIFS(T_PlannedOrders[EffectiveQty],T_PlannedOrders[Part Name],$A1003,T_PlannedOrders[WeekIndex],62)=0,"",SUMIFS(T_PlannedOrders[EffectiveQty],T_PlannedOrders[Part Name],$A1003,T_PlannedOrders[WeekIndex],62)&amp;" ("&amp;TEXT(SUMPRODUCT(MAX((T_PlannedOrders[Part Name]=$A1003)*(T_PlannedOrders[WeekIndex]=62)*(T_PlannedOrders[EffectiveQty]&gt;0)*T_PlannedOrders[Order_Month])),"m月")&amp;"発注)")</f>
        <v/>
      </c>
      <c r="BN1013">
        <f>IF(SUMIFS(T_PlannedOrders[EffectiveQty],T_PlannedOrders[Part Name],$A1003,T_PlannedOrders[WeekIndex],63)=0,"",SUMIFS(T_PlannedOrders[EffectiveQty],T_PlannedOrders[Part Name],$A1003,T_PlannedOrders[WeekIndex],63)&amp;" ("&amp;TEXT(SUMPRODUCT(MAX((T_PlannedOrders[Part Name]=$A1003)*(T_PlannedOrders[WeekIndex]=63)*(T_PlannedOrders[EffectiveQty]&gt;0)*T_PlannedOrders[Order_Month])),"m月")&amp;"発注)")</f>
        <v/>
      </c>
      <c r="BO1013">
        <f>IF(SUMIFS(T_PlannedOrders[EffectiveQty],T_PlannedOrders[Part Name],$A1003,T_PlannedOrders[WeekIndex],64)=0,"",SUMIFS(T_PlannedOrders[EffectiveQty],T_PlannedOrders[Part Name],$A1003,T_PlannedOrders[WeekIndex],64)&amp;" ("&amp;TEXT(SUMPRODUCT(MAX((T_PlannedOrders[Part Name]=$A1003)*(T_PlannedOrders[WeekIndex]=64)*(T_PlannedOrders[EffectiveQty]&gt;0)*T_PlannedOrders[Order_Month])),"m月")&amp;"発注)")</f>
        <v/>
      </c>
      <c r="BP1013">
        <f>IF(SUMIFS(T_PlannedOrders[EffectiveQty],T_PlannedOrders[Part Name],$A1003,T_PlannedOrders[WeekIndex],65)=0,"",SUMIFS(T_PlannedOrders[EffectiveQty],T_PlannedOrders[Part Name],$A1003,T_PlannedOrders[WeekIndex],65)&amp;" ("&amp;TEXT(SUMPRODUCT(MAX((T_PlannedOrders[Part Name]=$A1003)*(T_PlannedOrders[WeekIndex]=65)*(T_PlannedOrders[EffectiveQty]&gt;0)*T_PlannedOrders[Order_Month])),"m月")&amp;"発注)")</f>
        <v/>
      </c>
      <c r="BQ1013">
        <f>IF(SUMIFS(T_PlannedOrders[EffectiveQty],T_PlannedOrders[Part Name],$A1003,T_PlannedOrders[WeekIndex],66)=0,"",SUMIFS(T_PlannedOrders[EffectiveQty],T_PlannedOrders[Part Name],$A1003,T_PlannedOrders[WeekIndex],66)&amp;" ("&amp;TEXT(SUMPRODUCT(MAX((T_PlannedOrders[Part Name]=$A1003)*(T_PlannedOrders[WeekIndex]=66)*(T_PlannedOrders[EffectiveQty]&gt;0)*T_PlannedOrders[Order_Month])),"m月")&amp;"発注)")</f>
        <v/>
      </c>
      <c r="BR1013">
        <f>IF(SUMIFS(T_PlannedOrders[EffectiveQty],T_PlannedOrders[Part Name],$A1003,T_PlannedOrders[WeekIndex],67)=0,"",SUMIFS(T_PlannedOrders[EffectiveQty],T_PlannedOrders[Part Name],$A1003,T_PlannedOrders[WeekIndex],67)&amp;" ("&amp;TEXT(SUMPRODUCT(MAX((T_PlannedOrders[Part Name]=$A1003)*(T_PlannedOrders[WeekIndex]=67)*(T_PlannedOrders[EffectiveQty]&gt;0)*T_PlannedOrders[Order_Month])),"m月")&amp;"発注)")</f>
        <v/>
      </c>
      <c r="BS1013">
        <f>IF(SUMIFS(T_PlannedOrders[EffectiveQty],T_PlannedOrders[Part Name],$A1003,T_PlannedOrders[WeekIndex],68)=0,"",SUMIFS(T_PlannedOrders[EffectiveQty],T_PlannedOrders[Part Name],$A1003,T_PlannedOrders[WeekIndex],68)&amp;" ("&amp;TEXT(SUMPRODUCT(MAX((T_PlannedOrders[Part Name]=$A1003)*(T_PlannedOrders[WeekIndex]=68)*(T_PlannedOrders[EffectiveQty]&gt;0)*T_PlannedOrders[Order_Month])),"m月")&amp;"発注)")</f>
        <v/>
      </c>
      <c r="BT1013">
        <f>IF(SUMIFS(T_PlannedOrders[EffectiveQty],T_PlannedOrders[Part Name],$A1003,T_PlannedOrders[WeekIndex],69)=0,"",SUMIFS(T_PlannedOrders[EffectiveQty],T_PlannedOrders[Part Name],$A1003,T_PlannedOrders[WeekIndex],69)&amp;" ("&amp;TEXT(SUMPRODUCT(MAX((T_PlannedOrders[Part Name]=$A1003)*(T_PlannedOrders[WeekIndex]=69)*(T_PlannedOrders[EffectiveQty]&gt;0)*T_PlannedOrders[Order_Month])),"m月")&amp;"発注)")</f>
        <v/>
      </c>
      <c r="BU1013">
        <f>IF(SUMIFS(T_PlannedOrders[EffectiveQty],T_PlannedOrders[Part Name],$A1003,T_PlannedOrders[WeekIndex],70)=0,"",SUMIFS(T_PlannedOrders[EffectiveQty],T_PlannedOrders[Part Name],$A1003,T_PlannedOrders[WeekIndex],70)&amp;" ("&amp;TEXT(SUMPRODUCT(MAX((T_PlannedOrders[Part Name]=$A1003)*(T_PlannedOrders[WeekIndex]=70)*(T_PlannedOrders[EffectiveQty]&gt;0)*T_PlannedOrders[Order_Month])),"m月")&amp;"発注)")</f>
        <v/>
      </c>
      <c r="BV1013">
        <f>IF(SUMIFS(T_PlannedOrders[EffectiveQty],T_PlannedOrders[Part Name],$A1003,T_PlannedOrders[WeekIndex],71)=0,"",SUMIFS(T_PlannedOrders[EffectiveQty],T_PlannedOrders[Part Name],$A1003,T_PlannedOrders[WeekIndex],71)&amp;" ("&amp;TEXT(SUMPRODUCT(MAX((T_PlannedOrders[Part Name]=$A1003)*(T_PlannedOrders[WeekIndex]=71)*(T_PlannedOrders[EffectiveQty]&gt;0)*T_PlannedOrders[Order_Month])),"m月")&amp;"発注)")</f>
        <v/>
      </c>
      <c r="BW1013">
        <f>IF(SUMIFS(T_PlannedOrders[EffectiveQty],T_PlannedOrders[Part Name],$A1003,T_PlannedOrders[WeekIndex],72)=0,"",SUMIFS(T_PlannedOrders[EffectiveQty],T_PlannedOrders[Part Name],$A1003,T_PlannedOrders[WeekIndex],72)&amp;" ("&amp;TEXT(SUMPRODUCT(MAX((T_PlannedOrders[Part Name]=$A1003)*(T_PlannedOrders[WeekIndex]=72)*(T_PlannedOrders[EffectiveQty]&gt;0)*T_PlannedOrders[Order_Month])),"m月")&amp;"発注)")</f>
        <v/>
      </c>
      <c r="BX1013">
        <f>IF(SUMIFS(T_PlannedOrders[EffectiveQty],T_PlannedOrders[Part Name],$A1003,T_PlannedOrders[WeekIndex],73)=0,"",SUMIFS(T_PlannedOrders[EffectiveQty],T_PlannedOrders[Part Name],$A1003,T_PlannedOrders[WeekIndex],73)&amp;" ("&amp;TEXT(SUMPRODUCT(MAX((T_PlannedOrders[Part Name]=$A1003)*(T_PlannedOrders[WeekIndex]=73)*(T_PlannedOrders[EffectiveQty]&gt;0)*T_PlannedOrders[Order_Month])),"m月")&amp;"発注)")</f>
        <v/>
      </c>
      <c r="BY1013">
        <f>IF(SUMIFS(T_PlannedOrders[EffectiveQty],T_PlannedOrders[Part Name],$A1003,T_PlannedOrders[WeekIndex],74)=0,"",SUMIFS(T_PlannedOrders[EffectiveQty],T_PlannedOrders[Part Name],$A1003,T_PlannedOrders[WeekIndex],74)&amp;" ("&amp;TEXT(SUMPRODUCT(MAX((T_PlannedOrders[Part Name]=$A1003)*(T_PlannedOrders[WeekIndex]=74)*(T_PlannedOrders[EffectiveQty]&gt;0)*T_PlannedOrders[Order_Month])),"m月")&amp;"発注)")</f>
        <v/>
      </c>
      <c r="BZ1013">
        <f>IF(SUMIFS(T_PlannedOrders[EffectiveQty],T_PlannedOrders[Part Name],$A1003,T_PlannedOrders[WeekIndex],75)=0,"",SUMIFS(T_PlannedOrders[EffectiveQty],T_PlannedOrders[Part Name],$A1003,T_PlannedOrders[WeekIndex],75)&amp;" ("&amp;TEXT(SUMPRODUCT(MAX((T_PlannedOrders[Part Name]=$A1003)*(T_PlannedOrders[WeekIndex]=75)*(T_PlannedOrders[EffectiveQty]&gt;0)*T_PlannedOrders[Order_Month])),"m月")&amp;"発注)")</f>
        <v/>
      </c>
      <c r="CA1013">
        <f>IF(SUMIFS(T_PlannedOrders[EffectiveQty],T_PlannedOrders[Part Name],$A1003,T_PlannedOrders[WeekIndex],76)=0,"",SUMIFS(T_PlannedOrders[EffectiveQty],T_PlannedOrders[Part Name],$A1003,T_PlannedOrders[WeekIndex],76)&amp;" ("&amp;TEXT(SUMPRODUCT(MAX((T_PlannedOrders[Part Name]=$A1003)*(T_PlannedOrders[WeekIndex]=76)*(T_PlannedOrders[EffectiveQty]&gt;0)*T_PlannedOrders[Order_Month])),"m月")&amp;"発注)")</f>
        <v/>
      </c>
      <c r="CB1013">
        <f>IF(SUMIFS(T_PlannedOrders[EffectiveQty],T_PlannedOrders[Part Name],$A1003,T_PlannedOrders[WeekIndex],77)=0,"",SUMIFS(T_PlannedOrders[EffectiveQty],T_PlannedOrders[Part Name],$A1003,T_PlannedOrders[WeekIndex],77)&amp;" ("&amp;TEXT(SUMPRODUCT(MAX((T_PlannedOrders[Part Name]=$A1003)*(T_PlannedOrders[WeekIndex]=77)*(T_PlannedOrders[EffectiveQty]&gt;0)*T_PlannedOrders[Order_Month])),"m月")&amp;"発注)")</f>
        <v/>
      </c>
      <c r="CC1013">
        <f>IF(SUMIFS(T_PlannedOrders[EffectiveQty],T_PlannedOrders[Part Name],$A1003,T_PlannedOrders[WeekIndex],78)=0,"",SUMIFS(T_PlannedOrders[EffectiveQty],T_PlannedOrders[Part Name],$A1003,T_PlannedOrders[WeekIndex],78)&amp;" ("&amp;TEXT(SUMPRODUCT(MAX((T_PlannedOrders[Part Name]=$A1003)*(T_PlannedOrders[WeekIndex]=78)*(T_PlannedOrders[EffectiveQty]&gt;0)*T_PlannedOrders[Order_Month])),"m月")&amp;"発注)")</f>
        <v/>
      </c>
      <c r="CD1013">
        <f>IF(SUMIFS(T_PlannedOrders[EffectiveQty],T_PlannedOrders[Part Name],$A1003,T_PlannedOrders[WeekIndex],79)=0,"",SUMIFS(T_PlannedOrders[EffectiveQty],T_PlannedOrders[Part Name],$A1003,T_PlannedOrders[WeekIndex],79)&amp;" ("&amp;TEXT(SUMPRODUCT(MAX((T_PlannedOrders[Part Name]=$A1003)*(T_PlannedOrders[WeekIndex]=79)*(T_PlannedOrders[EffectiveQty]&gt;0)*T_PlannedOrders[Order_Month])),"m月")&amp;"発注)")</f>
        <v/>
      </c>
      <c r="CE1013">
        <f>IF(SUMIFS(T_PlannedOrders[EffectiveQty],T_PlannedOrders[Part Name],$A1003,T_PlannedOrders[WeekIndex],80)=0,"",SUMIFS(T_PlannedOrders[EffectiveQty],T_PlannedOrders[Part Name],$A1003,T_PlannedOrders[WeekIndex],80)&amp;" ("&amp;TEXT(SUMPRODUCT(MAX((T_PlannedOrders[Part Name]=$A1003)*(T_PlannedOrders[WeekIndex]=80)*(T_PlannedOrders[EffectiveQty]&gt;0)*T_PlannedOrders[Order_Month])),"m月")&amp;"発注)")</f>
        <v/>
      </c>
      <c r="CF1013">
        <f>IF(SUMIFS(T_PlannedOrders[EffectiveQty],T_PlannedOrders[Part Name],$A1003,T_PlannedOrders[WeekIndex],81)=0,"",SUMIFS(T_PlannedOrders[EffectiveQty],T_PlannedOrders[Part Name],$A1003,T_PlannedOrders[WeekIndex],81)&amp;" ("&amp;TEXT(SUMPRODUCT(MAX((T_PlannedOrders[Part Name]=$A1003)*(T_PlannedOrders[WeekIndex]=81)*(T_PlannedOrders[EffectiveQty]&gt;0)*T_PlannedOrders[Order_Month])),"m月")&amp;"発注)")</f>
        <v/>
      </c>
      <c r="CG1013">
        <f>IF(SUMIFS(T_PlannedOrders[EffectiveQty],T_PlannedOrders[Part Name],$A1003,T_PlannedOrders[WeekIndex],82)=0,"",SUMIFS(T_PlannedOrders[EffectiveQty],T_PlannedOrders[Part Name],$A1003,T_PlannedOrders[WeekIndex],82)&amp;" ("&amp;TEXT(SUMPRODUCT(MAX((T_PlannedOrders[Part Name]=$A1003)*(T_PlannedOrders[WeekIndex]=82)*(T_PlannedOrders[EffectiveQty]&gt;0)*T_PlannedOrders[Order_Month])),"m月")&amp;"発注)")</f>
        <v/>
      </c>
      <c r="CH1013">
        <f>IF(SUMIFS(T_PlannedOrders[EffectiveQty],T_PlannedOrders[Part Name],$A1003,T_PlannedOrders[WeekIndex],83)=0,"",SUMIFS(T_PlannedOrders[EffectiveQty],T_PlannedOrders[Part Name],$A1003,T_PlannedOrders[WeekIndex],83)&amp;" ("&amp;TEXT(SUMPRODUCT(MAX((T_PlannedOrders[Part Name]=$A1003)*(T_PlannedOrders[WeekIndex]=83)*(T_PlannedOrders[EffectiveQty]&gt;0)*T_PlannedOrders[Order_Month])),"m月")&amp;"発注)")</f>
        <v/>
      </c>
      <c r="CI1013">
        <f>IF(SUMIFS(T_PlannedOrders[EffectiveQty],T_PlannedOrders[Part Name],$A1003,T_PlannedOrders[WeekIndex],84)=0,"",SUMIFS(T_PlannedOrders[EffectiveQty],T_PlannedOrders[Part Name],$A1003,T_PlannedOrders[WeekIndex],84)&amp;" ("&amp;TEXT(SUMPRODUCT(MAX((T_PlannedOrders[Part Name]=$A1003)*(T_PlannedOrders[WeekIndex]=84)*(T_PlannedOrders[EffectiveQty]&gt;0)*T_PlannedOrders[Order_Month])),"m月")&amp;"発注)")</f>
        <v/>
      </c>
      <c r="CJ1013">
        <f>IF(SUMIFS(T_PlannedOrders[EffectiveQty],T_PlannedOrders[Part Name],$A1003,T_PlannedOrders[WeekIndex],85)=0,"",SUMIFS(T_PlannedOrders[EffectiveQty],T_PlannedOrders[Part Name],$A1003,T_PlannedOrders[WeekIndex],85)&amp;" ("&amp;TEXT(SUMPRODUCT(MAX((T_PlannedOrders[Part Name]=$A1003)*(T_PlannedOrders[WeekIndex]=85)*(T_PlannedOrders[EffectiveQty]&gt;0)*T_PlannedOrders[Order_Month])),"m月")&amp;"発注)")</f>
        <v/>
      </c>
      <c r="CK1013">
        <f>IF(SUMIFS(T_PlannedOrders[EffectiveQty],T_PlannedOrders[Part Name],$A1003,T_PlannedOrders[WeekIndex],86)=0,"",SUMIFS(T_PlannedOrders[EffectiveQty],T_PlannedOrders[Part Name],$A1003,T_PlannedOrders[WeekIndex],86)&amp;" ("&amp;TEXT(SUMPRODUCT(MAX((T_PlannedOrders[Part Name]=$A1003)*(T_PlannedOrders[WeekIndex]=86)*(T_PlannedOrders[EffectiveQty]&gt;0)*T_PlannedOrders[Order_Month])),"m月")&amp;"発注)")</f>
        <v/>
      </c>
      <c r="CL1013">
        <f>IF(SUMIFS(T_PlannedOrders[EffectiveQty],T_PlannedOrders[Part Name],$A1003,T_PlannedOrders[WeekIndex],87)=0,"",SUMIFS(T_PlannedOrders[EffectiveQty],T_PlannedOrders[Part Name],$A1003,T_PlannedOrders[WeekIndex],87)&amp;" ("&amp;TEXT(SUMPRODUCT(MAX((T_PlannedOrders[Part Name]=$A1003)*(T_PlannedOrders[WeekIndex]=87)*(T_PlannedOrders[EffectiveQty]&gt;0)*T_PlannedOrders[Order_Month])),"m月")&amp;"発注)")</f>
        <v/>
      </c>
      <c r="CM1013">
        <f>IF(SUMIFS(T_PlannedOrders[EffectiveQty],T_PlannedOrders[Part Name],$A1003,T_PlannedOrders[WeekIndex],88)=0,"",SUMIFS(T_PlannedOrders[EffectiveQty],T_PlannedOrders[Part Name],$A1003,T_PlannedOrders[WeekIndex],88)&amp;" ("&amp;TEXT(SUMPRODUCT(MAX((T_PlannedOrders[Part Name]=$A1003)*(T_PlannedOrders[WeekIndex]=88)*(T_PlannedOrders[EffectiveQty]&gt;0)*T_PlannedOrders[Order_Month])),"m月")&amp;"発注)")</f>
        <v/>
      </c>
      <c r="CN1013">
        <f>IF(SUMIFS(T_PlannedOrders[EffectiveQty],T_PlannedOrders[Part Name],$A1003,T_PlannedOrders[WeekIndex],89)=0,"",SUMIFS(T_PlannedOrders[EffectiveQty],T_PlannedOrders[Part Name],$A1003,T_PlannedOrders[WeekIndex],89)&amp;" ("&amp;TEXT(SUMPRODUCT(MAX((T_PlannedOrders[Part Name]=$A1003)*(T_PlannedOrders[WeekIndex]=89)*(T_PlannedOrders[EffectiveQty]&gt;0)*T_PlannedOrders[Order_Month])),"m月")&amp;"発注)")</f>
        <v/>
      </c>
      <c r="CO1013">
        <f>IF(SUMIFS(T_PlannedOrders[EffectiveQty],T_PlannedOrders[Part Name],$A1003,T_PlannedOrders[WeekIndex],90)=0,"",SUMIFS(T_PlannedOrders[EffectiveQty],T_PlannedOrders[Part Name],$A1003,T_PlannedOrders[WeekIndex],90)&amp;" ("&amp;TEXT(SUMPRODUCT(MAX((T_PlannedOrders[Part Name]=$A1003)*(T_PlannedOrders[WeekIndex]=90)*(T_PlannedOrders[EffectiveQty]&gt;0)*T_PlannedOrders[Order_Month])),"m月")&amp;"発注)")</f>
        <v/>
      </c>
      <c r="CP1013">
        <f>IF(SUMIFS(T_PlannedOrders[EffectiveQty],T_PlannedOrders[Part Name],$A1003,T_PlannedOrders[WeekIndex],91)=0,"",SUMIFS(T_PlannedOrders[EffectiveQty],T_PlannedOrders[Part Name],$A1003,T_PlannedOrders[WeekIndex],91)&amp;" ("&amp;TEXT(SUMPRODUCT(MAX((T_PlannedOrders[Part Name]=$A1003)*(T_PlannedOrders[WeekIndex]=91)*(T_PlannedOrders[EffectiveQty]&gt;0)*T_PlannedOrders[Order_Month])),"m月")&amp;"発注)")</f>
        <v/>
      </c>
      <c r="CQ1013">
        <f>IF(SUMIFS(T_PlannedOrders[EffectiveQty],T_PlannedOrders[Part Name],$A1003,T_PlannedOrders[WeekIndex],92)=0,"",SUMIFS(T_PlannedOrders[EffectiveQty],T_PlannedOrders[Part Name],$A1003,T_PlannedOrders[WeekIndex],92)&amp;" ("&amp;TEXT(SUMPRODUCT(MAX((T_PlannedOrders[Part Name]=$A1003)*(T_PlannedOrders[WeekIndex]=92)*(T_PlannedOrders[EffectiveQty]&gt;0)*T_PlannedOrders[Order_Month])),"m月")&amp;"発注)")</f>
        <v/>
      </c>
      <c r="CR1013">
        <f>IF(SUMIFS(T_PlannedOrders[EffectiveQty],T_PlannedOrders[Part Name],$A1003,T_PlannedOrders[WeekIndex],93)=0,"",SUMIFS(T_PlannedOrders[EffectiveQty],T_PlannedOrders[Part Name],$A1003,T_PlannedOrders[WeekIndex],93)&amp;" ("&amp;TEXT(SUMPRODUCT(MAX((T_PlannedOrders[Part Name]=$A1003)*(T_PlannedOrders[WeekIndex]=93)*(T_PlannedOrders[EffectiveQty]&gt;0)*T_PlannedOrders[Order_Month])),"m月")&amp;"発注)")</f>
        <v/>
      </c>
      <c r="CS1013">
        <f>IF(SUMIFS(T_PlannedOrders[EffectiveQty],T_PlannedOrders[Part Name],$A1003,T_PlannedOrders[WeekIndex],94)=0,"",SUMIFS(T_PlannedOrders[EffectiveQty],T_PlannedOrders[Part Name],$A1003,T_PlannedOrders[WeekIndex],94)&amp;" ("&amp;TEXT(SUMPRODUCT(MAX((T_PlannedOrders[Part Name]=$A1003)*(T_PlannedOrders[WeekIndex]=94)*(T_PlannedOrders[EffectiveQty]&gt;0)*T_PlannedOrders[Order_Month])),"m月")&amp;"発注)")</f>
        <v/>
      </c>
      <c r="CT1013">
        <f>IF(SUMIFS(T_PlannedOrders[EffectiveQty],T_PlannedOrders[Part Name],$A1003,T_PlannedOrders[WeekIndex],95)=0,"",SUMIFS(T_PlannedOrders[EffectiveQty],T_PlannedOrders[Part Name],$A1003,T_PlannedOrders[WeekIndex],95)&amp;" ("&amp;TEXT(SUMPRODUCT(MAX((T_PlannedOrders[Part Name]=$A1003)*(T_PlannedOrders[WeekIndex]=95)*(T_PlannedOrders[EffectiveQty]&gt;0)*T_PlannedOrders[Order_Month])),"m月")&amp;"発注)")</f>
        <v/>
      </c>
      <c r="CU1013">
        <f>IF(SUMIFS(T_PlannedOrders[EffectiveQty],T_PlannedOrders[Part Name],$A1003,T_PlannedOrders[WeekIndex],96)=0,"",SUMIFS(T_PlannedOrders[EffectiveQty],T_PlannedOrders[Part Name],$A1003,T_PlannedOrders[WeekIndex],96)&amp;" ("&amp;TEXT(SUMPRODUCT(MAX((T_PlannedOrders[Part Name]=$A1003)*(T_PlannedOrders[WeekIndex]=96)*(T_PlannedOrders[EffectiveQty]&gt;0)*T_PlannedOrders[Order_Month])),"m月")&amp;"発注)")</f>
        <v/>
      </c>
      <c r="CV1013">
        <f>IF(SUMIFS(T_PlannedOrders[EffectiveQty],T_PlannedOrders[Part Name],$A1003,T_PlannedOrders[WeekIndex],97)=0,"",SUMIFS(T_PlannedOrders[EffectiveQty],T_PlannedOrders[Part Name],$A1003,T_PlannedOrders[WeekIndex],97)&amp;" ("&amp;TEXT(SUMPRODUCT(MAX((T_PlannedOrders[Part Name]=$A1003)*(T_PlannedOrders[WeekIndex]=97)*(T_PlannedOrders[EffectiveQty]&gt;0)*T_PlannedOrders[Order_Month])),"m月")&amp;"発注)")</f>
        <v/>
      </c>
      <c r="CW1013">
        <f>IF(SUMIFS(T_PlannedOrders[EffectiveQty],T_PlannedOrders[Part Name],$A1003,T_PlannedOrders[WeekIndex],98)=0,"",SUMIFS(T_PlannedOrders[EffectiveQty],T_PlannedOrders[Part Name],$A1003,T_PlannedOrders[WeekIndex],98)&amp;" ("&amp;TEXT(SUMPRODUCT(MAX((T_PlannedOrders[Part Name]=$A1003)*(T_PlannedOrders[WeekIndex]=98)*(T_PlannedOrders[EffectiveQty]&gt;0)*T_PlannedOrders[Order_Month])),"m月")&amp;"発注)")</f>
        <v/>
      </c>
      <c r="CX1013">
        <f>IF(SUMIFS(T_PlannedOrders[EffectiveQty],T_PlannedOrders[Part Name],$A1003,T_PlannedOrders[WeekIndex],99)=0,"",SUMIFS(T_PlannedOrders[EffectiveQty],T_PlannedOrders[Part Name],$A1003,T_PlannedOrders[WeekIndex],99)&amp;" ("&amp;TEXT(SUMPRODUCT(MAX((T_PlannedOrders[Part Name]=$A1003)*(T_PlannedOrders[WeekIndex]=99)*(T_PlannedOrders[EffectiveQty]&gt;0)*T_PlannedOrders[Order_Month])),"m月")&amp;"発注)")</f>
        <v/>
      </c>
      <c r="CY1013">
        <f>IF(SUMIFS(T_PlannedOrders[EffectiveQty],T_PlannedOrders[Part Name],$A1003,T_PlannedOrders[WeekIndex],100)=0,"",SUMIFS(T_PlannedOrders[EffectiveQty],T_PlannedOrders[Part Name],$A1003,T_PlannedOrders[WeekIndex],100)&amp;" ("&amp;TEXT(SUMPRODUCT(MAX((T_PlannedOrders[Part Name]=$A1003)*(T_PlannedOrders[WeekIndex]=100)*(T_PlannedOrders[EffectiveQty]&gt;0)*T_PlannedOrders[Order_Month])),"m月")&amp;"発注)")</f>
        <v/>
      </c>
      <c r="CZ1013">
        <f>IF(SUMIFS(T_PlannedOrders[EffectiveQty],T_PlannedOrders[Part Name],$A1003,T_PlannedOrders[WeekIndex],101)=0,"",SUMIFS(T_PlannedOrders[EffectiveQty],T_PlannedOrders[Part Name],$A1003,T_PlannedOrders[WeekIndex],101)&amp;" ("&amp;TEXT(SUMPRODUCT(MAX((T_PlannedOrders[Part Name]=$A1003)*(T_PlannedOrders[WeekIndex]=101)*(T_PlannedOrders[EffectiveQty]&gt;0)*T_PlannedOrders[Order_Month])),"m月")&amp;"発注)")</f>
        <v/>
      </c>
      <c r="DA1013">
        <f>IF(SUMIFS(T_PlannedOrders[EffectiveQty],T_PlannedOrders[Part Name],$A1003,T_PlannedOrders[WeekIndex],102)=0,"",SUMIFS(T_PlannedOrders[EffectiveQty],T_PlannedOrders[Part Name],$A1003,T_PlannedOrders[WeekIndex],102)&amp;" ("&amp;TEXT(SUMPRODUCT(MAX((T_PlannedOrders[Part Name]=$A1003)*(T_PlannedOrders[WeekIndex]=102)*(T_PlannedOrders[EffectiveQty]&gt;0)*T_PlannedOrders[Order_Month])),"m月")&amp;"発注)")</f>
        <v/>
      </c>
      <c r="DB1013">
        <f>IF(SUMIFS(T_PlannedOrders[EffectiveQty],T_PlannedOrders[Part Name],$A1003,T_PlannedOrders[WeekIndex],103)=0,"",SUMIFS(T_PlannedOrders[EffectiveQty],T_PlannedOrders[Part Name],$A1003,T_PlannedOrders[WeekIndex],103)&amp;" ("&amp;TEXT(SUMPRODUCT(MAX((T_PlannedOrders[Part Name]=$A1003)*(T_PlannedOrders[WeekIndex]=103)*(T_PlannedOrders[EffectiveQty]&gt;0)*T_PlannedOrders[Order_Month])),"m月")&amp;"発注)")</f>
        <v/>
      </c>
      <c r="DC1013">
        <f>IF(SUMIFS(T_PlannedOrders[EffectiveQty],T_PlannedOrders[Part Name],$A1003,T_PlannedOrders[WeekIndex],104)=0,"",SUMIFS(T_PlannedOrders[EffectiveQty],T_PlannedOrders[Part Name],$A1003,T_PlannedOrders[WeekIndex],104)&amp;" ("&amp;TEXT(SUMPRODUCT(MAX((T_PlannedOrders[Part Name]=$A1003)*(T_PlannedOrders[WeekIndex]=104)*(T_PlannedOrders[EffectiveQty]&gt;0)*T_PlannedOrders[Order_Month])),"m月")&amp;"発注)")</f>
        <v/>
      </c>
    </row>
    <row r="1014">
      <c r="B1014" s="4" t="inlineStr">
        <is>
          <t>合計在庫(週末時点,kg)</t>
        </is>
      </c>
      <c r="D1014">
        <f>'Grid_Stock'!B31</f>
        <v/>
      </c>
      <c r="E1014">
        <f>'Grid_Stock'!C31</f>
        <v/>
      </c>
      <c r="F1014">
        <f>'Grid_Stock'!D31</f>
        <v/>
      </c>
      <c r="G1014">
        <f>'Grid_Stock'!E31</f>
        <v/>
      </c>
      <c r="H1014">
        <f>'Grid_Stock'!F31</f>
        <v/>
      </c>
      <c r="I1014">
        <f>'Grid_Stock'!G31</f>
        <v/>
      </c>
      <c r="J1014">
        <f>'Grid_Stock'!H31</f>
        <v/>
      </c>
      <c r="K1014">
        <f>'Grid_Stock'!I31</f>
        <v/>
      </c>
      <c r="L1014">
        <f>'Grid_Stock'!J31</f>
        <v/>
      </c>
      <c r="M1014">
        <f>'Grid_Stock'!K31</f>
        <v/>
      </c>
      <c r="N1014">
        <f>'Grid_Stock'!L31</f>
        <v/>
      </c>
      <c r="O1014">
        <f>'Grid_Stock'!M31</f>
        <v/>
      </c>
      <c r="P1014">
        <f>'Grid_Stock'!N31</f>
        <v/>
      </c>
      <c r="Q1014">
        <f>'Grid_Stock'!O31</f>
        <v/>
      </c>
      <c r="R1014">
        <f>'Grid_Stock'!P31</f>
        <v/>
      </c>
      <c r="S1014">
        <f>'Grid_Stock'!Q31</f>
        <v/>
      </c>
      <c r="T1014">
        <f>'Grid_Stock'!R31</f>
        <v/>
      </c>
      <c r="U1014">
        <f>'Grid_Stock'!S31</f>
        <v/>
      </c>
      <c r="V1014">
        <f>'Grid_Stock'!T31</f>
        <v/>
      </c>
      <c r="W1014">
        <f>'Grid_Stock'!U31</f>
        <v/>
      </c>
      <c r="X1014">
        <f>'Grid_Stock'!V31</f>
        <v/>
      </c>
      <c r="Y1014">
        <f>'Grid_Stock'!W31</f>
        <v/>
      </c>
      <c r="Z1014">
        <f>'Grid_Stock'!X31</f>
        <v/>
      </c>
      <c r="AA1014">
        <f>'Grid_Stock'!Y31</f>
        <v/>
      </c>
      <c r="AB1014">
        <f>'Grid_Stock'!Z31</f>
        <v/>
      </c>
      <c r="AC1014">
        <f>'Grid_Stock'!AA31</f>
        <v/>
      </c>
      <c r="AD1014">
        <f>'Grid_Stock'!AB31</f>
        <v/>
      </c>
      <c r="AE1014">
        <f>'Grid_Stock'!AC31</f>
        <v/>
      </c>
      <c r="AF1014">
        <f>'Grid_Stock'!AD31</f>
        <v/>
      </c>
      <c r="AG1014">
        <f>'Grid_Stock'!AE31</f>
        <v/>
      </c>
      <c r="AH1014">
        <f>'Grid_Stock'!AF31</f>
        <v/>
      </c>
      <c r="AI1014">
        <f>'Grid_Stock'!AG31</f>
        <v/>
      </c>
      <c r="AJ1014">
        <f>'Grid_Stock'!AH31</f>
        <v/>
      </c>
      <c r="AK1014">
        <f>'Grid_Stock'!AI31</f>
        <v/>
      </c>
      <c r="AL1014">
        <f>'Grid_Stock'!AJ31</f>
        <v/>
      </c>
      <c r="AM1014">
        <f>'Grid_Stock'!AK31</f>
        <v/>
      </c>
      <c r="AN1014">
        <f>'Grid_Stock'!AL31</f>
        <v/>
      </c>
      <c r="AO1014">
        <f>'Grid_Stock'!AM31</f>
        <v/>
      </c>
      <c r="AP1014">
        <f>'Grid_Stock'!AN31</f>
        <v/>
      </c>
      <c r="AQ1014">
        <f>'Grid_Stock'!AO31</f>
        <v/>
      </c>
      <c r="AR1014">
        <f>'Grid_Stock'!AP31</f>
        <v/>
      </c>
      <c r="AS1014">
        <f>'Grid_Stock'!AQ31</f>
        <v/>
      </c>
      <c r="AT1014">
        <f>'Grid_Stock'!AR31</f>
        <v/>
      </c>
      <c r="AU1014">
        <f>'Grid_Stock'!AS31</f>
        <v/>
      </c>
      <c r="AV1014">
        <f>'Grid_Stock'!AT31</f>
        <v/>
      </c>
      <c r="AW1014">
        <f>'Grid_Stock'!AU31</f>
        <v/>
      </c>
      <c r="AX1014">
        <f>'Grid_Stock'!AV31</f>
        <v/>
      </c>
      <c r="AY1014">
        <f>'Grid_Stock'!AW31</f>
        <v/>
      </c>
      <c r="AZ1014">
        <f>'Grid_Stock'!AX31</f>
        <v/>
      </c>
      <c r="BA1014">
        <f>'Grid_Stock'!AY31</f>
        <v/>
      </c>
      <c r="BB1014">
        <f>'Grid_Stock'!AZ31</f>
        <v/>
      </c>
      <c r="BC1014">
        <f>'Grid_Stock'!BA31</f>
        <v/>
      </c>
      <c r="BD1014">
        <f>'Grid_Stock'!BB31</f>
        <v/>
      </c>
      <c r="BE1014">
        <f>'Grid_Stock'!BC31</f>
        <v/>
      </c>
      <c r="BF1014">
        <f>'Grid_Stock'!BD31</f>
        <v/>
      </c>
      <c r="BG1014">
        <f>'Grid_Stock'!BE31</f>
        <v/>
      </c>
      <c r="BH1014">
        <f>'Grid_Stock'!BF31</f>
        <v/>
      </c>
      <c r="BI1014">
        <f>'Grid_Stock'!BG31</f>
        <v/>
      </c>
      <c r="BJ1014">
        <f>'Grid_Stock'!BH31</f>
        <v/>
      </c>
      <c r="BK1014">
        <f>'Grid_Stock'!BI31</f>
        <v/>
      </c>
      <c r="BL1014">
        <f>'Grid_Stock'!BJ31</f>
        <v/>
      </c>
      <c r="BM1014">
        <f>'Grid_Stock'!BK31</f>
        <v/>
      </c>
      <c r="BN1014">
        <f>'Grid_Stock'!BL31</f>
        <v/>
      </c>
      <c r="BO1014">
        <f>'Grid_Stock'!BM31</f>
        <v/>
      </c>
      <c r="BP1014">
        <f>'Grid_Stock'!BN31</f>
        <v/>
      </c>
      <c r="BQ1014">
        <f>'Grid_Stock'!BO31</f>
        <v/>
      </c>
      <c r="BR1014">
        <f>'Grid_Stock'!BP31</f>
        <v/>
      </c>
      <c r="BS1014">
        <f>'Grid_Stock'!BQ31</f>
        <v/>
      </c>
      <c r="BT1014">
        <f>'Grid_Stock'!BR31</f>
        <v/>
      </c>
      <c r="BU1014">
        <f>'Grid_Stock'!BS31</f>
        <v/>
      </c>
      <c r="BV1014">
        <f>'Grid_Stock'!BT31</f>
        <v/>
      </c>
      <c r="BW1014">
        <f>'Grid_Stock'!BU31</f>
        <v/>
      </c>
      <c r="BX1014">
        <f>'Grid_Stock'!BV31</f>
        <v/>
      </c>
      <c r="BY1014">
        <f>'Grid_Stock'!BW31</f>
        <v/>
      </c>
      <c r="BZ1014">
        <f>'Grid_Stock'!BX31</f>
        <v/>
      </c>
      <c r="CA1014">
        <f>'Grid_Stock'!BY31</f>
        <v/>
      </c>
      <c r="CB1014">
        <f>'Grid_Stock'!BZ31</f>
        <v/>
      </c>
      <c r="CC1014">
        <f>'Grid_Stock'!CA31</f>
        <v/>
      </c>
      <c r="CD1014">
        <f>'Grid_Stock'!CB31</f>
        <v/>
      </c>
      <c r="CE1014">
        <f>'Grid_Stock'!CC31</f>
        <v/>
      </c>
      <c r="CF1014">
        <f>'Grid_Stock'!CD31</f>
        <v/>
      </c>
      <c r="CG1014">
        <f>'Grid_Stock'!CE31</f>
        <v/>
      </c>
      <c r="CH1014">
        <f>'Grid_Stock'!CF31</f>
        <v/>
      </c>
      <c r="CI1014">
        <f>'Grid_Stock'!CG31</f>
        <v/>
      </c>
      <c r="CJ1014">
        <f>'Grid_Stock'!CH31</f>
        <v/>
      </c>
      <c r="CK1014">
        <f>'Grid_Stock'!CI31</f>
        <v/>
      </c>
      <c r="CL1014">
        <f>'Grid_Stock'!CJ31</f>
        <v/>
      </c>
      <c r="CM1014">
        <f>'Grid_Stock'!CK31</f>
        <v/>
      </c>
      <c r="CN1014">
        <f>'Grid_Stock'!CL31</f>
        <v/>
      </c>
      <c r="CO1014">
        <f>'Grid_Stock'!CM31</f>
        <v/>
      </c>
      <c r="CP1014">
        <f>'Grid_Stock'!CN31</f>
        <v/>
      </c>
      <c r="CQ1014">
        <f>'Grid_Stock'!CO31</f>
        <v/>
      </c>
      <c r="CR1014">
        <f>'Grid_Stock'!CP31</f>
        <v/>
      </c>
      <c r="CS1014">
        <f>'Grid_Stock'!CQ31</f>
        <v/>
      </c>
      <c r="CT1014">
        <f>'Grid_Stock'!CR31</f>
        <v/>
      </c>
      <c r="CU1014">
        <f>'Grid_Stock'!CS31</f>
        <v/>
      </c>
      <c r="CV1014">
        <f>'Grid_Stock'!CT31</f>
        <v/>
      </c>
      <c r="CW1014">
        <f>'Grid_Stock'!CU31</f>
        <v/>
      </c>
      <c r="CX1014">
        <f>'Grid_Stock'!CV31</f>
        <v/>
      </c>
      <c r="CY1014">
        <f>'Grid_Stock'!CW31</f>
        <v/>
      </c>
      <c r="CZ1014">
        <f>'Grid_Stock'!CX31</f>
        <v/>
      </c>
      <c r="DA1014">
        <f>'Grid_Stock'!CY31</f>
        <v/>
      </c>
      <c r="DB1014">
        <f>'Grid_Stock'!CZ31</f>
        <v/>
      </c>
      <c r="DC1014">
        <f>'Grid_Stock'!DA31</f>
        <v/>
      </c>
    </row>
    <row r="1015">
      <c r="B1015" s="16" t="inlineStr">
        <is>
          <t>（発注の目安はDashboardの基準在庫[下限/上限]と色分けを参照）</t>
        </is>
      </c>
    </row>
    <row r="1017">
      <c r="A1017" s="14" t="inlineStr">
        <is>
          <t>CHEM-1770</t>
        </is>
      </c>
      <c r="B1017" s="14" t="inlineStr">
        <is>
          <t>RCT-39</t>
        </is>
      </c>
      <c r="C1017" s="15" t="n"/>
      <c r="D1017" s="14" t="n"/>
      <c r="E1017" s="14" t="n"/>
      <c r="F1017" s="14" t="n"/>
      <c r="G1017" s="14" t="n"/>
      <c r="H1017" s="14" t="n"/>
      <c r="I1017" s="14" t="n"/>
      <c r="J1017" s="14" t="n"/>
      <c r="K1017" s="14" t="n"/>
      <c r="L1017" s="14" t="n"/>
      <c r="M1017" s="14" t="n"/>
      <c r="N1017" s="14" t="n"/>
      <c r="O1017" s="14" t="n"/>
      <c r="P1017" s="14" t="n"/>
      <c r="Q1017" s="14" t="n"/>
      <c r="R1017" s="14" t="n"/>
      <c r="S1017" s="14" t="n"/>
      <c r="T1017" s="14" t="n"/>
      <c r="U1017" s="14" t="n"/>
      <c r="V1017" s="14" t="n"/>
      <c r="W1017" s="14" t="n"/>
      <c r="X1017" s="14" t="n"/>
      <c r="Y1017" s="14" t="n"/>
      <c r="Z1017" s="14" t="n"/>
      <c r="AA1017" s="14" t="n"/>
      <c r="AB1017" s="14" t="n"/>
      <c r="AC1017" s="14" t="n"/>
      <c r="AD1017" s="14" t="n"/>
      <c r="AE1017" s="14" t="n"/>
      <c r="AF1017" s="14" t="n"/>
      <c r="AG1017" s="14" t="n"/>
      <c r="AH1017" s="14" t="n"/>
      <c r="AI1017" s="14" t="n"/>
      <c r="AJ1017" s="14" t="n"/>
      <c r="AK1017" s="14" t="n"/>
      <c r="AL1017" s="14" t="n"/>
      <c r="AM1017" s="14" t="n"/>
      <c r="AN1017" s="14" t="n"/>
      <c r="AO1017" s="14" t="n"/>
      <c r="AP1017" s="14" t="n"/>
      <c r="AQ1017" s="14" t="n"/>
      <c r="AR1017" s="14" t="n"/>
      <c r="AS1017" s="14" t="n"/>
      <c r="AT1017" s="14" t="n"/>
      <c r="AU1017" s="14" t="n"/>
      <c r="AV1017" s="14" t="n"/>
      <c r="AW1017" s="14" t="n"/>
      <c r="AX1017" s="14" t="n"/>
      <c r="AY1017" s="14" t="n"/>
      <c r="AZ1017" s="14" t="n"/>
      <c r="BA1017" s="14" t="n"/>
      <c r="BB1017" s="14" t="n"/>
      <c r="BC1017" s="14" t="n"/>
      <c r="BD1017" s="14" t="n"/>
      <c r="BE1017" s="14" t="n"/>
      <c r="BF1017" s="14" t="n"/>
      <c r="BG1017" s="14" t="n"/>
      <c r="BH1017" s="14" t="n"/>
      <c r="BI1017" s="14" t="n"/>
      <c r="BJ1017" s="14" t="n"/>
      <c r="BK1017" s="14" t="n"/>
      <c r="BL1017" s="14" t="n"/>
      <c r="BM1017" s="14" t="n"/>
      <c r="BN1017" s="14" t="n"/>
      <c r="BO1017" s="14" t="n"/>
      <c r="BP1017" s="14" t="n"/>
      <c r="BQ1017" s="14" t="n"/>
      <c r="BR1017" s="14" t="n"/>
      <c r="BS1017" s="14" t="n"/>
      <c r="BT1017" s="14" t="n"/>
      <c r="BU1017" s="14" t="n"/>
      <c r="BV1017" s="14" t="n"/>
      <c r="BW1017" s="14" t="n"/>
      <c r="BX1017" s="14" t="n"/>
      <c r="BY1017" s="14" t="n"/>
      <c r="BZ1017" s="14" t="n"/>
      <c r="CA1017" s="14" t="n"/>
      <c r="CB1017" s="14" t="n"/>
      <c r="CC1017" s="14" t="n"/>
      <c r="CD1017" s="14" t="n"/>
      <c r="CE1017" s="14" t="n"/>
      <c r="CF1017" s="14" t="n"/>
      <c r="CG1017" s="14" t="n"/>
      <c r="CH1017" s="14" t="n"/>
      <c r="CI1017" s="14" t="n"/>
      <c r="CJ1017" s="14" t="n"/>
      <c r="CK1017" s="14" t="n"/>
      <c r="CL1017" s="14" t="n"/>
      <c r="CM1017" s="14" t="n"/>
      <c r="CN1017" s="14" t="n"/>
      <c r="CO1017" s="14" t="n"/>
      <c r="CP1017" s="14" t="n"/>
      <c r="CQ1017" s="14" t="n"/>
      <c r="CR1017" s="14" t="n"/>
      <c r="CS1017" s="14" t="n"/>
      <c r="CT1017" s="14" t="n"/>
      <c r="CU1017" s="14" t="n"/>
      <c r="CV1017" s="14" t="n"/>
      <c r="CW1017" s="14" t="n"/>
      <c r="CX1017" s="14" t="n"/>
      <c r="CY1017" s="14" t="n"/>
      <c r="CZ1017" s="14" t="n"/>
      <c r="DA1017" s="14" t="n"/>
      <c r="DB1017" s="14" t="n"/>
      <c r="DC1017" s="14" t="n"/>
    </row>
    <row r="1018">
      <c r="B1018" t="inlineStr">
        <is>
          <t>TPP-635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Name],$A1017)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Name],$A1017)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s="4" t="inlineStr">
        <is>
          <t>合計使用量(kg)/週</t>
        </is>
      </c>
      <c r="D1022">
        <f>'Grid_Requirement'!B36</f>
        <v/>
      </c>
      <c r="E1022">
        <f>'Grid_Requirement'!C36</f>
        <v/>
      </c>
      <c r="F1022">
        <f>'Grid_Requirement'!D36</f>
        <v/>
      </c>
      <c r="G1022">
        <f>'Grid_Requirement'!E36</f>
        <v/>
      </c>
      <c r="H1022">
        <f>'Grid_Requirement'!F36</f>
        <v/>
      </c>
      <c r="I1022">
        <f>'Grid_Requirement'!G36</f>
        <v/>
      </c>
      <c r="J1022">
        <f>'Grid_Requirement'!H36</f>
        <v/>
      </c>
      <c r="K1022">
        <f>'Grid_Requirement'!I36</f>
        <v/>
      </c>
      <c r="L1022">
        <f>'Grid_Requirement'!J36</f>
        <v/>
      </c>
      <c r="M1022">
        <f>'Grid_Requirement'!K36</f>
        <v/>
      </c>
      <c r="N1022">
        <f>'Grid_Requirement'!L36</f>
        <v/>
      </c>
      <c r="O1022">
        <f>'Grid_Requirement'!M36</f>
        <v/>
      </c>
      <c r="P1022">
        <f>'Grid_Requirement'!N36</f>
        <v/>
      </c>
      <c r="Q1022">
        <f>'Grid_Requirement'!O36</f>
        <v/>
      </c>
      <c r="R1022">
        <f>'Grid_Requirement'!P36</f>
        <v/>
      </c>
      <c r="S1022">
        <f>'Grid_Requirement'!Q36</f>
        <v/>
      </c>
      <c r="T1022">
        <f>'Grid_Requirement'!R36</f>
        <v/>
      </c>
      <c r="U1022">
        <f>'Grid_Requirement'!S36</f>
        <v/>
      </c>
      <c r="V1022">
        <f>'Grid_Requirement'!T36</f>
        <v/>
      </c>
      <c r="W1022">
        <f>'Grid_Requirement'!U36</f>
        <v/>
      </c>
      <c r="X1022">
        <f>'Grid_Requirement'!V36</f>
        <v/>
      </c>
      <c r="Y1022">
        <f>'Grid_Requirement'!W36</f>
        <v/>
      </c>
      <c r="Z1022">
        <f>'Grid_Requirement'!X36</f>
        <v/>
      </c>
      <c r="AA1022">
        <f>'Grid_Requirement'!Y36</f>
        <v/>
      </c>
      <c r="AB1022">
        <f>'Grid_Requirement'!Z36</f>
        <v/>
      </c>
      <c r="AC1022">
        <f>'Grid_Requirement'!AA36</f>
        <v/>
      </c>
      <c r="AD1022">
        <f>'Grid_Requirement'!AB36</f>
        <v/>
      </c>
      <c r="AE1022">
        <f>'Grid_Requirement'!AC36</f>
        <v/>
      </c>
      <c r="AF1022">
        <f>'Grid_Requirement'!AD36</f>
        <v/>
      </c>
      <c r="AG1022">
        <f>'Grid_Requirement'!AE36</f>
        <v/>
      </c>
      <c r="AH1022">
        <f>'Grid_Requirement'!AF36</f>
        <v/>
      </c>
      <c r="AI1022">
        <f>'Grid_Requirement'!AG36</f>
        <v/>
      </c>
      <c r="AJ1022">
        <f>'Grid_Requirement'!AH36</f>
        <v/>
      </c>
      <c r="AK1022">
        <f>'Grid_Requirement'!AI36</f>
        <v/>
      </c>
      <c r="AL1022">
        <f>'Grid_Requirement'!AJ36</f>
        <v/>
      </c>
      <c r="AM1022">
        <f>'Grid_Requirement'!AK36</f>
        <v/>
      </c>
      <c r="AN1022">
        <f>'Grid_Requirement'!AL36</f>
        <v/>
      </c>
      <c r="AO1022">
        <f>'Grid_Requirement'!AM36</f>
        <v/>
      </c>
      <c r="AP1022">
        <f>'Grid_Requirement'!AN36</f>
        <v/>
      </c>
      <c r="AQ1022">
        <f>'Grid_Requirement'!AO36</f>
        <v/>
      </c>
      <c r="AR1022">
        <f>'Grid_Requirement'!AP36</f>
        <v/>
      </c>
      <c r="AS1022">
        <f>'Grid_Requirement'!AQ36</f>
        <v/>
      </c>
      <c r="AT1022">
        <f>'Grid_Requirement'!AR36</f>
        <v/>
      </c>
      <c r="AU1022">
        <f>'Grid_Requirement'!AS36</f>
        <v/>
      </c>
      <c r="AV1022">
        <f>'Grid_Requirement'!AT36</f>
        <v/>
      </c>
      <c r="AW1022">
        <f>'Grid_Requirement'!AU36</f>
        <v/>
      </c>
      <c r="AX1022">
        <f>'Grid_Requirement'!AV36</f>
        <v/>
      </c>
      <c r="AY1022">
        <f>'Grid_Requirement'!AW36</f>
        <v/>
      </c>
      <c r="AZ1022">
        <f>'Grid_Requirement'!AX36</f>
        <v/>
      </c>
      <c r="BA1022">
        <f>'Grid_Requirement'!AY36</f>
        <v/>
      </c>
      <c r="BB1022">
        <f>'Grid_Requirement'!AZ36</f>
        <v/>
      </c>
      <c r="BC1022">
        <f>'Grid_Requirement'!BA36</f>
        <v/>
      </c>
      <c r="BD1022">
        <f>'Grid_Requirement'!BB36</f>
        <v/>
      </c>
      <c r="BE1022">
        <f>'Grid_Requirement'!BC36</f>
        <v/>
      </c>
      <c r="BF1022">
        <f>'Grid_Requirement'!BD36</f>
        <v/>
      </c>
      <c r="BG1022">
        <f>'Grid_Requirement'!BE36</f>
        <v/>
      </c>
      <c r="BH1022">
        <f>'Grid_Requirement'!BF36</f>
        <v/>
      </c>
      <c r="BI1022">
        <f>'Grid_Requirement'!BG36</f>
        <v/>
      </c>
      <c r="BJ1022">
        <f>'Grid_Requirement'!BH36</f>
        <v/>
      </c>
      <c r="BK1022">
        <f>'Grid_Requirement'!BI36</f>
        <v/>
      </c>
      <c r="BL1022">
        <f>'Grid_Requirement'!BJ36</f>
        <v/>
      </c>
      <c r="BM1022">
        <f>'Grid_Requirement'!BK36</f>
        <v/>
      </c>
      <c r="BN1022">
        <f>'Grid_Requirement'!BL36</f>
        <v/>
      </c>
      <c r="BO1022">
        <f>'Grid_Requirement'!BM36</f>
        <v/>
      </c>
      <c r="BP1022">
        <f>'Grid_Requirement'!BN36</f>
        <v/>
      </c>
      <c r="BQ1022">
        <f>'Grid_Requirement'!BO36</f>
        <v/>
      </c>
      <c r="BR1022">
        <f>'Grid_Requirement'!BP36</f>
        <v/>
      </c>
      <c r="BS1022">
        <f>'Grid_Requirement'!BQ36</f>
        <v/>
      </c>
      <c r="BT1022">
        <f>'Grid_Requirement'!BR36</f>
        <v/>
      </c>
      <c r="BU1022">
        <f>'Grid_Requirement'!BS36</f>
        <v/>
      </c>
      <c r="BV1022">
        <f>'Grid_Requirement'!BT36</f>
        <v/>
      </c>
      <c r="BW1022">
        <f>'Grid_Requirement'!BU36</f>
        <v/>
      </c>
      <c r="BX1022">
        <f>'Grid_Requirement'!BV36</f>
        <v/>
      </c>
      <c r="BY1022">
        <f>'Grid_Requirement'!BW36</f>
        <v/>
      </c>
      <c r="BZ1022">
        <f>'Grid_Requirement'!BX36</f>
        <v/>
      </c>
      <c r="CA1022">
        <f>'Grid_Requirement'!BY36</f>
        <v/>
      </c>
      <c r="CB1022">
        <f>'Grid_Requirement'!BZ36</f>
        <v/>
      </c>
      <c r="CC1022">
        <f>'Grid_Requirement'!CA36</f>
        <v/>
      </c>
      <c r="CD1022">
        <f>'Grid_Requirement'!CB36</f>
        <v/>
      </c>
      <c r="CE1022">
        <f>'Grid_Requirement'!CC36</f>
        <v/>
      </c>
      <c r="CF1022">
        <f>'Grid_Requirement'!CD36</f>
        <v/>
      </c>
      <c r="CG1022">
        <f>'Grid_Requirement'!CE36</f>
        <v/>
      </c>
      <c r="CH1022">
        <f>'Grid_Requirement'!CF36</f>
        <v/>
      </c>
      <c r="CI1022">
        <f>'Grid_Requirement'!CG36</f>
        <v/>
      </c>
      <c r="CJ1022">
        <f>'Grid_Requirement'!CH36</f>
        <v/>
      </c>
      <c r="CK1022">
        <f>'Grid_Requirement'!CI36</f>
        <v/>
      </c>
      <c r="CL1022">
        <f>'Grid_Requirement'!CJ36</f>
        <v/>
      </c>
      <c r="CM1022">
        <f>'Grid_Requirement'!CK36</f>
        <v/>
      </c>
      <c r="CN1022">
        <f>'Grid_Requirement'!CL36</f>
        <v/>
      </c>
      <c r="CO1022">
        <f>'Grid_Requirement'!CM36</f>
        <v/>
      </c>
      <c r="CP1022">
        <f>'Grid_Requirement'!CN36</f>
        <v/>
      </c>
      <c r="CQ1022">
        <f>'Grid_Requirement'!CO36</f>
        <v/>
      </c>
      <c r="CR1022">
        <f>'Grid_Requirement'!CP36</f>
        <v/>
      </c>
      <c r="CS1022">
        <f>'Grid_Requirement'!CQ36</f>
        <v/>
      </c>
      <c r="CT1022">
        <f>'Grid_Requirement'!CR36</f>
        <v/>
      </c>
      <c r="CU1022">
        <f>'Grid_Requirement'!CS36</f>
        <v/>
      </c>
      <c r="CV1022">
        <f>'Grid_Requirement'!CT36</f>
        <v/>
      </c>
      <c r="CW1022">
        <f>'Grid_Requirement'!CU36</f>
        <v/>
      </c>
      <c r="CX1022">
        <f>'Grid_Requirement'!CV36</f>
        <v/>
      </c>
      <c r="CY1022">
        <f>'Grid_Requirement'!CW36</f>
        <v/>
      </c>
      <c r="CZ1022">
        <f>'Grid_Requirement'!CX36</f>
        <v/>
      </c>
      <c r="DA1022">
        <f>'Grid_Requirement'!CY36</f>
        <v/>
      </c>
      <c r="DB1022">
        <f>'Grid_Requirement'!CZ36</f>
        <v/>
      </c>
      <c r="DC1022">
        <f>'Grid_Requirement'!DA36</f>
        <v/>
      </c>
    </row>
    <row r="1023">
      <c r="B1023" t="inlineStr">
        <is>
          <t>TTAF在庫(実績,kg)</t>
        </is>
      </c>
      <c r="D1023">
        <f>'T_TTAFStock'!B40</f>
        <v/>
      </c>
      <c r="E1023">
        <f>'T_TTAFStock'!C40</f>
        <v/>
      </c>
      <c r="F1023">
        <f>'T_TTAFStock'!D40</f>
        <v/>
      </c>
      <c r="G1023">
        <f>'T_TTAFStock'!E40</f>
        <v/>
      </c>
      <c r="H1023">
        <f>'T_TTAFStock'!F40</f>
        <v/>
      </c>
      <c r="I1023">
        <f>'T_TTAFStock'!G40</f>
        <v/>
      </c>
      <c r="J1023">
        <f>'T_TTAFStock'!H40</f>
        <v/>
      </c>
      <c r="K1023">
        <f>'T_TTAFStock'!I40</f>
        <v/>
      </c>
      <c r="L1023">
        <f>'T_TTAFStock'!J40</f>
        <v/>
      </c>
      <c r="M1023">
        <f>'T_TTAFStock'!K40</f>
        <v/>
      </c>
      <c r="N1023">
        <f>'T_TTAFStock'!L40</f>
        <v/>
      </c>
      <c r="O1023">
        <f>'T_TTAFStock'!M40</f>
        <v/>
      </c>
      <c r="P1023">
        <f>'T_TTAFStock'!N40</f>
        <v/>
      </c>
      <c r="Q1023">
        <f>'T_TTAFStock'!O40</f>
        <v/>
      </c>
      <c r="R1023">
        <f>'T_TTAFStock'!P40</f>
        <v/>
      </c>
      <c r="S1023">
        <f>'T_TTAFStock'!Q40</f>
        <v/>
      </c>
      <c r="T1023">
        <f>'T_TTAFStock'!R40</f>
        <v/>
      </c>
      <c r="U1023">
        <f>'T_TTAFStock'!S40</f>
        <v/>
      </c>
      <c r="V1023">
        <f>'T_TTAFStock'!T40</f>
        <v/>
      </c>
      <c r="W1023">
        <f>'T_TTAFStock'!U40</f>
        <v/>
      </c>
      <c r="X1023">
        <f>'T_TTAFStock'!V40</f>
        <v/>
      </c>
      <c r="Y1023">
        <f>'T_TTAFStock'!W40</f>
        <v/>
      </c>
      <c r="Z1023">
        <f>'T_TTAFStock'!X40</f>
        <v/>
      </c>
      <c r="AA1023">
        <f>'T_TTAFStock'!Y40</f>
        <v/>
      </c>
      <c r="AB1023">
        <f>'T_TTAFStock'!Z40</f>
        <v/>
      </c>
      <c r="AC1023">
        <f>'T_TTAFStock'!AA40</f>
        <v/>
      </c>
      <c r="AD1023">
        <f>'T_TTAFStock'!AB40</f>
        <v/>
      </c>
      <c r="AE1023">
        <f>'T_TTAFStock'!AC40</f>
        <v/>
      </c>
      <c r="AF1023">
        <f>'T_TTAFStock'!AD40</f>
        <v/>
      </c>
      <c r="AG1023">
        <f>'T_TTAFStock'!AE40</f>
        <v/>
      </c>
      <c r="AH1023">
        <f>'T_TTAFStock'!AF40</f>
        <v/>
      </c>
      <c r="AI1023">
        <f>'T_TTAFStock'!AG40</f>
        <v/>
      </c>
      <c r="AJ1023">
        <f>'T_TTAFStock'!AH40</f>
        <v/>
      </c>
      <c r="AK1023">
        <f>'T_TTAFStock'!AI40</f>
        <v/>
      </c>
      <c r="AL1023">
        <f>'T_TTAFStock'!AJ40</f>
        <v/>
      </c>
      <c r="AM1023">
        <f>'T_TTAFStock'!AK40</f>
        <v/>
      </c>
      <c r="AN1023">
        <f>'T_TTAFStock'!AL40</f>
        <v/>
      </c>
      <c r="AO1023">
        <f>'T_TTAFStock'!AM40</f>
        <v/>
      </c>
      <c r="AP1023">
        <f>'T_TTAFStock'!AN40</f>
        <v/>
      </c>
      <c r="AQ1023">
        <f>'T_TTAFStock'!AO40</f>
        <v/>
      </c>
      <c r="AR1023">
        <f>'T_TTAFStock'!AP40</f>
        <v/>
      </c>
      <c r="AS1023">
        <f>'T_TTAFStock'!AQ40</f>
        <v/>
      </c>
      <c r="AT1023">
        <f>'T_TTAFStock'!AR40</f>
        <v/>
      </c>
      <c r="AU1023">
        <f>'T_TTAFStock'!AS40</f>
        <v/>
      </c>
      <c r="AV1023">
        <f>'T_TTAFStock'!AT40</f>
        <v/>
      </c>
      <c r="AW1023">
        <f>'T_TTAFStock'!AU40</f>
        <v/>
      </c>
      <c r="AX1023">
        <f>'T_TTAFStock'!AV40</f>
        <v/>
      </c>
      <c r="AY1023">
        <f>'T_TTAFStock'!AW40</f>
        <v/>
      </c>
      <c r="AZ1023">
        <f>'T_TTAFStock'!AX40</f>
        <v/>
      </c>
      <c r="BA1023">
        <f>'T_TTAFStock'!AY40</f>
        <v/>
      </c>
      <c r="BB1023">
        <f>'T_TTAFStock'!AZ40</f>
        <v/>
      </c>
      <c r="BC1023">
        <f>'T_TTAFStock'!BA40</f>
        <v/>
      </c>
      <c r="BD1023">
        <f>'T_TTAFStock'!BB40</f>
        <v/>
      </c>
      <c r="BE1023">
        <f>'T_TTAFStock'!BC40</f>
        <v/>
      </c>
      <c r="BF1023">
        <f>'T_TTAFStock'!BD40</f>
        <v/>
      </c>
      <c r="BG1023">
        <f>'T_TTAFStock'!BE40</f>
        <v/>
      </c>
      <c r="BH1023">
        <f>'T_TTAFStock'!BF40</f>
        <v/>
      </c>
      <c r="BI1023">
        <f>'T_TTAFStock'!BG40</f>
        <v/>
      </c>
      <c r="BJ1023">
        <f>'T_TTAFStock'!BH40</f>
        <v/>
      </c>
      <c r="BK1023">
        <f>'T_TTAFStock'!BI40</f>
        <v/>
      </c>
      <c r="BL1023">
        <f>'T_TTAFStock'!BJ40</f>
        <v/>
      </c>
      <c r="BM1023">
        <f>'T_TTAFStock'!BK40</f>
        <v/>
      </c>
      <c r="BN1023">
        <f>'T_TTAFStock'!BL40</f>
        <v/>
      </c>
      <c r="BO1023">
        <f>'T_TTAFStock'!BM40</f>
        <v/>
      </c>
      <c r="BP1023">
        <f>'T_TTAFStock'!BN40</f>
        <v/>
      </c>
      <c r="BQ1023">
        <f>'T_TTAFStock'!BO40</f>
        <v/>
      </c>
      <c r="BR1023">
        <f>'T_TTAFStock'!BP40</f>
        <v/>
      </c>
      <c r="BS1023">
        <f>'T_TTAFStock'!BQ40</f>
        <v/>
      </c>
      <c r="BT1023">
        <f>'T_TTAFStock'!BR40</f>
        <v/>
      </c>
      <c r="BU1023">
        <f>'T_TTAFStock'!BS40</f>
        <v/>
      </c>
      <c r="BV1023">
        <f>'T_TTAFStock'!BT40</f>
        <v/>
      </c>
      <c r="BW1023">
        <f>'T_TTAFStock'!BU40</f>
        <v/>
      </c>
      <c r="BX1023">
        <f>'T_TTAFStock'!BV40</f>
        <v/>
      </c>
      <c r="BY1023">
        <f>'T_TTAFStock'!BW40</f>
        <v/>
      </c>
      <c r="BZ1023">
        <f>'T_TTAFStock'!BX40</f>
        <v/>
      </c>
      <c r="CA1023">
        <f>'T_TTAFStock'!BY40</f>
        <v/>
      </c>
      <c r="CB1023">
        <f>'T_TTAFStock'!BZ40</f>
        <v/>
      </c>
      <c r="CC1023">
        <f>'T_TTAFStock'!CA40</f>
        <v/>
      </c>
      <c r="CD1023">
        <f>'T_TTAFStock'!CB40</f>
        <v/>
      </c>
      <c r="CE1023">
        <f>'T_TTAFStock'!CC40</f>
        <v/>
      </c>
      <c r="CF1023">
        <f>'T_TTAFStock'!CD40</f>
        <v/>
      </c>
      <c r="CG1023">
        <f>'T_TTAFStock'!CE40</f>
        <v/>
      </c>
      <c r="CH1023">
        <f>'T_TTAFStock'!CF40</f>
        <v/>
      </c>
      <c r="CI1023">
        <f>'T_TTAFStock'!CG40</f>
        <v/>
      </c>
      <c r="CJ1023">
        <f>'T_TTAFStock'!CH40</f>
        <v/>
      </c>
      <c r="CK1023">
        <f>'T_TTAFStock'!CI40</f>
        <v/>
      </c>
      <c r="CL1023">
        <f>'T_TTAFStock'!CJ40</f>
        <v/>
      </c>
      <c r="CM1023">
        <f>'T_TTAFStock'!CK40</f>
        <v/>
      </c>
      <c r="CN1023">
        <f>'T_TTAFStock'!CL40</f>
        <v/>
      </c>
      <c r="CO1023">
        <f>'T_TTAFStock'!CM40</f>
        <v/>
      </c>
      <c r="CP1023">
        <f>'T_TTAFStock'!CN40</f>
        <v/>
      </c>
      <c r="CQ1023">
        <f>'T_TTAFStock'!CO40</f>
        <v/>
      </c>
      <c r="CR1023">
        <f>'T_TTAFStock'!CP40</f>
        <v/>
      </c>
      <c r="CS1023">
        <f>'T_TTAFStock'!CQ40</f>
        <v/>
      </c>
      <c r="CT1023">
        <f>'T_TTAFStock'!CR40</f>
        <v/>
      </c>
      <c r="CU1023">
        <f>'T_TTAFStock'!CS40</f>
        <v/>
      </c>
      <c r="CV1023">
        <f>'T_TTAFStock'!CT40</f>
        <v/>
      </c>
      <c r="CW1023">
        <f>'T_TTAFStock'!CU40</f>
        <v/>
      </c>
      <c r="CX1023">
        <f>'T_TTAFStock'!CV40</f>
        <v/>
      </c>
      <c r="CY1023">
        <f>'T_TTAFStock'!CW40</f>
        <v/>
      </c>
      <c r="CZ1023">
        <f>'T_TTAFStock'!CX40</f>
        <v/>
      </c>
      <c r="DA1023">
        <f>'T_TTAFStock'!CY40</f>
        <v/>
      </c>
      <c r="DB1023">
        <f>'T_TTAFStock'!CZ40</f>
        <v/>
      </c>
      <c r="DC1023">
        <f>'T_TTAFStock'!DA40</f>
        <v/>
      </c>
    </row>
    <row r="1024">
      <c r="B1024" t="inlineStr">
        <is>
          <t>自社在庫(実績,kg)</t>
        </is>
      </c>
      <c r="D1024">
        <f>'T_SelfStock'!B40</f>
        <v/>
      </c>
      <c r="E1024">
        <f>'T_SelfStock'!C40</f>
        <v/>
      </c>
      <c r="F1024">
        <f>'T_SelfStock'!D40</f>
        <v/>
      </c>
      <c r="G1024">
        <f>'T_SelfStock'!E40</f>
        <v/>
      </c>
      <c r="H1024">
        <f>'T_SelfStock'!F40</f>
        <v/>
      </c>
      <c r="I1024">
        <f>'T_SelfStock'!G40</f>
        <v/>
      </c>
      <c r="J1024">
        <f>'T_SelfStock'!H40</f>
        <v/>
      </c>
      <c r="K1024">
        <f>'T_SelfStock'!I40</f>
        <v/>
      </c>
      <c r="L1024">
        <f>'T_SelfStock'!J40</f>
        <v/>
      </c>
      <c r="M1024">
        <f>'T_SelfStock'!K40</f>
        <v/>
      </c>
      <c r="N1024">
        <f>'T_SelfStock'!L40</f>
        <v/>
      </c>
      <c r="O1024">
        <f>'T_SelfStock'!M40</f>
        <v/>
      </c>
      <c r="P1024">
        <f>'T_SelfStock'!N40</f>
        <v/>
      </c>
      <c r="Q1024">
        <f>'T_SelfStock'!O40</f>
        <v/>
      </c>
      <c r="R1024">
        <f>'T_SelfStock'!P40</f>
        <v/>
      </c>
      <c r="S1024">
        <f>'T_SelfStock'!Q40</f>
        <v/>
      </c>
      <c r="T1024">
        <f>'T_SelfStock'!R40</f>
        <v/>
      </c>
      <c r="U1024">
        <f>'T_SelfStock'!S40</f>
        <v/>
      </c>
      <c r="V1024">
        <f>'T_SelfStock'!T40</f>
        <v/>
      </c>
      <c r="W1024">
        <f>'T_SelfStock'!U40</f>
        <v/>
      </c>
      <c r="X1024">
        <f>'T_SelfStock'!V40</f>
        <v/>
      </c>
      <c r="Y1024">
        <f>'T_SelfStock'!W40</f>
        <v/>
      </c>
      <c r="Z1024">
        <f>'T_SelfStock'!X40</f>
        <v/>
      </c>
      <c r="AA1024">
        <f>'T_SelfStock'!Y40</f>
        <v/>
      </c>
      <c r="AB1024">
        <f>'T_SelfStock'!Z40</f>
        <v/>
      </c>
      <c r="AC1024">
        <f>'T_SelfStock'!AA40</f>
        <v/>
      </c>
      <c r="AD1024">
        <f>'T_SelfStock'!AB40</f>
        <v/>
      </c>
      <c r="AE1024">
        <f>'T_SelfStock'!AC40</f>
        <v/>
      </c>
      <c r="AF1024">
        <f>'T_SelfStock'!AD40</f>
        <v/>
      </c>
      <c r="AG1024">
        <f>'T_SelfStock'!AE40</f>
        <v/>
      </c>
      <c r="AH1024">
        <f>'T_SelfStock'!AF40</f>
        <v/>
      </c>
      <c r="AI1024">
        <f>'T_SelfStock'!AG40</f>
        <v/>
      </c>
      <c r="AJ1024">
        <f>'T_SelfStock'!AH40</f>
        <v/>
      </c>
      <c r="AK1024">
        <f>'T_SelfStock'!AI40</f>
        <v/>
      </c>
      <c r="AL1024">
        <f>'T_SelfStock'!AJ40</f>
        <v/>
      </c>
      <c r="AM1024">
        <f>'T_SelfStock'!AK40</f>
        <v/>
      </c>
      <c r="AN1024">
        <f>'T_SelfStock'!AL40</f>
        <v/>
      </c>
      <c r="AO1024">
        <f>'T_SelfStock'!AM40</f>
        <v/>
      </c>
      <c r="AP1024">
        <f>'T_SelfStock'!AN40</f>
        <v/>
      </c>
      <c r="AQ1024">
        <f>'T_SelfStock'!AO40</f>
        <v/>
      </c>
      <c r="AR1024">
        <f>'T_SelfStock'!AP40</f>
        <v/>
      </c>
      <c r="AS1024">
        <f>'T_SelfStock'!AQ40</f>
        <v/>
      </c>
      <c r="AT1024">
        <f>'T_SelfStock'!AR40</f>
        <v/>
      </c>
      <c r="AU1024">
        <f>'T_SelfStock'!AS40</f>
        <v/>
      </c>
      <c r="AV1024">
        <f>'T_SelfStock'!AT40</f>
        <v/>
      </c>
      <c r="AW1024">
        <f>'T_SelfStock'!AU40</f>
        <v/>
      </c>
      <c r="AX1024">
        <f>'T_SelfStock'!AV40</f>
        <v/>
      </c>
      <c r="AY1024">
        <f>'T_SelfStock'!AW40</f>
        <v/>
      </c>
      <c r="AZ1024">
        <f>'T_SelfStock'!AX40</f>
        <v/>
      </c>
      <c r="BA1024">
        <f>'T_SelfStock'!AY40</f>
        <v/>
      </c>
      <c r="BB1024">
        <f>'T_SelfStock'!AZ40</f>
        <v/>
      </c>
      <c r="BC1024">
        <f>'T_SelfStock'!BA40</f>
        <v/>
      </c>
      <c r="BD1024">
        <f>'T_SelfStock'!BB40</f>
        <v/>
      </c>
      <c r="BE1024">
        <f>'T_SelfStock'!BC40</f>
        <v/>
      </c>
      <c r="BF1024">
        <f>'T_SelfStock'!BD40</f>
        <v/>
      </c>
      <c r="BG1024">
        <f>'T_SelfStock'!BE40</f>
        <v/>
      </c>
      <c r="BH1024">
        <f>'T_SelfStock'!BF40</f>
        <v/>
      </c>
      <c r="BI1024">
        <f>'T_SelfStock'!BG40</f>
        <v/>
      </c>
      <c r="BJ1024">
        <f>'T_SelfStock'!BH40</f>
        <v/>
      </c>
      <c r="BK1024">
        <f>'T_SelfStock'!BI40</f>
        <v/>
      </c>
      <c r="BL1024">
        <f>'T_SelfStock'!BJ40</f>
        <v/>
      </c>
      <c r="BM1024">
        <f>'T_SelfStock'!BK40</f>
        <v/>
      </c>
      <c r="BN1024">
        <f>'T_SelfStock'!BL40</f>
        <v/>
      </c>
      <c r="BO1024">
        <f>'T_SelfStock'!BM40</f>
        <v/>
      </c>
      <c r="BP1024">
        <f>'T_SelfStock'!BN40</f>
        <v/>
      </c>
      <c r="BQ1024">
        <f>'T_SelfStock'!BO40</f>
        <v/>
      </c>
      <c r="BR1024">
        <f>'T_SelfStock'!BP40</f>
        <v/>
      </c>
      <c r="BS1024">
        <f>'T_SelfStock'!BQ40</f>
        <v/>
      </c>
      <c r="BT1024">
        <f>'T_SelfStock'!BR40</f>
        <v/>
      </c>
      <c r="BU1024">
        <f>'T_SelfStock'!BS40</f>
        <v/>
      </c>
      <c r="BV1024">
        <f>'T_SelfStock'!BT40</f>
        <v/>
      </c>
      <c r="BW1024">
        <f>'T_SelfStock'!BU40</f>
        <v/>
      </c>
      <c r="BX1024">
        <f>'T_SelfStock'!BV40</f>
        <v/>
      </c>
      <c r="BY1024">
        <f>'T_SelfStock'!BW40</f>
        <v/>
      </c>
      <c r="BZ1024">
        <f>'T_SelfStock'!BX40</f>
        <v/>
      </c>
      <c r="CA1024">
        <f>'T_SelfStock'!BY40</f>
        <v/>
      </c>
      <c r="CB1024">
        <f>'T_SelfStock'!BZ40</f>
        <v/>
      </c>
      <c r="CC1024">
        <f>'T_SelfStock'!CA40</f>
        <v/>
      </c>
      <c r="CD1024">
        <f>'T_SelfStock'!CB40</f>
        <v/>
      </c>
      <c r="CE1024">
        <f>'T_SelfStock'!CC40</f>
        <v/>
      </c>
      <c r="CF1024">
        <f>'T_SelfStock'!CD40</f>
        <v/>
      </c>
      <c r="CG1024">
        <f>'T_SelfStock'!CE40</f>
        <v/>
      </c>
      <c r="CH1024">
        <f>'T_SelfStock'!CF40</f>
        <v/>
      </c>
      <c r="CI1024">
        <f>'T_SelfStock'!CG40</f>
        <v/>
      </c>
      <c r="CJ1024">
        <f>'T_SelfStock'!CH40</f>
        <v/>
      </c>
      <c r="CK1024">
        <f>'T_SelfStock'!CI40</f>
        <v/>
      </c>
      <c r="CL1024">
        <f>'T_SelfStock'!CJ40</f>
        <v/>
      </c>
      <c r="CM1024">
        <f>'T_SelfStock'!CK40</f>
        <v/>
      </c>
      <c r="CN1024">
        <f>'T_SelfStock'!CL40</f>
        <v/>
      </c>
      <c r="CO1024">
        <f>'T_SelfStock'!CM40</f>
        <v/>
      </c>
      <c r="CP1024">
        <f>'T_SelfStock'!CN40</f>
        <v/>
      </c>
      <c r="CQ1024">
        <f>'T_SelfStock'!CO40</f>
        <v/>
      </c>
      <c r="CR1024">
        <f>'T_SelfStock'!CP40</f>
        <v/>
      </c>
      <c r="CS1024">
        <f>'T_SelfStock'!CQ40</f>
        <v/>
      </c>
      <c r="CT1024">
        <f>'T_SelfStock'!CR40</f>
        <v/>
      </c>
      <c r="CU1024">
        <f>'T_SelfStock'!CS40</f>
        <v/>
      </c>
      <c r="CV1024">
        <f>'T_SelfStock'!CT40</f>
        <v/>
      </c>
      <c r="CW1024">
        <f>'T_SelfStock'!CU40</f>
        <v/>
      </c>
      <c r="CX1024">
        <f>'T_SelfStock'!CV40</f>
        <v/>
      </c>
      <c r="CY1024">
        <f>'T_SelfStock'!CW40</f>
        <v/>
      </c>
      <c r="CZ1024">
        <f>'T_SelfStock'!CX40</f>
        <v/>
      </c>
      <c r="DA1024">
        <f>'T_SelfStock'!CY40</f>
        <v/>
      </c>
      <c r="DB1024">
        <f>'T_SelfStock'!CZ40</f>
        <v/>
      </c>
      <c r="DC1024">
        <f>'T_SelfStock'!DA40</f>
        <v/>
      </c>
    </row>
    <row r="1025">
      <c r="B1025" t="inlineStr">
        <is>
          <t>Order(発注予定,kg)</t>
        </is>
      </c>
      <c r="D1025">
        <f>IF(SUMIFS(T_PlannedOrders[EffectiveQty],T_PlannedOrders[Part Name],$A1017,T_PlannedOrders[WeekIndex],1)=0,"",SUMIFS(T_PlannedOrders[EffectiveQty],T_PlannedOrders[Part Name],$A1017,T_PlannedOrders[WeekIndex],1)&amp;" ("&amp;TEXT(SUMPRODUCT(MAX((T_PlannedOrders[Part Name]=$A1017)*(T_PlannedOrders[WeekIndex]=1)*(T_PlannedOrders[EffectiveQty]&gt;0)*T_PlannedOrders[Order_Month])),"m月")&amp;"発注)")</f>
        <v/>
      </c>
      <c r="E1025">
        <f>IF(SUMIFS(T_PlannedOrders[EffectiveQty],T_PlannedOrders[Part Name],$A1017,T_PlannedOrders[WeekIndex],2)=0,"",SUMIFS(T_PlannedOrders[EffectiveQty],T_PlannedOrders[Part Name],$A1017,T_PlannedOrders[WeekIndex],2)&amp;" ("&amp;TEXT(SUMPRODUCT(MAX((T_PlannedOrders[Part Name]=$A1017)*(T_PlannedOrders[WeekIndex]=2)*(T_PlannedOrders[EffectiveQty]&gt;0)*T_PlannedOrders[Order_Month])),"m月")&amp;"発注)")</f>
        <v/>
      </c>
      <c r="F1025">
        <f>IF(SUMIFS(T_PlannedOrders[EffectiveQty],T_PlannedOrders[Part Name],$A1017,T_PlannedOrders[WeekIndex],3)=0,"",SUMIFS(T_PlannedOrders[EffectiveQty],T_PlannedOrders[Part Name],$A1017,T_PlannedOrders[WeekIndex],3)&amp;" ("&amp;TEXT(SUMPRODUCT(MAX((T_PlannedOrders[Part Name]=$A1017)*(T_PlannedOrders[WeekIndex]=3)*(T_PlannedOrders[EffectiveQty]&gt;0)*T_PlannedOrders[Order_Month])),"m月")&amp;"発注)")</f>
        <v/>
      </c>
      <c r="G1025">
        <f>IF(SUMIFS(T_PlannedOrders[EffectiveQty],T_PlannedOrders[Part Name],$A1017,T_PlannedOrders[WeekIndex],4)=0,"",SUMIFS(T_PlannedOrders[EffectiveQty],T_PlannedOrders[Part Name],$A1017,T_PlannedOrders[WeekIndex],4)&amp;" ("&amp;TEXT(SUMPRODUCT(MAX((T_PlannedOrders[Part Name]=$A1017)*(T_PlannedOrders[WeekIndex]=4)*(T_PlannedOrders[EffectiveQty]&gt;0)*T_PlannedOrders[Order_Month])),"m月")&amp;"発注)")</f>
        <v/>
      </c>
      <c r="H1025">
        <f>IF(SUMIFS(T_PlannedOrders[EffectiveQty],T_PlannedOrders[Part Name],$A1017,T_PlannedOrders[WeekIndex],5)=0,"",SUMIFS(T_PlannedOrders[EffectiveQty],T_PlannedOrders[Part Name],$A1017,T_PlannedOrders[WeekIndex],5)&amp;" ("&amp;TEXT(SUMPRODUCT(MAX((T_PlannedOrders[Part Name]=$A1017)*(T_PlannedOrders[WeekIndex]=5)*(T_PlannedOrders[EffectiveQty]&gt;0)*T_PlannedOrders[Order_Month])),"m月")&amp;"発注)")</f>
        <v/>
      </c>
      <c r="I1025">
        <f>IF(SUMIFS(T_PlannedOrders[EffectiveQty],T_PlannedOrders[Part Name],$A1017,T_PlannedOrders[WeekIndex],6)=0,"",SUMIFS(T_PlannedOrders[EffectiveQty],T_PlannedOrders[Part Name],$A1017,T_PlannedOrders[WeekIndex],6)&amp;" ("&amp;TEXT(SUMPRODUCT(MAX((T_PlannedOrders[Part Name]=$A1017)*(T_PlannedOrders[WeekIndex]=6)*(T_PlannedOrders[EffectiveQty]&gt;0)*T_PlannedOrders[Order_Month])),"m月")&amp;"発注)")</f>
        <v/>
      </c>
      <c r="J1025">
        <f>IF(SUMIFS(T_PlannedOrders[EffectiveQty],T_PlannedOrders[Part Name],$A1017,T_PlannedOrders[WeekIndex],7)=0,"",SUMIFS(T_PlannedOrders[EffectiveQty],T_PlannedOrders[Part Name],$A1017,T_PlannedOrders[WeekIndex],7)&amp;" ("&amp;TEXT(SUMPRODUCT(MAX((T_PlannedOrders[Part Name]=$A1017)*(T_PlannedOrders[WeekIndex]=7)*(T_PlannedOrders[EffectiveQty]&gt;0)*T_PlannedOrders[Order_Month])),"m月")&amp;"発注)")</f>
        <v/>
      </c>
      <c r="K1025">
        <f>IF(SUMIFS(T_PlannedOrders[EffectiveQty],T_PlannedOrders[Part Name],$A1017,T_PlannedOrders[WeekIndex],8)=0,"",SUMIFS(T_PlannedOrders[EffectiveQty],T_PlannedOrders[Part Name],$A1017,T_PlannedOrders[WeekIndex],8)&amp;" ("&amp;TEXT(SUMPRODUCT(MAX((T_PlannedOrders[Part Name]=$A1017)*(T_PlannedOrders[WeekIndex]=8)*(T_PlannedOrders[EffectiveQty]&gt;0)*T_PlannedOrders[Order_Month])),"m月")&amp;"発注)")</f>
        <v/>
      </c>
      <c r="L1025">
        <f>IF(SUMIFS(T_PlannedOrders[EffectiveQty],T_PlannedOrders[Part Name],$A1017,T_PlannedOrders[WeekIndex],9)=0,"",SUMIFS(T_PlannedOrders[EffectiveQty],T_PlannedOrders[Part Name],$A1017,T_PlannedOrders[WeekIndex],9)&amp;" ("&amp;TEXT(SUMPRODUCT(MAX((T_PlannedOrders[Part Name]=$A1017)*(T_PlannedOrders[WeekIndex]=9)*(T_PlannedOrders[EffectiveQty]&gt;0)*T_PlannedOrders[Order_Month])),"m月")&amp;"発注)")</f>
        <v/>
      </c>
      <c r="M1025">
        <f>IF(SUMIFS(T_PlannedOrders[EffectiveQty],T_PlannedOrders[Part Name],$A1017,T_PlannedOrders[WeekIndex],10)=0,"",SUMIFS(T_PlannedOrders[EffectiveQty],T_PlannedOrders[Part Name],$A1017,T_PlannedOrders[WeekIndex],10)&amp;" ("&amp;TEXT(SUMPRODUCT(MAX((T_PlannedOrders[Part Name]=$A1017)*(T_PlannedOrders[WeekIndex]=10)*(T_PlannedOrders[EffectiveQty]&gt;0)*T_PlannedOrders[Order_Month])),"m月")&amp;"発注)")</f>
        <v/>
      </c>
      <c r="N1025">
        <f>IF(SUMIFS(T_PlannedOrders[EffectiveQty],T_PlannedOrders[Part Name],$A1017,T_PlannedOrders[WeekIndex],11)=0,"",SUMIFS(T_PlannedOrders[EffectiveQty],T_PlannedOrders[Part Name],$A1017,T_PlannedOrders[WeekIndex],11)&amp;" ("&amp;TEXT(SUMPRODUCT(MAX((T_PlannedOrders[Part Name]=$A1017)*(T_PlannedOrders[WeekIndex]=11)*(T_PlannedOrders[EffectiveQty]&gt;0)*T_PlannedOrders[Order_Month])),"m月")&amp;"発注)")</f>
        <v/>
      </c>
      <c r="O1025">
        <f>IF(SUMIFS(T_PlannedOrders[EffectiveQty],T_PlannedOrders[Part Name],$A1017,T_PlannedOrders[WeekIndex],12)=0,"",SUMIFS(T_PlannedOrders[EffectiveQty],T_PlannedOrders[Part Name],$A1017,T_PlannedOrders[WeekIndex],12)&amp;" ("&amp;TEXT(SUMPRODUCT(MAX((T_PlannedOrders[Part Name]=$A1017)*(T_PlannedOrders[WeekIndex]=12)*(T_PlannedOrders[EffectiveQty]&gt;0)*T_PlannedOrders[Order_Month])),"m月")&amp;"発注)")</f>
        <v/>
      </c>
      <c r="P1025">
        <f>IF(SUMIFS(T_PlannedOrders[EffectiveQty],T_PlannedOrders[Part Name],$A1017,T_PlannedOrders[WeekIndex],13)=0,"",SUMIFS(T_PlannedOrders[EffectiveQty],T_PlannedOrders[Part Name],$A1017,T_PlannedOrders[WeekIndex],13)&amp;" ("&amp;TEXT(SUMPRODUCT(MAX((T_PlannedOrders[Part Name]=$A1017)*(T_PlannedOrders[WeekIndex]=13)*(T_PlannedOrders[EffectiveQty]&gt;0)*T_PlannedOrders[Order_Month])),"m月")&amp;"発注)")</f>
        <v/>
      </c>
      <c r="Q1025">
        <f>IF(SUMIFS(T_PlannedOrders[EffectiveQty],T_PlannedOrders[Part Name],$A1017,T_PlannedOrders[WeekIndex],14)=0,"",SUMIFS(T_PlannedOrders[EffectiveQty],T_PlannedOrders[Part Name],$A1017,T_PlannedOrders[WeekIndex],14)&amp;" ("&amp;TEXT(SUMPRODUCT(MAX((T_PlannedOrders[Part Name]=$A1017)*(T_PlannedOrders[WeekIndex]=14)*(T_PlannedOrders[EffectiveQty]&gt;0)*T_PlannedOrders[Order_Month])),"m月")&amp;"発注)")</f>
        <v/>
      </c>
      <c r="R1025">
        <f>IF(SUMIFS(T_PlannedOrders[EffectiveQty],T_PlannedOrders[Part Name],$A1017,T_PlannedOrders[WeekIndex],15)=0,"",SUMIFS(T_PlannedOrders[EffectiveQty],T_PlannedOrders[Part Name],$A1017,T_PlannedOrders[WeekIndex],15)&amp;" ("&amp;TEXT(SUMPRODUCT(MAX((T_PlannedOrders[Part Name]=$A1017)*(T_PlannedOrders[WeekIndex]=15)*(T_PlannedOrders[EffectiveQty]&gt;0)*T_PlannedOrders[Order_Month])),"m月")&amp;"発注)")</f>
        <v/>
      </c>
      <c r="S1025">
        <f>IF(SUMIFS(T_PlannedOrders[EffectiveQty],T_PlannedOrders[Part Name],$A1017,T_PlannedOrders[WeekIndex],16)=0,"",SUMIFS(T_PlannedOrders[EffectiveQty],T_PlannedOrders[Part Name],$A1017,T_PlannedOrders[WeekIndex],16)&amp;" ("&amp;TEXT(SUMPRODUCT(MAX((T_PlannedOrders[Part Name]=$A1017)*(T_PlannedOrders[WeekIndex]=16)*(T_PlannedOrders[EffectiveQty]&gt;0)*T_PlannedOrders[Order_Month])),"m月")&amp;"発注)")</f>
        <v/>
      </c>
      <c r="T1025">
        <f>IF(SUMIFS(T_PlannedOrders[EffectiveQty],T_PlannedOrders[Part Name],$A1017,T_PlannedOrders[WeekIndex],17)=0,"",SUMIFS(T_PlannedOrders[EffectiveQty],T_PlannedOrders[Part Name],$A1017,T_PlannedOrders[WeekIndex],17)&amp;" ("&amp;TEXT(SUMPRODUCT(MAX((T_PlannedOrders[Part Name]=$A1017)*(T_PlannedOrders[WeekIndex]=17)*(T_PlannedOrders[EffectiveQty]&gt;0)*T_PlannedOrders[Order_Month])),"m月")&amp;"発注)")</f>
        <v/>
      </c>
      <c r="U1025">
        <f>IF(SUMIFS(T_PlannedOrders[EffectiveQty],T_PlannedOrders[Part Name],$A1017,T_PlannedOrders[WeekIndex],18)=0,"",SUMIFS(T_PlannedOrders[EffectiveQty],T_PlannedOrders[Part Name],$A1017,T_PlannedOrders[WeekIndex],18)&amp;" ("&amp;TEXT(SUMPRODUCT(MAX((T_PlannedOrders[Part Name]=$A1017)*(T_PlannedOrders[WeekIndex]=18)*(T_PlannedOrders[EffectiveQty]&gt;0)*T_PlannedOrders[Order_Month])),"m月")&amp;"発注)")</f>
        <v/>
      </c>
      <c r="V1025">
        <f>IF(SUMIFS(T_PlannedOrders[EffectiveQty],T_PlannedOrders[Part Name],$A1017,T_PlannedOrders[WeekIndex],19)=0,"",SUMIFS(T_PlannedOrders[EffectiveQty],T_PlannedOrders[Part Name],$A1017,T_PlannedOrders[WeekIndex],19)&amp;" ("&amp;TEXT(SUMPRODUCT(MAX((T_PlannedOrders[Part Name]=$A1017)*(T_PlannedOrders[WeekIndex]=19)*(T_PlannedOrders[EffectiveQty]&gt;0)*T_PlannedOrders[Order_Month])),"m月")&amp;"発注)")</f>
        <v/>
      </c>
      <c r="W1025">
        <f>IF(SUMIFS(T_PlannedOrders[EffectiveQty],T_PlannedOrders[Part Name],$A1017,T_PlannedOrders[WeekIndex],20)=0,"",SUMIFS(T_PlannedOrders[EffectiveQty],T_PlannedOrders[Part Name],$A1017,T_PlannedOrders[WeekIndex],20)&amp;" ("&amp;TEXT(SUMPRODUCT(MAX((T_PlannedOrders[Part Name]=$A1017)*(T_PlannedOrders[WeekIndex]=20)*(T_PlannedOrders[EffectiveQty]&gt;0)*T_PlannedOrders[Order_Month])),"m月")&amp;"発注)")</f>
        <v/>
      </c>
      <c r="X1025">
        <f>IF(SUMIFS(T_PlannedOrders[EffectiveQty],T_PlannedOrders[Part Name],$A1017,T_PlannedOrders[WeekIndex],21)=0,"",SUMIFS(T_PlannedOrders[EffectiveQty],T_PlannedOrders[Part Name],$A1017,T_PlannedOrders[WeekIndex],21)&amp;" ("&amp;TEXT(SUMPRODUCT(MAX((T_PlannedOrders[Part Name]=$A1017)*(T_PlannedOrders[WeekIndex]=21)*(T_PlannedOrders[EffectiveQty]&gt;0)*T_PlannedOrders[Order_Month])),"m月")&amp;"発注)")</f>
        <v/>
      </c>
      <c r="Y1025">
        <f>IF(SUMIFS(T_PlannedOrders[EffectiveQty],T_PlannedOrders[Part Name],$A1017,T_PlannedOrders[WeekIndex],22)=0,"",SUMIFS(T_PlannedOrders[EffectiveQty],T_PlannedOrders[Part Name],$A1017,T_PlannedOrders[WeekIndex],22)&amp;" ("&amp;TEXT(SUMPRODUCT(MAX((T_PlannedOrders[Part Name]=$A1017)*(T_PlannedOrders[WeekIndex]=22)*(T_PlannedOrders[EffectiveQty]&gt;0)*T_PlannedOrders[Order_Month])),"m月")&amp;"発注)")</f>
        <v/>
      </c>
      <c r="Z1025">
        <f>IF(SUMIFS(T_PlannedOrders[EffectiveQty],T_PlannedOrders[Part Name],$A1017,T_PlannedOrders[WeekIndex],23)=0,"",SUMIFS(T_PlannedOrders[EffectiveQty],T_PlannedOrders[Part Name],$A1017,T_PlannedOrders[WeekIndex],23)&amp;" ("&amp;TEXT(SUMPRODUCT(MAX((T_PlannedOrders[Part Name]=$A1017)*(T_PlannedOrders[WeekIndex]=23)*(T_PlannedOrders[EffectiveQty]&gt;0)*T_PlannedOrders[Order_Month])),"m月")&amp;"発注)")</f>
        <v/>
      </c>
      <c r="AA1025">
        <f>IF(SUMIFS(T_PlannedOrders[EffectiveQty],T_PlannedOrders[Part Name],$A1017,T_PlannedOrders[WeekIndex],24)=0,"",SUMIFS(T_PlannedOrders[EffectiveQty],T_PlannedOrders[Part Name],$A1017,T_PlannedOrders[WeekIndex],24)&amp;" ("&amp;TEXT(SUMPRODUCT(MAX((T_PlannedOrders[Part Name]=$A1017)*(T_PlannedOrders[WeekIndex]=24)*(T_PlannedOrders[EffectiveQty]&gt;0)*T_PlannedOrders[Order_Month])),"m月")&amp;"発注)")</f>
        <v/>
      </c>
      <c r="AB1025">
        <f>IF(SUMIFS(T_PlannedOrders[EffectiveQty],T_PlannedOrders[Part Name],$A1017,T_PlannedOrders[WeekIndex],25)=0,"",SUMIFS(T_PlannedOrders[EffectiveQty],T_PlannedOrders[Part Name],$A1017,T_PlannedOrders[WeekIndex],25)&amp;" ("&amp;TEXT(SUMPRODUCT(MAX((T_PlannedOrders[Part Name]=$A1017)*(T_PlannedOrders[WeekIndex]=25)*(T_PlannedOrders[EffectiveQty]&gt;0)*T_PlannedOrders[Order_Month])),"m月")&amp;"発注)")</f>
        <v/>
      </c>
      <c r="AC1025">
        <f>IF(SUMIFS(T_PlannedOrders[EffectiveQty],T_PlannedOrders[Part Name],$A1017,T_PlannedOrders[WeekIndex],26)=0,"",SUMIFS(T_PlannedOrders[EffectiveQty],T_PlannedOrders[Part Name],$A1017,T_PlannedOrders[WeekIndex],26)&amp;" ("&amp;TEXT(SUMPRODUCT(MAX((T_PlannedOrders[Part Name]=$A1017)*(T_PlannedOrders[WeekIndex]=26)*(T_PlannedOrders[EffectiveQty]&gt;0)*T_PlannedOrders[Order_Month])),"m月")&amp;"発注)")</f>
        <v/>
      </c>
      <c r="AD1025">
        <f>IF(SUMIFS(T_PlannedOrders[EffectiveQty],T_PlannedOrders[Part Name],$A1017,T_PlannedOrders[WeekIndex],27)=0,"",SUMIFS(T_PlannedOrders[EffectiveQty],T_PlannedOrders[Part Name],$A1017,T_PlannedOrders[WeekIndex],27)&amp;" ("&amp;TEXT(SUMPRODUCT(MAX((T_PlannedOrders[Part Name]=$A1017)*(T_PlannedOrders[WeekIndex]=27)*(T_PlannedOrders[EffectiveQty]&gt;0)*T_PlannedOrders[Order_Month])),"m月")&amp;"発注)")</f>
        <v/>
      </c>
      <c r="AE1025">
        <f>IF(SUMIFS(T_PlannedOrders[EffectiveQty],T_PlannedOrders[Part Name],$A1017,T_PlannedOrders[WeekIndex],28)=0,"",SUMIFS(T_PlannedOrders[EffectiveQty],T_PlannedOrders[Part Name],$A1017,T_PlannedOrders[WeekIndex],28)&amp;" ("&amp;TEXT(SUMPRODUCT(MAX((T_PlannedOrders[Part Name]=$A1017)*(T_PlannedOrders[WeekIndex]=28)*(T_PlannedOrders[EffectiveQty]&gt;0)*T_PlannedOrders[Order_Month])),"m月")&amp;"発注)")</f>
        <v/>
      </c>
      <c r="AF1025">
        <f>IF(SUMIFS(T_PlannedOrders[EffectiveQty],T_PlannedOrders[Part Name],$A1017,T_PlannedOrders[WeekIndex],29)=0,"",SUMIFS(T_PlannedOrders[EffectiveQty],T_PlannedOrders[Part Name],$A1017,T_PlannedOrders[WeekIndex],29)&amp;" ("&amp;TEXT(SUMPRODUCT(MAX((T_PlannedOrders[Part Name]=$A1017)*(T_PlannedOrders[WeekIndex]=29)*(T_PlannedOrders[EffectiveQty]&gt;0)*T_PlannedOrders[Order_Month])),"m月")&amp;"発注)")</f>
        <v/>
      </c>
      <c r="AG1025">
        <f>IF(SUMIFS(T_PlannedOrders[EffectiveQty],T_PlannedOrders[Part Name],$A1017,T_PlannedOrders[WeekIndex],30)=0,"",SUMIFS(T_PlannedOrders[EffectiveQty],T_PlannedOrders[Part Name],$A1017,T_PlannedOrders[WeekIndex],30)&amp;" ("&amp;TEXT(SUMPRODUCT(MAX((T_PlannedOrders[Part Name]=$A1017)*(T_PlannedOrders[WeekIndex]=30)*(T_PlannedOrders[EffectiveQty]&gt;0)*T_PlannedOrders[Order_Month])),"m月")&amp;"発注)")</f>
        <v/>
      </c>
      <c r="AH1025">
        <f>IF(SUMIFS(T_PlannedOrders[EffectiveQty],T_PlannedOrders[Part Name],$A1017,T_PlannedOrders[WeekIndex],31)=0,"",SUMIFS(T_PlannedOrders[EffectiveQty],T_PlannedOrders[Part Name],$A1017,T_PlannedOrders[WeekIndex],31)&amp;" ("&amp;TEXT(SUMPRODUCT(MAX((T_PlannedOrders[Part Name]=$A1017)*(T_PlannedOrders[WeekIndex]=31)*(T_PlannedOrders[EffectiveQty]&gt;0)*T_PlannedOrders[Order_Month])),"m月")&amp;"発注)")</f>
        <v/>
      </c>
      <c r="AI1025">
        <f>IF(SUMIFS(T_PlannedOrders[EffectiveQty],T_PlannedOrders[Part Name],$A1017,T_PlannedOrders[WeekIndex],32)=0,"",SUMIFS(T_PlannedOrders[EffectiveQty],T_PlannedOrders[Part Name],$A1017,T_PlannedOrders[WeekIndex],32)&amp;" ("&amp;TEXT(SUMPRODUCT(MAX((T_PlannedOrders[Part Name]=$A1017)*(T_PlannedOrders[WeekIndex]=32)*(T_PlannedOrders[EffectiveQty]&gt;0)*T_PlannedOrders[Order_Month])),"m月")&amp;"発注)")</f>
        <v/>
      </c>
      <c r="AJ1025">
        <f>IF(SUMIFS(T_PlannedOrders[EffectiveQty],T_PlannedOrders[Part Name],$A1017,T_PlannedOrders[WeekIndex],33)=0,"",SUMIFS(T_PlannedOrders[EffectiveQty],T_PlannedOrders[Part Name],$A1017,T_PlannedOrders[WeekIndex],33)&amp;" ("&amp;TEXT(SUMPRODUCT(MAX((T_PlannedOrders[Part Name]=$A1017)*(T_PlannedOrders[WeekIndex]=33)*(T_PlannedOrders[EffectiveQty]&gt;0)*T_PlannedOrders[Order_Month])),"m月")&amp;"発注)")</f>
        <v/>
      </c>
      <c r="AK1025">
        <f>IF(SUMIFS(T_PlannedOrders[EffectiveQty],T_PlannedOrders[Part Name],$A1017,T_PlannedOrders[WeekIndex],34)=0,"",SUMIFS(T_PlannedOrders[EffectiveQty],T_PlannedOrders[Part Name],$A1017,T_PlannedOrders[WeekIndex],34)&amp;" ("&amp;TEXT(SUMPRODUCT(MAX((T_PlannedOrders[Part Name]=$A1017)*(T_PlannedOrders[WeekIndex]=34)*(T_PlannedOrders[EffectiveQty]&gt;0)*T_PlannedOrders[Order_Month])),"m月")&amp;"発注)")</f>
        <v/>
      </c>
      <c r="AL1025">
        <f>IF(SUMIFS(T_PlannedOrders[EffectiveQty],T_PlannedOrders[Part Name],$A1017,T_PlannedOrders[WeekIndex],35)=0,"",SUMIFS(T_PlannedOrders[EffectiveQty],T_PlannedOrders[Part Name],$A1017,T_PlannedOrders[WeekIndex],35)&amp;" ("&amp;TEXT(SUMPRODUCT(MAX((T_PlannedOrders[Part Name]=$A1017)*(T_PlannedOrders[WeekIndex]=35)*(T_PlannedOrders[EffectiveQty]&gt;0)*T_PlannedOrders[Order_Month])),"m月")&amp;"発注)")</f>
        <v/>
      </c>
      <c r="AM1025">
        <f>IF(SUMIFS(T_PlannedOrders[EffectiveQty],T_PlannedOrders[Part Name],$A1017,T_PlannedOrders[WeekIndex],36)=0,"",SUMIFS(T_PlannedOrders[EffectiveQty],T_PlannedOrders[Part Name],$A1017,T_PlannedOrders[WeekIndex],36)&amp;" ("&amp;TEXT(SUMPRODUCT(MAX((T_PlannedOrders[Part Name]=$A1017)*(T_PlannedOrders[WeekIndex]=36)*(T_PlannedOrders[EffectiveQty]&gt;0)*T_PlannedOrders[Order_Month])),"m月")&amp;"発注)")</f>
        <v/>
      </c>
      <c r="AN1025">
        <f>IF(SUMIFS(T_PlannedOrders[EffectiveQty],T_PlannedOrders[Part Name],$A1017,T_PlannedOrders[WeekIndex],37)=0,"",SUMIFS(T_PlannedOrders[EffectiveQty],T_PlannedOrders[Part Name],$A1017,T_PlannedOrders[WeekIndex],37)&amp;" ("&amp;TEXT(SUMPRODUCT(MAX((T_PlannedOrders[Part Name]=$A1017)*(T_PlannedOrders[WeekIndex]=37)*(T_PlannedOrders[EffectiveQty]&gt;0)*T_PlannedOrders[Order_Month])),"m月")&amp;"発注)")</f>
        <v/>
      </c>
      <c r="AO1025">
        <f>IF(SUMIFS(T_PlannedOrders[EffectiveQty],T_PlannedOrders[Part Name],$A1017,T_PlannedOrders[WeekIndex],38)=0,"",SUMIFS(T_PlannedOrders[EffectiveQty],T_PlannedOrders[Part Name],$A1017,T_PlannedOrders[WeekIndex],38)&amp;" ("&amp;TEXT(SUMPRODUCT(MAX((T_PlannedOrders[Part Name]=$A1017)*(T_PlannedOrders[WeekIndex]=38)*(T_PlannedOrders[EffectiveQty]&gt;0)*T_PlannedOrders[Order_Month])),"m月")&amp;"発注)")</f>
        <v/>
      </c>
      <c r="AP1025">
        <f>IF(SUMIFS(T_PlannedOrders[EffectiveQty],T_PlannedOrders[Part Name],$A1017,T_PlannedOrders[WeekIndex],39)=0,"",SUMIFS(T_PlannedOrders[EffectiveQty],T_PlannedOrders[Part Name],$A1017,T_PlannedOrders[WeekIndex],39)&amp;" ("&amp;TEXT(SUMPRODUCT(MAX((T_PlannedOrders[Part Name]=$A1017)*(T_PlannedOrders[WeekIndex]=39)*(T_PlannedOrders[EffectiveQty]&gt;0)*T_PlannedOrders[Order_Month])),"m月")&amp;"発注)")</f>
        <v/>
      </c>
      <c r="AQ1025">
        <f>IF(SUMIFS(T_PlannedOrders[EffectiveQty],T_PlannedOrders[Part Name],$A1017,T_PlannedOrders[WeekIndex],40)=0,"",SUMIFS(T_PlannedOrders[EffectiveQty],T_PlannedOrders[Part Name],$A1017,T_PlannedOrders[WeekIndex],40)&amp;" ("&amp;TEXT(SUMPRODUCT(MAX((T_PlannedOrders[Part Name]=$A1017)*(T_PlannedOrders[WeekIndex]=40)*(T_PlannedOrders[EffectiveQty]&gt;0)*T_PlannedOrders[Order_Month])),"m月")&amp;"発注)")</f>
        <v/>
      </c>
      <c r="AR1025">
        <f>IF(SUMIFS(T_PlannedOrders[EffectiveQty],T_PlannedOrders[Part Name],$A1017,T_PlannedOrders[WeekIndex],41)=0,"",SUMIFS(T_PlannedOrders[EffectiveQty],T_PlannedOrders[Part Name],$A1017,T_PlannedOrders[WeekIndex],41)&amp;" ("&amp;TEXT(SUMPRODUCT(MAX((T_PlannedOrders[Part Name]=$A1017)*(T_PlannedOrders[WeekIndex]=41)*(T_PlannedOrders[EffectiveQty]&gt;0)*T_PlannedOrders[Order_Month])),"m月")&amp;"発注)")</f>
        <v/>
      </c>
      <c r="AS1025">
        <f>IF(SUMIFS(T_PlannedOrders[EffectiveQty],T_PlannedOrders[Part Name],$A1017,T_PlannedOrders[WeekIndex],42)=0,"",SUMIFS(T_PlannedOrders[EffectiveQty],T_PlannedOrders[Part Name],$A1017,T_PlannedOrders[WeekIndex],42)&amp;" ("&amp;TEXT(SUMPRODUCT(MAX((T_PlannedOrders[Part Name]=$A1017)*(T_PlannedOrders[WeekIndex]=42)*(T_PlannedOrders[EffectiveQty]&gt;0)*T_PlannedOrders[Order_Month])),"m月")&amp;"発注)")</f>
        <v/>
      </c>
      <c r="AT1025">
        <f>IF(SUMIFS(T_PlannedOrders[EffectiveQty],T_PlannedOrders[Part Name],$A1017,T_PlannedOrders[WeekIndex],43)=0,"",SUMIFS(T_PlannedOrders[EffectiveQty],T_PlannedOrders[Part Name],$A1017,T_PlannedOrders[WeekIndex],43)&amp;" ("&amp;TEXT(SUMPRODUCT(MAX((T_PlannedOrders[Part Name]=$A1017)*(T_PlannedOrders[WeekIndex]=43)*(T_PlannedOrders[EffectiveQty]&gt;0)*T_PlannedOrders[Order_Month])),"m月")&amp;"発注)")</f>
        <v/>
      </c>
      <c r="AU1025">
        <f>IF(SUMIFS(T_PlannedOrders[EffectiveQty],T_PlannedOrders[Part Name],$A1017,T_PlannedOrders[WeekIndex],44)=0,"",SUMIFS(T_PlannedOrders[EffectiveQty],T_PlannedOrders[Part Name],$A1017,T_PlannedOrders[WeekIndex],44)&amp;" ("&amp;TEXT(SUMPRODUCT(MAX((T_PlannedOrders[Part Name]=$A1017)*(T_PlannedOrders[WeekIndex]=44)*(T_PlannedOrders[EffectiveQty]&gt;0)*T_PlannedOrders[Order_Month])),"m月")&amp;"発注)")</f>
        <v/>
      </c>
      <c r="AV1025">
        <f>IF(SUMIFS(T_PlannedOrders[EffectiveQty],T_PlannedOrders[Part Name],$A1017,T_PlannedOrders[WeekIndex],45)=0,"",SUMIFS(T_PlannedOrders[EffectiveQty],T_PlannedOrders[Part Name],$A1017,T_PlannedOrders[WeekIndex],45)&amp;" ("&amp;TEXT(SUMPRODUCT(MAX((T_PlannedOrders[Part Name]=$A1017)*(T_PlannedOrders[WeekIndex]=45)*(T_PlannedOrders[EffectiveQty]&gt;0)*T_PlannedOrders[Order_Month])),"m月")&amp;"発注)")</f>
        <v/>
      </c>
      <c r="AW1025">
        <f>IF(SUMIFS(T_PlannedOrders[EffectiveQty],T_PlannedOrders[Part Name],$A1017,T_PlannedOrders[WeekIndex],46)=0,"",SUMIFS(T_PlannedOrders[EffectiveQty],T_PlannedOrders[Part Name],$A1017,T_PlannedOrders[WeekIndex],46)&amp;" ("&amp;TEXT(SUMPRODUCT(MAX((T_PlannedOrders[Part Name]=$A1017)*(T_PlannedOrders[WeekIndex]=46)*(T_PlannedOrders[EffectiveQty]&gt;0)*T_PlannedOrders[Order_Month])),"m月")&amp;"発注)")</f>
        <v/>
      </c>
      <c r="AX1025">
        <f>IF(SUMIFS(T_PlannedOrders[EffectiveQty],T_PlannedOrders[Part Name],$A1017,T_PlannedOrders[WeekIndex],47)=0,"",SUMIFS(T_PlannedOrders[EffectiveQty],T_PlannedOrders[Part Name],$A1017,T_PlannedOrders[WeekIndex],47)&amp;" ("&amp;TEXT(SUMPRODUCT(MAX((T_PlannedOrders[Part Name]=$A1017)*(T_PlannedOrders[WeekIndex]=47)*(T_PlannedOrders[EffectiveQty]&gt;0)*T_PlannedOrders[Order_Month])),"m月")&amp;"発注)")</f>
        <v/>
      </c>
      <c r="AY1025">
        <f>IF(SUMIFS(T_PlannedOrders[EffectiveQty],T_PlannedOrders[Part Name],$A1017,T_PlannedOrders[WeekIndex],48)=0,"",SUMIFS(T_PlannedOrders[EffectiveQty],T_PlannedOrders[Part Name],$A1017,T_PlannedOrders[WeekIndex],48)&amp;" ("&amp;TEXT(SUMPRODUCT(MAX((T_PlannedOrders[Part Name]=$A1017)*(T_PlannedOrders[WeekIndex]=48)*(T_PlannedOrders[EffectiveQty]&gt;0)*T_PlannedOrders[Order_Month])),"m月")&amp;"発注)")</f>
        <v/>
      </c>
      <c r="AZ1025">
        <f>IF(SUMIFS(T_PlannedOrders[EffectiveQty],T_PlannedOrders[Part Name],$A1017,T_PlannedOrders[WeekIndex],49)=0,"",SUMIFS(T_PlannedOrders[EffectiveQty],T_PlannedOrders[Part Name],$A1017,T_PlannedOrders[WeekIndex],49)&amp;" ("&amp;TEXT(SUMPRODUCT(MAX((T_PlannedOrders[Part Name]=$A1017)*(T_PlannedOrders[WeekIndex]=49)*(T_PlannedOrders[EffectiveQty]&gt;0)*T_PlannedOrders[Order_Month])),"m月")&amp;"発注)")</f>
        <v/>
      </c>
      <c r="BA1025">
        <f>IF(SUMIFS(T_PlannedOrders[EffectiveQty],T_PlannedOrders[Part Name],$A1017,T_PlannedOrders[WeekIndex],50)=0,"",SUMIFS(T_PlannedOrders[EffectiveQty],T_PlannedOrders[Part Name],$A1017,T_PlannedOrders[WeekIndex],50)&amp;" ("&amp;TEXT(SUMPRODUCT(MAX((T_PlannedOrders[Part Name]=$A1017)*(T_PlannedOrders[WeekIndex]=50)*(T_PlannedOrders[EffectiveQty]&gt;0)*T_PlannedOrders[Order_Month])),"m月")&amp;"発注)")</f>
        <v/>
      </c>
      <c r="BB1025">
        <f>IF(SUMIFS(T_PlannedOrders[EffectiveQty],T_PlannedOrders[Part Name],$A1017,T_PlannedOrders[WeekIndex],51)=0,"",SUMIFS(T_PlannedOrders[EffectiveQty],T_PlannedOrders[Part Name],$A1017,T_PlannedOrders[WeekIndex],51)&amp;" ("&amp;TEXT(SUMPRODUCT(MAX((T_PlannedOrders[Part Name]=$A1017)*(T_PlannedOrders[WeekIndex]=51)*(T_PlannedOrders[EffectiveQty]&gt;0)*T_PlannedOrders[Order_Month])),"m月")&amp;"発注)")</f>
        <v/>
      </c>
      <c r="BC1025">
        <f>IF(SUMIFS(T_PlannedOrders[EffectiveQty],T_PlannedOrders[Part Name],$A1017,T_PlannedOrders[WeekIndex],52)=0,"",SUMIFS(T_PlannedOrders[EffectiveQty],T_PlannedOrders[Part Name],$A1017,T_PlannedOrders[WeekIndex],52)&amp;" ("&amp;TEXT(SUMPRODUCT(MAX((T_PlannedOrders[Part Name]=$A1017)*(T_PlannedOrders[WeekIndex]=52)*(T_PlannedOrders[EffectiveQty]&gt;0)*T_PlannedOrders[Order_Month])),"m月")&amp;"発注)")</f>
        <v/>
      </c>
      <c r="BD1025">
        <f>IF(SUMIFS(T_PlannedOrders[EffectiveQty],T_PlannedOrders[Part Name],$A1017,T_PlannedOrders[WeekIndex],53)=0,"",SUMIFS(T_PlannedOrders[EffectiveQty],T_PlannedOrders[Part Name],$A1017,T_PlannedOrders[WeekIndex],53)&amp;" ("&amp;TEXT(SUMPRODUCT(MAX((T_PlannedOrders[Part Name]=$A1017)*(T_PlannedOrders[WeekIndex]=53)*(T_PlannedOrders[EffectiveQty]&gt;0)*T_PlannedOrders[Order_Month])),"m月")&amp;"発注)")</f>
        <v/>
      </c>
      <c r="BE1025">
        <f>IF(SUMIFS(T_PlannedOrders[EffectiveQty],T_PlannedOrders[Part Name],$A1017,T_PlannedOrders[WeekIndex],54)=0,"",SUMIFS(T_PlannedOrders[EffectiveQty],T_PlannedOrders[Part Name],$A1017,T_PlannedOrders[WeekIndex],54)&amp;" ("&amp;TEXT(SUMPRODUCT(MAX((T_PlannedOrders[Part Name]=$A1017)*(T_PlannedOrders[WeekIndex]=54)*(T_PlannedOrders[EffectiveQty]&gt;0)*T_PlannedOrders[Order_Month])),"m月")&amp;"発注)")</f>
        <v/>
      </c>
      <c r="BF1025">
        <f>IF(SUMIFS(T_PlannedOrders[EffectiveQty],T_PlannedOrders[Part Name],$A1017,T_PlannedOrders[WeekIndex],55)=0,"",SUMIFS(T_PlannedOrders[EffectiveQty],T_PlannedOrders[Part Name],$A1017,T_PlannedOrders[WeekIndex],55)&amp;" ("&amp;TEXT(SUMPRODUCT(MAX((T_PlannedOrders[Part Name]=$A1017)*(T_PlannedOrders[WeekIndex]=55)*(T_PlannedOrders[EffectiveQty]&gt;0)*T_PlannedOrders[Order_Month])),"m月")&amp;"発注)")</f>
        <v/>
      </c>
      <c r="BG1025">
        <f>IF(SUMIFS(T_PlannedOrders[EffectiveQty],T_PlannedOrders[Part Name],$A1017,T_PlannedOrders[WeekIndex],56)=0,"",SUMIFS(T_PlannedOrders[EffectiveQty],T_PlannedOrders[Part Name],$A1017,T_PlannedOrders[WeekIndex],56)&amp;" ("&amp;TEXT(SUMPRODUCT(MAX((T_PlannedOrders[Part Name]=$A1017)*(T_PlannedOrders[WeekIndex]=56)*(T_PlannedOrders[EffectiveQty]&gt;0)*T_PlannedOrders[Order_Month])),"m月")&amp;"発注)")</f>
        <v/>
      </c>
      <c r="BH1025">
        <f>IF(SUMIFS(T_PlannedOrders[EffectiveQty],T_PlannedOrders[Part Name],$A1017,T_PlannedOrders[WeekIndex],57)=0,"",SUMIFS(T_PlannedOrders[EffectiveQty],T_PlannedOrders[Part Name],$A1017,T_PlannedOrders[WeekIndex],57)&amp;" ("&amp;TEXT(SUMPRODUCT(MAX((T_PlannedOrders[Part Name]=$A1017)*(T_PlannedOrders[WeekIndex]=57)*(T_PlannedOrders[EffectiveQty]&gt;0)*T_PlannedOrders[Order_Month])),"m月")&amp;"発注)")</f>
        <v/>
      </c>
      <c r="BI1025">
        <f>IF(SUMIFS(T_PlannedOrders[EffectiveQty],T_PlannedOrders[Part Name],$A1017,T_PlannedOrders[WeekIndex],58)=0,"",SUMIFS(T_PlannedOrders[EffectiveQty],T_PlannedOrders[Part Name],$A1017,T_PlannedOrders[WeekIndex],58)&amp;" ("&amp;TEXT(SUMPRODUCT(MAX((T_PlannedOrders[Part Name]=$A1017)*(T_PlannedOrders[WeekIndex]=58)*(T_PlannedOrders[EffectiveQty]&gt;0)*T_PlannedOrders[Order_Month])),"m月")&amp;"発注)")</f>
        <v/>
      </c>
      <c r="BJ1025">
        <f>IF(SUMIFS(T_PlannedOrders[EffectiveQty],T_PlannedOrders[Part Name],$A1017,T_PlannedOrders[WeekIndex],59)=0,"",SUMIFS(T_PlannedOrders[EffectiveQty],T_PlannedOrders[Part Name],$A1017,T_PlannedOrders[WeekIndex],59)&amp;" ("&amp;TEXT(SUMPRODUCT(MAX((T_PlannedOrders[Part Name]=$A1017)*(T_PlannedOrders[WeekIndex]=59)*(T_PlannedOrders[EffectiveQty]&gt;0)*T_PlannedOrders[Order_Month])),"m月")&amp;"発注)")</f>
        <v/>
      </c>
      <c r="BK1025">
        <f>IF(SUMIFS(T_PlannedOrders[EffectiveQty],T_PlannedOrders[Part Name],$A1017,T_PlannedOrders[WeekIndex],60)=0,"",SUMIFS(T_PlannedOrders[EffectiveQty],T_PlannedOrders[Part Name],$A1017,T_PlannedOrders[WeekIndex],60)&amp;" ("&amp;TEXT(SUMPRODUCT(MAX((T_PlannedOrders[Part Name]=$A1017)*(T_PlannedOrders[WeekIndex]=60)*(T_PlannedOrders[EffectiveQty]&gt;0)*T_PlannedOrders[Order_Month])),"m月")&amp;"発注)")</f>
        <v/>
      </c>
      <c r="BL1025">
        <f>IF(SUMIFS(T_PlannedOrders[EffectiveQty],T_PlannedOrders[Part Name],$A1017,T_PlannedOrders[WeekIndex],61)=0,"",SUMIFS(T_PlannedOrders[EffectiveQty],T_PlannedOrders[Part Name],$A1017,T_PlannedOrders[WeekIndex],61)&amp;" ("&amp;TEXT(SUMPRODUCT(MAX((T_PlannedOrders[Part Name]=$A1017)*(T_PlannedOrders[WeekIndex]=61)*(T_PlannedOrders[EffectiveQty]&gt;0)*T_PlannedOrders[Order_Month])),"m月")&amp;"発注)")</f>
        <v/>
      </c>
      <c r="BM1025">
        <f>IF(SUMIFS(T_PlannedOrders[EffectiveQty],T_PlannedOrders[Part Name],$A1017,T_PlannedOrders[WeekIndex],62)=0,"",SUMIFS(T_PlannedOrders[EffectiveQty],T_PlannedOrders[Part Name],$A1017,T_PlannedOrders[WeekIndex],62)&amp;" ("&amp;TEXT(SUMPRODUCT(MAX((T_PlannedOrders[Part Name]=$A1017)*(T_PlannedOrders[WeekIndex]=62)*(T_PlannedOrders[EffectiveQty]&gt;0)*T_PlannedOrders[Order_Month])),"m月")&amp;"発注)")</f>
        <v/>
      </c>
      <c r="BN1025">
        <f>IF(SUMIFS(T_PlannedOrders[EffectiveQty],T_PlannedOrders[Part Name],$A1017,T_PlannedOrders[WeekIndex],63)=0,"",SUMIFS(T_PlannedOrders[EffectiveQty],T_PlannedOrders[Part Name],$A1017,T_PlannedOrders[WeekIndex],63)&amp;" ("&amp;TEXT(SUMPRODUCT(MAX((T_PlannedOrders[Part Name]=$A1017)*(T_PlannedOrders[WeekIndex]=63)*(T_PlannedOrders[EffectiveQty]&gt;0)*T_PlannedOrders[Order_Month])),"m月")&amp;"発注)")</f>
        <v/>
      </c>
      <c r="BO1025">
        <f>IF(SUMIFS(T_PlannedOrders[EffectiveQty],T_PlannedOrders[Part Name],$A1017,T_PlannedOrders[WeekIndex],64)=0,"",SUMIFS(T_PlannedOrders[EffectiveQty],T_PlannedOrders[Part Name],$A1017,T_PlannedOrders[WeekIndex],64)&amp;" ("&amp;TEXT(SUMPRODUCT(MAX((T_PlannedOrders[Part Name]=$A1017)*(T_PlannedOrders[WeekIndex]=64)*(T_PlannedOrders[EffectiveQty]&gt;0)*T_PlannedOrders[Order_Month])),"m月")&amp;"発注)")</f>
        <v/>
      </c>
      <c r="BP1025">
        <f>IF(SUMIFS(T_PlannedOrders[EffectiveQty],T_PlannedOrders[Part Name],$A1017,T_PlannedOrders[WeekIndex],65)=0,"",SUMIFS(T_PlannedOrders[EffectiveQty],T_PlannedOrders[Part Name],$A1017,T_PlannedOrders[WeekIndex],65)&amp;" ("&amp;TEXT(SUMPRODUCT(MAX((T_PlannedOrders[Part Name]=$A1017)*(T_PlannedOrders[WeekIndex]=65)*(T_PlannedOrders[EffectiveQty]&gt;0)*T_PlannedOrders[Order_Month])),"m月")&amp;"発注)")</f>
        <v/>
      </c>
      <c r="BQ1025">
        <f>IF(SUMIFS(T_PlannedOrders[EffectiveQty],T_PlannedOrders[Part Name],$A1017,T_PlannedOrders[WeekIndex],66)=0,"",SUMIFS(T_PlannedOrders[EffectiveQty],T_PlannedOrders[Part Name],$A1017,T_PlannedOrders[WeekIndex],66)&amp;" ("&amp;TEXT(SUMPRODUCT(MAX((T_PlannedOrders[Part Name]=$A1017)*(T_PlannedOrders[WeekIndex]=66)*(T_PlannedOrders[EffectiveQty]&gt;0)*T_PlannedOrders[Order_Month])),"m月")&amp;"発注)")</f>
        <v/>
      </c>
      <c r="BR1025">
        <f>IF(SUMIFS(T_PlannedOrders[EffectiveQty],T_PlannedOrders[Part Name],$A1017,T_PlannedOrders[WeekIndex],67)=0,"",SUMIFS(T_PlannedOrders[EffectiveQty],T_PlannedOrders[Part Name],$A1017,T_PlannedOrders[WeekIndex],67)&amp;" ("&amp;TEXT(SUMPRODUCT(MAX((T_PlannedOrders[Part Name]=$A1017)*(T_PlannedOrders[WeekIndex]=67)*(T_PlannedOrders[EffectiveQty]&gt;0)*T_PlannedOrders[Order_Month])),"m月")&amp;"発注)")</f>
        <v/>
      </c>
      <c r="BS1025">
        <f>IF(SUMIFS(T_PlannedOrders[EffectiveQty],T_PlannedOrders[Part Name],$A1017,T_PlannedOrders[WeekIndex],68)=0,"",SUMIFS(T_PlannedOrders[EffectiveQty],T_PlannedOrders[Part Name],$A1017,T_PlannedOrders[WeekIndex],68)&amp;" ("&amp;TEXT(SUMPRODUCT(MAX((T_PlannedOrders[Part Name]=$A1017)*(T_PlannedOrders[WeekIndex]=68)*(T_PlannedOrders[EffectiveQty]&gt;0)*T_PlannedOrders[Order_Month])),"m月")&amp;"発注)")</f>
        <v/>
      </c>
      <c r="BT1025">
        <f>IF(SUMIFS(T_PlannedOrders[EffectiveQty],T_PlannedOrders[Part Name],$A1017,T_PlannedOrders[WeekIndex],69)=0,"",SUMIFS(T_PlannedOrders[EffectiveQty],T_PlannedOrders[Part Name],$A1017,T_PlannedOrders[WeekIndex],69)&amp;" ("&amp;TEXT(SUMPRODUCT(MAX((T_PlannedOrders[Part Name]=$A1017)*(T_PlannedOrders[WeekIndex]=69)*(T_PlannedOrders[EffectiveQty]&gt;0)*T_PlannedOrders[Order_Month])),"m月")&amp;"発注)")</f>
        <v/>
      </c>
      <c r="BU1025">
        <f>IF(SUMIFS(T_PlannedOrders[EffectiveQty],T_PlannedOrders[Part Name],$A1017,T_PlannedOrders[WeekIndex],70)=0,"",SUMIFS(T_PlannedOrders[EffectiveQty],T_PlannedOrders[Part Name],$A1017,T_PlannedOrders[WeekIndex],70)&amp;" ("&amp;TEXT(SUMPRODUCT(MAX((T_PlannedOrders[Part Name]=$A1017)*(T_PlannedOrders[WeekIndex]=70)*(T_PlannedOrders[EffectiveQty]&gt;0)*T_PlannedOrders[Order_Month])),"m月")&amp;"発注)")</f>
        <v/>
      </c>
      <c r="BV1025">
        <f>IF(SUMIFS(T_PlannedOrders[EffectiveQty],T_PlannedOrders[Part Name],$A1017,T_PlannedOrders[WeekIndex],71)=0,"",SUMIFS(T_PlannedOrders[EffectiveQty],T_PlannedOrders[Part Name],$A1017,T_PlannedOrders[WeekIndex],71)&amp;" ("&amp;TEXT(SUMPRODUCT(MAX((T_PlannedOrders[Part Name]=$A1017)*(T_PlannedOrders[WeekIndex]=71)*(T_PlannedOrders[EffectiveQty]&gt;0)*T_PlannedOrders[Order_Month])),"m月")&amp;"発注)")</f>
        <v/>
      </c>
      <c r="BW1025">
        <f>IF(SUMIFS(T_PlannedOrders[EffectiveQty],T_PlannedOrders[Part Name],$A1017,T_PlannedOrders[WeekIndex],72)=0,"",SUMIFS(T_PlannedOrders[EffectiveQty],T_PlannedOrders[Part Name],$A1017,T_PlannedOrders[WeekIndex],72)&amp;" ("&amp;TEXT(SUMPRODUCT(MAX((T_PlannedOrders[Part Name]=$A1017)*(T_PlannedOrders[WeekIndex]=72)*(T_PlannedOrders[EffectiveQty]&gt;0)*T_PlannedOrders[Order_Month])),"m月")&amp;"発注)")</f>
        <v/>
      </c>
      <c r="BX1025">
        <f>IF(SUMIFS(T_PlannedOrders[EffectiveQty],T_PlannedOrders[Part Name],$A1017,T_PlannedOrders[WeekIndex],73)=0,"",SUMIFS(T_PlannedOrders[EffectiveQty],T_PlannedOrders[Part Name],$A1017,T_PlannedOrders[WeekIndex],73)&amp;" ("&amp;TEXT(SUMPRODUCT(MAX((T_PlannedOrders[Part Name]=$A1017)*(T_PlannedOrders[WeekIndex]=73)*(T_PlannedOrders[EffectiveQty]&gt;0)*T_PlannedOrders[Order_Month])),"m月")&amp;"発注)")</f>
        <v/>
      </c>
      <c r="BY1025">
        <f>IF(SUMIFS(T_PlannedOrders[EffectiveQty],T_PlannedOrders[Part Name],$A1017,T_PlannedOrders[WeekIndex],74)=0,"",SUMIFS(T_PlannedOrders[EffectiveQty],T_PlannedOrders[Part Name],$A1017,T_PlannedOrders[WeekIndex],74)&amp;" ("&amp;TEXT(SUMPRODUCT(MAX((T_PlannedOrders[Part Name]=$A1017)*(T_PlannedOrders[WeekIndex]=74)*(T_PlannedOrders[EffectiveQty]&gt;0)*T_PlannedOrders[Order_Month])),"m月")&amp;"発注)")</f>
        <v/>
      </c>
      <c r="BZ1025">
        <f>IF(SUMIFS(T_PlannedOrders[EffectiveQty],T_PlannedOrders[Part Name],$A1017,T_PlannedOrders[WeekIndex],75)=0,"",SUMIFS(T_PlannedOrders[EffectiveQty],T_PlannedOrders[Part Name],$A1017,T_PlannedOrders[WeekIndex],75)&amp;" ("&amp;TEXT(SUMPRODUCT(MAX((T_PlannedOrders[Part Name]=$A1017)*(T_PlannedOrders[WeekIndex]=75)*(T_PlannedOrders[EffectiveQty]&gt;0)*T_PlannedOrders[Order_Month])),"m月")&amp;"発注)")</f>
        <v/>
      </c>
      <c r="CA1025">
        <f>IF(SUMIFS(T_PlannedOrders[EffectiveQty],T_PlannedOrders[Part Name],$A1017,T_PlannedOrders[WeekIndex],76)=0,"",SUMIFS(T_PlannedOrders[EffectiveQty],T_PlannedOrders[Part Name],$A1017,T_PlannedOrders[WeekIndex],76)&amp;" ("&amp;TEXT(SUMPRODUCT(MAX((T_PlannedOrders[Part Name]=$A1017)*(T_PlannedOrders[WeekIndex]=76)*(T_PlannedOrders[EffectiveQty]&gt;0)*T_PlannedOrders[Order_Month])),"m月")&amp;"発注)")</f>
        <v/>
      </c>
      <c r="CB1025">
        <f>IF(SUMIFS(T_PlannedOrders[EffectiveQty],T_PlannedOrders[Part Name],$A1017,T_PlannedOrders[WeekIndex],77)=0,"",SUMIFS(T_PlannedOrders[EffectiveQty],T_PlannedOrders[Part Name],$A1017,T_PlannedOrders[WeekIndex],77)&amp;" ("&amp;TEXT(SUMPRODUCT(MAX((T_PlannedOrders[Part Name]=$A1017)*(T_PlannedOrders[WeekIndex]=77)*(T_PlannedOrders[EffectiveQty]&gt;0)*T_PlannedOrders[Order_Month])),"m月")&amp;"発注)")</f>
        <v/>
      </c>
      <c r="CC1025">
        <f>IF(SUMIFS(T_PlannedOrders[EffectiveQty],T_PlannedOrders[Part Name],$A1017,T_PlannedOrders[WeekIndex],78)=0,"",SUMIFS(T_PlannedOrders[EffectiveQty],T_PlannedOrders[Part Name],$A1017,T_PlannedOrders[WeekIndex],78)&amp;" ("&amp;TEXT(SUMPRODUCT(MAX((T_PlannedOrders[Part Name]=$A1017)*(T_PlannedOrders[WeekIndex]=78)*(T_PlannedOrders[EffectiveQty]&gt;0)*T_PlannedOrders[Order_Month])),"m月")&amp;"発注)")</f>
        <v/>
      </c>
      <c r="CD1025">
        <f>IF(SUMIFS(T_PlannedOrders[EffectiveQty],T_PlannedOrders[Part Name],$A1017,T_PlannedOrders[WeekIndex],79)=0,"",SUMIFS(T_PlannedOrders[EffectiveQty],T_PlannedOrders[Part Name],$A1017,T_PlannedOrders[WeekIndex],79)&amp;" ("&amp;TEXT(SUMPRODUCT(MAX((T_PlannedOrders[Part Name]=$A1017)*(T_PlannedOrders[WeekIndex]=79)*(T_PlannedOrders[EffectiveQty]&gt;0)*T_PlannedOrders[Order_Month])),"m月")&amp;"発注)")</f>
        <v/>
      </c>
      <c r="CE1025">
        <f>IF(SUMIFS(T_PlannedOrders[EffectiveQty],T_PlannedOrders[Part Name],$A1017,T_PlannedOrders[WeekIndex],80)=0,"",SUMIFS(T_PlannedOrders[EffectiveQty],T_PlannedOrders[Part Name],$A1017,T_PlannedOrders[WeekIndex],80)&amp;" ("&amp;TEXT(SUMPRODUCT(MAX((T_PlannedOrders[Part Name]=$A1017)*(T_PlannedOrders[WeekIndex]=80)*(T_PlannedOrders[EffectiveQty]&gt;0)*T_PlannedOrders[Order_Month])),"m月")&amp;"発注)")</f>
        <v/>
      </c>
      <c r="CF1025">
        <f>IF(SUMIFS(T_PlannedOrders[EffectiveQty],T_PlannedOrders[Part Name],$A1017,T_PlannedOrders[WeekIndex],81)=0,"",SUMIFS(T_PlannedOrders[EffectiveQty],T_PlannedOrders[Part Name],$A1017,T_PlannedOrders[WeekIndex],81)&amp;" ("&amp;TEXT(SUMPRODUCT(MAX((T_PlannedOrders[Part Name]=$A1017)*(T_PlannedOrders[WeekIndex]=81)*(T_PlannedOrders[EffectiveQty]&gt;0)*T_PlannedOrders[Order_Month])),"m月")&amp;"発注)")</f>
        <v/>
      </c>
      <c r="CG1025">
        <f>IF(SUMIFS(T_PlannedOrders[EffectiveQty],T_PlannedOrders[Part Name],$A1017,T_PlannedOrders[WeekIndex],82)=0,"",SUMIFS(T_PlannedOrders[EffectiveQty],T_PlannedOrders[Part Name],$A1017,T_PlannedOrders[WeekIndex],82)&amp;" ("&amp;TEXT(SUMPRODUCT(MAX((T_PlannedOrders[Part Name]=$A1017)*(T_PlannedOrders[WeekIndex]=82)*(T_PlannedOrders[EffectiveQty]&gt;0)*T_PlannedOrders[Order_Month])),"m月")&amp;"発注)")</f>
        <v/>
      </c>
      <c r="CH1025">
        <f>IF(SUMIFS(T_PlannedOrders[EffectiveQty],T_PlannedOrders[Part Name],$A1017,T_PlannedOrders[WeekIndex],83)=0,"",SUMIFS(T_PlannedOrders[EffectiveQty],T_PlannedOrders[Part Name],$A1017,T_PlannedOrders[WeekIndex],83)&amp;" ("&amp;TEXT(SUMPRODUCT(MAX((T_PlannedOrders[Part Name]=$A1017)*(T_PlannedOrders[WeekIndex]=83)*(T_PlannedOrders[EffectiveQty]&gt;0)*T_PlannedOrders[Order_Month])),"m月")&amp;"発注)")</f>
        <v/>
      </c>
      <c r="CI1025">
        <f>IF(SUMIFS(T_PlannedOrders[EffectiveQty],T_PlannedOrders[Part Name],$A1017,T_PlannedOrders[WeekIndex],84)=0,"",SUMIFS(T_PlannedOrders[EffectiveQty],T_PlannedOrders[Part Name],$A1017,T_PlannedOrders[WeekIndex],84)&amp;" ("&amp;TEXT(SUMPRODUCT(MAX((T_PlannedOrders[Part Name]=$A1017)*(T_PlannedOrders[WeekIndex]=84)*(T_PlannedOrders[EffectiveQty]&gt;0)*T_PlannedOrders[Order_Month])),"m月")&amp;"発注)")</f>
        <v/>
      </c>
      <c r="CJ1025">
        <f>IF(SUMIFS(T_PlannedOrders[EffectiveQty],T_PlannedOrders[Part Name],$A1017,T_PlannedOrders[WeekIndex],85)=0,"",SUMIFS(T_PlannedOrders[EffectiveQty],T_PlannedOrders[Part Name],$A1017,T_PlannedOrders[WeekIndex],85)&amp;" ("&amp;TEXT(SUMPRODUCT(MAX((T_PlannedOrders[Part Name]=$A1017)*(T_PlannedOrders[WeekIndex]=85)*(T_PlannedOrders[EffectiveQty]&gt;0)*T_PlannedOrders[Order_Month])),"m月")&amp;"発注)")</f>
        <v/>
      </c>
      <c r="CK1025">
        <f>IF(SUMIFS(T_PlannedOrders[EffectiveQty],T_PlannedOrders[Part Name],$A1017,T_PlannedOrders[WeekIndex],86)=0,"",SUMIFS(T_PlannedOrders[EffectiveQty],T_PlannedOrders[Part Name],$A1017,T_PlannedOrders[WeekIndex],86)&amp;" ("&amp;TEXT(SUMPRODUCT(MAX((T_PlannedOrders[Part Name]=$A1017)*(T_PlannedOrders[WeekIndex]=86)*(T_PlannedOrders[EffectiveQty]&gt;0)*T_PlannedOrders[Order_Month])),"m月")&amp;"発注)")</f>
        <v/>
      </c>
      <c r="CL1025">
        <f>IF(SUMIFS(T_PlannedOrders[EffectiveQty],T_PlannedOrders[Part Name],$A1017,T_PlannedOrders[WeekIndex],87)=0,"",SUMIFS(T_PlannedOrders[EffectiveQty],T_PlannedOrders[Part Name],$A1017,T_PlannedOrders[WeekIndex],87)&amp;" ("&amp;TEXT(SUMPRODUCT(MAX((T_PlannedOrders[Part Name]=$A1017)*(T_PlannedOrders[WeekIndex]=87)*(T_PlannedOrders[EffectiveQty]&gt;0)*T_PlannedOrders[Order_Month])),"m月")&amp;"発注)")</f>
        <v/>
      </c>
      <c r="CM1025">
        <f>IF(SUMIFS(T_PlannedOrders[EffectiveQty],T_PlannedOrders[Part Name],$A1017,T_PlannedOrders[WeekIndex],88)=0,"",SUMIFS(T_PlannedOrders[EffectiveQty],T_PlannedOrders[Part Name],$A1017,T_PlannedOrders[WeekIndex],88)&amp;" ("&amp;TEXT(SUMPRODUCT(MAX((T_PlannedOrders[Part Name]=$A1017)*(T_PlannedOrders[WeekIndex]=88)*(T_PlannedOrders[EffectiveQty]&gt;0)*T_PlannedOrders[Order_Month])),"m月")&amp;"発注)")</f>
        <v/>
      </c>
      <c r="CN1025">
        <f>IF(SUMIFS(T_PlannedOrders[EffectiveQty],T_PlannedOrders[Part Name],$A1017,T_PlannedOrders[WeekIndex],89)=0,"",SUMIFS(T_PlannedOrders[EffectiveQty],T_PlannedOrders[Part Name],$A1017,T_PlannedOrders[WeekIndex],89)&amp;" ("&amp;TEXT(SUMPRODUCT(MAX((T_PlannedOrders[Part Name]=$A1017)*(T_PlannedOrders[WeekIndex]=89)*(T_PlannedOrders[EffectiveQty]&gt;0)*T_PlannedOrders[Order_Month])),"m月")&amp;"発注)")</f>
        <v/>
      </c>
      <c r="CO1025">
        <f>IF(SUMIFS(T_PlannedOrders[EffectiveQty],T_PlannedOrders[Part Name],$A1017,T_PlannedOrders[WeekIndex],90)=0,"",SUMIFS(T_PlannedOrders[EffectiveQty],T_PlannedOrders[Part Name],$A1017,T_PlannedOrders[WeekIndex],90)&amp;" ("&amp;TEXT(SUMPRODUCT(MAX((T_PlannedOrders[Part Name]=$A1017)*(T_PlannedOrders[WeekIndex]=90)*(T_PlannedOrders[EffectiveQty]&gt;0)*T_PlannedOrders[Order_Month])),"m月")&amp;"発注)")</f>
        <v/>
      </c>
      <c r="CP1025">
        <f>IF(SUMIFS(T_PlannedOrders[EffectiveQty],T_PlannedOrders[Part Name],$A1017,T_PlannedOrders[WeekIndex],91)=0,"",SUMIFS(T_PlannedOrders[EffectiveQty],T_PlannedOrders[Part Name],$A1017,T_PlannedOrders[WeekIndex],91)&amp;" ("&amp;TEXT(SUMPRODUCT(MAX((T_PlannedOrders[Part Name]=$A1017)*(T_PlannedOrders[WeekIndex]=91)*(T_PlannedOrders[EffectiveQty]&gt;0)*T_PlannedOrders[Order_Month])),"m月")&amp;"発注)")</f>
        <v/>
      </c>
      <c r="CQ1025">
        <f>IF(SUMIFS(T_PlannedOrders[EffectiveQty],T_PlannedOrders[Part Name],$A1017,T_PlannedOrders[WeekIndex],92)=0,"",SUMIFS(T_PlannedOrders[EffectiveQty],T_PlannedOrders[Part Name],$A1017,T_PlannedOrders[WeekIndex],92)&amp;" ("&amp;TEXT(SUMPRODUCT(MAX((T_PlannedOrders[Part Name]=$A1017)*(T_PlannedOrders[WeekIndex]=92)*(T_PlannedOrders[EffectiveQty]&gt;0)*T_PlannedOrders[Order_Month])),"m月")&amp;"発注)")</f>
        <v/>
      </c>
      <c r="CR1025">
        <f>IF(SUMIFS(T_PlannedOrders[EffectiveQty],T_PlannedOrders[Part Name],$A1017,T_PlannedOrders[WeekIndex],93)=0,"",SUMIFS(T_PlannedOrders[EffectiveQty],T_PlannedOrders[Part Name],$A1017,T_PlannedOrders[WeekIndex],93)&amp;" ("&amp;TEXT(SUMPRODUCT(MAX((T_PlannedOrders[Part Name]=$A1017)*(T_PlannedOrders[WeekIndex]=93)*(T_PlannedOrders[EffectiveQty]&gt;0)*T_PlannedOrders[Order_Month])),"m月")&amp;"発注)")</f>
        <v/>
      </c>
      <c r="CS1025">
        <f>IF(SUMIFS(T_PlannedOrders[EffectiveQty],T_PlannedOrders[Part Name],$A1017,T_PlannedOrders[WeekIndex],94)=0,"",SUMIFS(T_PlannedOrders[EffectiveQty],T_PlannedOrders[Part Name],$A1017,T_PlannedOrders[WeekIndex],94)&amp;" ("&amp;TEXT(SUMPRODUCT(MAX((T_PlannedOrders[Part Name]=$A1017)*(T_PlannedOrders[WeekIndex]=94)*(T_PlannedOrders[EffectiveQty]&gt;0)*T_PlannedOrders[Order_Month])),"m月")&amp;"発注)")</f>
        <v/>
      </c>
      <c r="CT1025">
        <f>IF(SUMIFS(T_PlannedOrders[EffectiveQty],T_PlannedOrders[Part Name],$A1017,T_PlannedOrders[WeekIndex],95)=0,"",SUMIFS(T_PlannedOrders[EffectiveQty],T_PlannedOrders[Part Name],$A1017,T_PlannedOrders[WeekIndex],95)&amp;" ("&amp;TEXT(SUMPRODUCT(MAX((T_PlannedOrders[Part Name]=$A1017)*(T_PlannedOrders[WeekIndex]=95)*(T_PlannedOrders[EffectiveQty]&gt;0)*T_PlannedOrders[Order_Month])),"m月")&amp;"発注)")</f>
        <v/>
      </c>
      <c r="CU1025">
        <f>IF(SUMIFS(T_PlannedOrders[EffectiveQty],T_PlannedOrders[Part Name],$A1017,T_PlannedOrders[WeekIndex],96)=0,"",SUMIFS(T_PlannedOrders[EffectiveQty],T_PlannedOrders[Part Name],$A1017,T_PlannedOrders[WeekIndex],96)&amp;" ("&amp;TEXT(SUMPRODUCT(MAX((T_PlannedOrders[Part Name]=$A1017)*(T_PlannedOrders[WeekIndex]=96)*(T_PlannedOrders[EffectiveQty]&gt;0)*T_PlannedOrders[Order_Month])),"m月")&amp;"発注)")</f>
        <v/>
      </c>
      <c r="CV1025">
        <f>IF(SUMIFS(T_PlannedOrders[EffectiveQty],T_PlannedOrders[Part Name],$A1017,T_PlannedOrders[WeekIndex],97)=0,"",SUMIFS(T_PlannedOrders[EffectiveQty],T_PlannedOrders[Part Name],$A1017,T_PlannedOrders[WeekIndex],97)&amp;" ("&amp;TEXT(SUMPRODUCT(MAX((T_PlannedOrders[Part Name]=$A1017)*(T_PlannedOrders[WeekIndex]=97)*(T_PlannedOrders[EffectiveQty]&gt;0)*T_PlannedOrders[Order_Month])),"m月")&amp;"発注)")</f>
        <v/>
      </c>
      <c r="CW1025">
        <f>IF(SUMIFS(T_PlannedOrders[EffectiveQty],T_PlannedOrders[Part Name],$A1017,T_PlannedOrders[WeekIndex],98)=0,"",SUMIFS(T_PlannedOrders[EffectiveQty],T_PlannedOrders[Part Name],$A1017,T_PlannedOrders[WeekIndex],98)&amp;" ("&amp;TEXT(SUMPRODUCT(MAX((T_PlannedOrders[Part Name]=$A1017)*(T_PlannedOrders[WeekIndex]=98)*(T_PlannedOrders[EffectiveQty]&gt;0)*T_PlannedOrders[Order_Month])),"m月")&amp;"発注)")</f>
        <v/>
      </c>
      <c r="CX1025">
        <f>IF(SUMIFS(T_PlannedOrders[EffectiveQty],T_PlannedOrders[Part Name],$A1017,T_PlannedOrders[WeekIndex],99)=0,"",SUMIFS(T_PlannedOrders[EffectiveQty],T_PlannedOrders[Part Name],$A1017,T_PlannedOrders[WeekIndex],99)&amp;" ("&amp;TEXT(SUMPRODUCT(MAX((T_PlannedOrders[Part Name]=$A1017)*(T_PlannedOrders[WeekIndex]=99)*(T_PlannedOrders[EffectiveQty]&gt;0)*T_PlannedOrders[Order_Month])),"m月")&amp;"発注)")</f>
        <v/>
      </c>
      <c r="CY1025">
        <f>IF(SUMIFS(T_PlannedOrders[EffectiveQty],T_PlannedOrders[Part Name],$A1017,T_PlannedOrders[WeekIndex],100)=0,"",SUMIFS(T_PlannedOrders[EffectiveQty],T_PlannedOrders[Part Name],$A1017,T_PlannedOrders[WeekIndex],100)&amp;" ("&amp;TEXT(SUMPRODUCT(MAX((T_PlannedOrders[Part Name]=$A1017)*(T_PlannedOrders[WeekIndex]=100)*(T_PlannedOrders[EffectiveQty]&gt;0)*T_PlannedOrders[Order_Month])),"m月")&amp;"発注)")</f>
        <v/>
      </c>
      <c r="CZ1025">
        <f>IF(SUMIFS(T_PlannedOrders[EffectiveQty],T_PlannedOrders[Part Name],$A1017,T_PlannedOrders[WeekIndex],101)=0,"",SUMIFS(T_PlannedOrders[EffectiveQty],T_PlannedOrders[Part Name],$A1017,T_PlannedOrders[WeekIndex],101)&amp;" ("&amp;TEXT(SUMPRODUCT(MAX((T_PlannedOrders[Part Name]=$A1017)*(T_PlannedOrders[WeekIndex]=101)*(T_PlannedOrders[EffectiveQty]&gt;0)*T_PlannedOrders[Order_Month])),"m月")&amp;"発注)")</f>
        <v/>
      </c>
      <c r="DA1025">
        <f>IF(SUMIFS(T_PlannedOrders[EffectiveQty],T_PlannedOrders[Part Name],$A1017,T_PlannedOrders[WeekIndex],102)=0,"",SUMIFS(T_PlannedOrders[EffectiveQty],T_PlannedOrders[Part Name],$A1017,T_PlannedOrders[WeekIndex],102)&amp;" ("&amp;TEXT(SUMPRODUCT(MAX((T_PlannedOrders[Part Name]=$A1017)*(T_PlannedOrders[WeekIndex]=102)*(T_PlannedOrders[EffectiveQty]&gt;0)*T_PlannedOrders[Order_Month])),"m月")&amp;"発注)")</f>
        <v/>
      </c>
      <c r="DB1025">
        <f>IF(SUMIFS(T_PlannedOrders[EffectiveQty],T_PlannedOrders[Part Name],$A1017,T_PlannedOrders[WeekIndex],103)=0,"",SUMIFS(T_PlannedOrders[EffectiveQty],T_PlannedOrders[Part Name],$A1017,T_PlannedOrders[WeekIndex],103)&amp;" ("&amp;TEXT(SUMPRODUCT(MAX((T_PlannedOrders[Part Name]=$A1017)*(T_PlannedOrders[WeekIndex]=103)*(T_PlannedOrders[EffectiveQty]&gt;0)*T_PlannedOrders[Order_Month])),"m月")&amp;"発注)")</f>
        <v/>
      </c>
      <c r="DC1025">
        <f>IF(SUMIFS(T_PlannedOrders[EffectiveQty],T_PlannedOrders[Part Name],$A1017,T_PlannedOrders[WeekIndex],104)=0,"",SUMIFS(T_PlannedOrders[EffectiveQty],T_PlannedOrders[Part Name],$A1017,T_PlannedOrders[WeekIndex],104)&amp;" ("&amp;TEXT(SUMPRODUCT(MAX((T_PlannedOrders[Part Name]=$A1017)*(T_PlannedOrders[WeekIndex]=104)*(T_PlannedOrders[EffectiveQty]&gt;0)*T_PlannedOrders[Order_Month])),"m月")&amp;"発注)")</f>
        <v/>
      </c>
    </row>
    <row r="1026">
      <c r="B1026" s="4" t="inlineStr">
        <is>
          <t>合計在庫(週末時点,kg)</t>
        </is>
      </c>
      <c r="D1026">
        <f>'Grid_Stock'!B36</f>
        <v/>
      </c>
      <c r="E1026">
        <f>'Grid_Stock'!C36</f>
        <v/>
      </c>
      <c r="F1026">
        <f>'Grid_Stock'!D36</f>
        <v/>
      </c>
      <c r="G1026">
        <f>'Grid_Stock'!E36</f>
        <v/>
      </c>
      <c r="H1026">
        <f>'Grid_Stock'!F36</f>
        <v/>
      </c>
      <c r="I1026">
        <f>'Grid_Stock'!G36</f>
        <v/>
      </c>
      <c r="J1026">
        <f>'Grid_Stock'!H36</f>
        <v/>
      </c>
      <c r="K1026">
        <f>'Grid_Stock'!I36</f>
        <v/>
      </c>
      <c r="L1026">
        <f>'Grid_Stock'!J36</f>
        <v/>
      </c>
      <c r="M1026">
        <f>'Grid_Stock'!K36</f>
        <v/>
      </c>
      <c r="N1026">
        <f>'Grid_Stock'!L36</f>
        <v/>
      </c>
      <c r="O1026">
        <f>'Grid_Stock'!M36</f>
        <v/>
      </c>
      <c r="P1026">
        <f>'Grid_Stock'!N36</f>
        <v/>
      </c>
      <c r="Q1026">
        <f>'Grid_Stock'!O36</f>
        <v/>
      </c>
      <c r="R1026">
        <f>'Grid_Stock'!P36</f>
        <v/>
      </c>
      <c r="S1026">
        <f>'Grid_Stock'!Q36</f>
        <v/>
      </c>
      <c r="T1026">
        <f>'Grid_Stock'!R36</f>
        <v/>
      </c>
      <c r="U1026">
        <f>'Grid_Stock'!S36</f>
        <v/>
      </c>
      <c r="V1026">
        <f>'Grid_Stock'!T36</f>
        <v/>
      </c>
      <c r="W1026">
        <f>'Grid_Stock'!U36</f>
        <v/>
      </c>
      <c r="X1026">
        <f>'Grid_Stock'!V36</f>
        <v/>
      </c>
      <c r="Y1026">
        <f>'Grid_Stock'!W36</f>
        <v/>
      </c>
      <c r="Z1026">
        <f>'Grid_Stock'!X36</f>
        <v/>
      </c>
      <c r="AA1026">
        <f>'Grid_Stock'!Y36</f>
        <v/>
      </c>
      <c r="AB1026">
        <f>'Grid_Stock'!Z36</f>
        <v/>
      </c>
      <c r="AC1026">
        <f>'Grid_Stock'!AA36</f>
        <v/>
      </c>
      <c r="AD1026">
        <f>'Grid_Stock'!AB36</f>
        <v/>
      </c>
      <c r="AE1026">
        <f>'Grid_Stock'!AC36</f>
        <v/>
      </c>
      <c r="AF1026">
        <f>'Grid_Stock'!AD36</f>
        <v/>
      </c>
      <c r="AG1026">
        <f>'Grid_Stock'!AE36</f>
        <v/>
      </c>
      <c r="AH1026">
        <f>'Grid_Stock'!AF36</f>
        <v/>
      </c>
      <c r="AI1026">
        <f>'Grid_Stock'!AG36</f>
        <v/>
      </c>
      <c r="AJ1026">
        <f>'Grid_Stock'!AH36</f>
        <v/>
      </c>
      <c r="AK1026">
        <f>'Grid_Stock'!AI36</f>
        <v/>
      </c>
      <c r="AL1026">
        <f>'Grid_Stock'!AJ36</f>
        <v/>
      </c>
      <c r="AM1026">
        <f>'Grid_Stock'!AK36</f>
        <v/>
      </c>
      <c r="AN1026">
        <f>'Grid_Stock'!AL36</f>
        <v/>
      </c>
      <c r="AO1026">
        <f>'Grid_Stock'!AM36</f>
        <v/>
      </c>
      <c r="AP1026">
        <f>'Grid_Stock'!AN36</f>
        <v/>
      </c>
      <c r="AQ1026">
        <f>'Grid_Stock'!AO36</f>
        <v/>
      </c>
      <c r="AR1026">
        <f>'Grid_Stock'!AP36</f>
        <v/>
      </c>
      <c r="AS1026">
        <f>'Grid_Stock'!AQ36</f>
        <v/>
      </c>
      <c r="AT1026">
        <f>'Grid_Stock'!AR36</f>
        <v/>
      </c>
      <c r="AU1026">
        <f>'Grid_Stock'!AS36</f>
        <v/>
      </c>
      <c r="AV1026">
        <f>'Grid_Stock'!AT36</f>
        <v/>
      </c>
      <c r="AW1026">
        <f>'Grid_Stock'!AU36</f>
        <v/>
      </c>
      <c r="AX1026">
        <f>'Grid_Stock'!AV36</f>
        <v/>
      </c>
      <c r="AY1026">
        <f>'Grid_Stock'!AW36</f>
        <v/>
      </c>
      <c r="AZ1026">
        <f>'Grid_Stock'!AX36</f>
        <v/>
      </c>
      <c r="BA1026">
        <f>'Grid_Stock'!AY36</f>
        <v/>
      </c>
      <c r="BB1026">
        <f>'Grid_Stock'!AZ36</f>
        <v/>
      </c>
      <c r="BC1026">
        <f>'Grid_Stock'!BA36</f>
        <v/>
      </c>
      <c r="BD1026">
        <f>'Grid_Stock'!BB36</f>
        <v/>
      </c>
      <c r="BE1026">
        <f>'Grid_Stock'!BC36</f>
        <v/>
      </c>
      <c r="BF1026">
        <f>'Grid_Stock'!BD36</f>
        <v/>
      </c>
      <c r="BG1026">
        <f>'Grid_Stock'!BE36</f>
        <v/>
      </c>
      <c r="BH1026">
        <f>'Grid_Stock'!BF36</f>
        <v/>
      </c>
      <c r="BI1026">
        <f>'Grid_Stock'!BG36</f>
        <v/>
      </c>
      <c r="BJ1026">
        <f>'Grid_Stock'!BH36</f>
        <v/>
      </c>
      <c r="BK1026">
        <f>'Grid_Stock'!BI36</f>
        <v/>
      </c>
      <c r="BL1026">
        <f>'Grid_Stock'!BJ36</f>
        <v/>
      </c>
      <c r="BM1026">
        <f>'Grid_Stock'!BK36</f>
        <v/>
      </c>
      <c r="BN1026">
        <f>'Grid_Stock'!BL36</f>
        <v/>
      </c>
      <c r="BO1026">
        <f>'Grid_Stock'!BM36</f>
        <v/>
      </c>
      <c r="BP1026">
        <f>'Grid_Stock'!BN36</f>
        <v/>
      </c>
      <c r="BQ1026">
        <f>'Grid_Stock'!BO36</f>
        <v/>
      </c>
      <c r="BR1026">
        <f>'Grid_Stock'!BP36</f>
        <v/>
      </c>
      <c r="BS1026">
        <f>'Grid_Stock'!BQ36</f>
        <v/>
      </c>
      <c r="BT1026">
        <f>'Grid_Stock'!BR36</f>
        <v/>
      </c>
      <c r="BU1026">
        <f>'Grid_Stock'!BS36</f>
        <v/>
      </c>
      <c r="BV1026">
        <f>'Grid_Stock'!BT36</f>
        <v/>
      </c>
      <c r="BW1026">
        <f>'Grid_Stock'!BU36</f>
        <v/>
      </c>
      <c r="BX1026">
        <f>'Grid_Stock'!BV36</f>
        <v/>
      </c>
      <c r="BY1026">
        <f>'Grid_Stock'!BW36</f>
        <v/>
      </c>
      <c r="BZ1026">
        <f>'Grid_Stock'!BX36</f>
        <v/>
      </c>
      <c r="CA1026">
        <f>'Grid_Stock'!BY36</f>
        <v/>
      </c>
      <c r="CB1026">
        <f>'Grid_Stock'!BZ36</f>
        <v/>
      </c>
      <c r="CC1026">
        <f>'Grid_Stock'!CA36</f>
        <v/>
      </c>
      <c r="CD1026">
        <f>'Grid_Stock'!CB36</f>
        <v/>
      </c>
      <c r="CE1026">
        <f>'Grid_Stock'!CC36</f>
        <v/>
      </c>
      <c r="CF1026">
        <f>'Grid_Stock'!CD36</f>
        <v/>
      </c>
      <c r="CG1026">
        <f>'Grid_Stock'!CE36</f>
        <v/>
      </c>
      <c r="CH1026">
        <f>'Grid_Stock'!CF36</f>
        <v/>
      </c>
      <c r="CI1026">
        <f>'Grid_Stock'!CG36</f>
        <v/>
      </c>
      <c r="CJ1026">
        <f>'Grid_Stock'!CH36</f>
        <v/>
      </c>
      <c r="CK1026">
        <f>'Grid_Stock'!CI36</f>
        <v/>
      </c>
      <c r="CL1026">
        <f>'Grid_Stock'!CJ36</f>
        <v/>
      </c>
      <c r="CM1026">
        <f>'Grid_Stock'!CK36</f>
        <v/>
      </c>
      <c r="CN1026">
        <f>'Grid_Stock'!CL36</f>
        <v/>
      </c>
      <c r="CO1026">
        <f>'Grid_Stock'!CM36</f>
        <v/>
      </c>
      <c r="CP1026">
        <f>'Grid_Stock'!CN36</f>
        <v/>
      </c>
      <c r="CQ1026">
        <f>'Grid_Stock'!CO36</f>
        <v/>
      </c>
      <c r="CR1026">
        <f>'Grid_Stock'!CP36</f>
        <v/>
      </c>
      <c r="CS1026">
        <f>'Grid_Stock'!CQ36</f>
        <v/>
      </c>
      <c r="CT1026">
        <f>'Grid_Stock'!CR36</f>
        <v/>
      </c>
      <c r="CU1026">
        <f>'Grid_Stock'!CS36</f>
        <v/>
      </c>
      <c r="CV1026">
        <f>'Grid_Stock'!CT36</f>
        <v/>
      </c>
      <c r="CW1026">
        <f>'Grid_Stock'!CU36</f>
        <v/>
      </c>
      <c r="CX1026">
        <f>'Grid_Stock'!CV36</f>
        <v/>
      </c>
      <c r="CY1026">
        <f>'Grid_Stock'!CW36</f>
        <v/>
      </c>
      <c r="CZ1026">
        <f>'Grid_Stock'!CX36</f>
        <v/>
      </c>
      <c r="DA1026">
        <f>'Grid_Stock'!CY36</f>
        <v/>
      </c>
      <c r="DB1026">
        <f>'Grid_Stock'!CZ36</f>
        <v/>
      </c>
      <c r="DC1026">
        <f>'Grid_Stock'!DA36</f>
        <v/>
      </c>
    </row>
    <row r="1027">
      <c r="B1027" s="16" t="inlineStr">
        <is>
          <t>（発注の目安はDashboardの基準在庫[下限/上限]と色分けを参照）</t>
        </is>
      </c>
    </row>
    <row r="1029">
      <c r="A1029" s="14" t="inlineStr">
        <is>
          <t>5SN</t>
        </is>
      </c>
      <c r="B1029" s="14" t="inlineStr">
        <is>
          <t>5SN</t>
        </is>
      </c>
      <c r="C1029" s="15" t="n"/>
      <c r="D1029" s="14" t="n"/>
      <c r="E1029" s="14" t="n"/>
      <c r="F1029" s="14" t="n"/>
      <c r="G1029" s="14" t="n"/>
      <c r="H1029" s="14" t="n"/>
      <c r="I1029" s="14" t="n"/>
      <c r="J1029" s="14" t="n"/>
      <c r="K1029" s="14" t="n"/>
      <c r="L1029" s="14" t="n"/>
      <c r="M1029" s="14" t="n"/>
      <c r="N1029" s="14" t="n"/>
      <c r="O1029" s="14" t="n"/>
      <c r="P1029" s="14" t="n"/>
      <c r="Q1029" s="14" t="n"/>
      <c r="R1029" s="14" t="n"/>
      <c r="S1029" s="14" t="n"/>
      <c r="T1029" s="14" t="n"/>
      <c r="U1029" s="14" t="n"/>
      <c r="V1029" s="14" t="n"/>
      <c r="W1029" s="14" t="n"/>
      <c r="X1029" s="14" t="n"/>
      <c r="Y1029" s="14" t="n"/>
      <c r="Z1029" s="14" t="n"/>
      <c r="AA1029" s="14" t="n"/>
      <c r="AB1029" s="14" t="n"/>
      <c r="AC1029" s="14" t="n"/>
      <c r="AD1029" s="14" t="n"/>
      <c r="AE1029" s="14" t="n"/>
      <c r="AF1029" s="14" t="n"/>
      <c r="AG1029" s="14" t="n"/>
      <c r="AH1029" s="14" t="n"/>
      <c r="AI1029" s="14" t="n"/>
      <c r="AJ1029" s="14" t="n"/>
      <c r="AK1029" s="14" t="n"/>
      <c r="AL1029" s="14" t="n"/>
      <c r="AM1029" s="14" t="n"/>
      <c r="AN1029" s="14" t="n"/>
      <c r="AO1029" s="14" t="n"/>
      <c r="AP1029" s="14" t="n"/>
      <c r="AQ1029" s="14" t="n"/>
      <c r="AR1029" s="14" t="n"/>
      <c r="AS1029" s="14" t="n"/>
      <c r="AT1029" s="14" t="n"/>
      <c r="AU1029" s="14" t="n"/>
      <c r="AV1029" s="14" t="n"/>
      <c r="AW1029" s="14" t="n"/>
      <c r="AX1029" s="14" t="n"/>
      <c r="AY1029" s="14" t="n"/>
      <c r="AZ1029" s="14" t="n"/>
      <c r="BA1029" s="14" t="n"/>
      <c r="BB1029" s="14" t="n"/>
      <c r="BC1029" s="14" t="n"/>
      <c r="BD1029" s="14" t="n"/>
      <c r="BE1029" s="14" t="n"/>
      <c r="BF1029" s="14" t="n"/>
      <c r="BG1029" s="14" t="n"/>
      <c r="BH1029" s="14" t="n"/>
      <c r="BI1029" s="14" t="n"/>
      <c r="BJ1029" s="14" t="n"/>
      <c r="BK1029" s="14" t="n"/>
      <c r="BL1029" s="14" t="n"/>
      <c r="BM1029" s="14" t="n"/>
      <c r="BN1029" s="14" t="n"/>
      <c r="BO1029" s="14" t="n"/>
      <c r="BP1029" s="14" t="n"/>
      <c r="BQ1029" s="14" t="n"/>
      <c r="BR1029" s="14" t="n"/>
      <c r="BS1029" s="14" t="n"/>
      <c r="BT1029" s="14" t="n"/>
      <c r="BU1029" s="14" t="n"/>
      <c r="BV1029" s="14" t="n"/>
      <c r="BW1029" s="14" t="n"/>
      <c r="BX1029" s="14" t="n"/>
      <c r="BY1029" s="14" t="n"/>
      <c r="BZ1029" s="14" t="n"/>
      <c r="CA1029" s="14" t="n"/>
      <c r="CB1029" s="14" t="n"/>
      <c r="CC1029" s="14" t="n"/>
      <c r="CD1029" s="14" t="n"/>
      <c r="CE1029" s="14" t="n"/>
      <c r="CF1029" s="14" t="n"/>
      <c r="CG1029" s="14" t="n"/>
      <c r="CH1029" s="14" t="n"/>
      <c r="CI1029" s="14" t="n"/>
      <c r="CJ1029" s="14" t="n"/>
      <c r="CK1029" s="14" t="n"/>
      <c r="CL1029" s="14" t="n"/>
      <c r="CM1029" s="14" t="n"/>
      <c r="CN1029" s="14" t="n"/>
      <c r="CO1029" s="14" t="n"/>
      <c r="CP1029" s="14" t="n"/>
      <c r="CQ1029" s="14" t="n"/>
      <c r="CR1029" s="14" t="n"/>
      <c r="CS1029" s="14" t="n"/>
      <c r="CT1029" s="14" t="n"/>
      <c r="CU1029" s="14" t="n"/>
      <c r="CV1029" s="14" t="n"/>
      <c r="CW1029" s="14" t="n"/>
      <c r="CX1029" s="14" t="n"/>
      <c r="CY1029" s="14" t="n"/>
      <c r="CZ1029" s="14" t="n"/>
      <c r="DA1029" s="14" t="n"/>
      <c r="DB1029" s="14" t="n"/>
      <c r="DC1029" s="14" t="n"/>
    </row>
    <row r="1030">
      <c r="B1030" t="inlineStr">
        <is>
          <t>0Q110</t>
        </is>
      </c>
      <c r="C1030" t="inlineStr">
        <is>
          <t>No. of batches</t>
        </is>
      </c>
      <c r="D1030">
        <f>IFERROR(INDEX(PP_Grid[#Data],$DD1030,2),0)</f>
        <v/>
      </c>
      <c r="E1030">
        <f>IFERROR(INDEX(PP_Grid[#Data],$DD1030,3),0)</f>
        <v/>
      </c>
      <c r="F1030">
        <f>IFERROR(INDEX(PP_Grid[#Data],$DD1030,4),0)</f>
        <v/>
      </c>
      <c r="G1030">
        <f>IFERROR(INDEX(PP_Grid[#Data],$DD1030,5),0)</f>
        <v/>
      </c>
      <c r="H1030">
        <f>IFERROR(INDEX(PP_Grid[#Data],$DD1030,6),0)</f>
        <v/>
      </c>
      <c r="I1030">
        <f>IFERROR(INDEX(PP_Grid[#Data],$DD1030,7),0)</f>
        <v/>
      </c>
      <c r="J1030">
        <f>IFERROR(INDEX(PP_Grid[#Data],$DD1030,8),0)</f>
        <v/>
      </c>
      <c r="K1030">
        <f>IFERROR(INDEX(PP_Grid[#Data],$DD1030,9),0)</f>
        <v/>
      </c>
      <c r="L1030">
        <f>IFERROR(INDEX(PP_Grid[#Data],$DD1030,10),0)</f>
        <v/>
      </c>
      <c r="M1030">
        <f>IFERROR(INDEX(PP_Grid[#Data],$DD1030,11),0)</f>
        <v/>
      </c>
      <c r="N1030">
        <f>IFERROR(INDEX(PP_Grid[#Data],$DD1030,12),0)</f>
        <v/>
      </c>
      <c r="O1030">
        <f>IFERROR(INDEX(PP_Grid[#Data],$DD1030,13),0)</f>
        <v/>
      </c>
      <c r="P1030">
        <f>IFERROR(INDEX(PP_Grid[#Data],$DD1030,14),0)</f>
        <v/>
      </c>
      <c r="Q1030">
        <f>IFERROR(INDEX(PP_Grid[#Data],$DD1030,15),0)</f>
        <v/>
      </c>
      <c r="R1030">
        <f>IFERROR(INDEX(PP_Grid[#Data],$DD1030,16),0)</f>
        <v/>
      </c>
      <c r="S1030">
        <f>IFERROR(INDEX(PP_Grid[#Data],$DD1030,17),0)</f>
        <v/>
      </c>
      <c r="T1030">
        <f>IFERROR(INDEX(PP_Grid[#Data],$DD1030,18),0)</f>
        <v/>
      </c>
      <c r="U1030">
        <f>IFERROR(INDEX(PP_Grid[#Data],$DD1030,19),0)</f>
        <v/>
      </c>
      <c r="V1030">
        <f>IFERROR(INDEX(PP_Grid[#Data],$DD1030,20),0)</f>
        <v/>
      </c>
      <c r="W1030">
        <f>IFERROR(INDEX(PP_Grid[#Data],$DD1030,21),0)</f>
        <v/>
      </c>
      <c r="X1030">
        <f>IFERROR(INDEX(PP_Grid[#Data],$DD1030,22),0)</f>
        <v/>
      </c>
      <c r="Y1030">
        <f>IFERROR(INDEX(PP_Grid[#Data],$DD1030,23),0)</f>
        <v/>
      </c>
      <c r="Z1030">
        <f>IFERROR(INDEX(PP_Grid[#Data],$DD1030,24),0)</f>
        <v/>
      </c>
      <c r="AA1030">
        <f>IFERROR(INDEX(PP_Grid[#Data],$DD1030,25),0)</f>
        <v/>
      </c>
      <c r="AB1030">
        <f>IFERROR(INDEX(PP_Grid[#Data],$DD1030,26),0)</f>
        <v/>
      </c>
      <c r="AC1030">
        <f>IFERROR(INDEX(PP_Grid[#Data],$DD1030,27),0)</f>
        <v/>
      </c>
      <c r="AD1030">
        <f>IFERROR(INDEX(PP_Grid[#Data],$DD1030,28),0)</f>
        <v/>
      </c>
      <c r="AE1030">
        <f>IFERROR(INDEX(PP_Grid[#Data],$DD1030,29),0)</f>
        <v/>
      </c>
      <c r="AF1030">
        <f>IFERROR(INDEX(PP_Grid[#Data],$DD1030,30),0)</f>
        <v/>
      </c>
      <c r="AG1030">
        <f>IFERROR(INDEX(PP_Grid[#Data],$DD1030,31),0)</f>
        <v/>
      </c>
      <c r="AH1030">
        <f>IFERROR(INDEX(PP_Grid[#Data],$DD1030,32),0)</f>
        <v/>
      </c>
      <c r="AI1030">
        <f>IFERROR(INDEX(PP_Grid[#Data],$DD1030,33),0)</f>
        <v/>
      </c>
      <c r="AJ1030">
        <f>IFERROR(INDEX(PP_Grid[#Data],$DD1030,34),0)</f>
        <v/>
      </c>
      <c r="AK1030">
        <f>IFERROR(INDEX(PP_Grid[#Data],$DD1030,35),0)</f>
        <v/>
      </c>
      <c r="AL1030">
        <f>IFERROR(INDEX(PP_Grid[#Data],$DD1030,36),0)</f>
        <v/>
      </c>
      <c r="AM1030">
        <f>IFERROR(INDEX(PP_Grid[#Data],$DD1030,37),0)</f>
        <v/>
      </c>
      <c r="AN1030">
        <f>IFERROR(INDEX(PP_Grid[#Data],$DD1030,38),0)</f>
        <v/>
      </c>
      <c r="AO1030">
        <f>IFERROR(INDEX(PP_Grid[#Data],$DD1030,39),0)</f>
        <v/>
      </c>
      <c r="AP1030">
        <f>IFERROR(INDEX(PP_Grid[#Data],$DD1030,40),0)</f>
        <v/>
      </c>
      <c r="AQ1030">
        <f>IFERROR(INDEX(PP_Grid[#Data],$DD1030,41),0)</f>
        <v/>
      </c>
      <c r="AR1030">
        <f>IFERROR(INDEX(PP_Grid[#Data],$DD1030,42),0)</f>
        <v/>
      </c>
      <c r="AS1030">
        <f>IFERROR(INDEX(PP_Grid[#Data],$DD1030,43),0)</f>
        <v/>
      </c>
      <c r="AT1030">
        <f>IFERROR(INDEX(PP_Grid[#Data],$DD1030,44),0)</f>
        <v/>
      </c>
      <c r="AU1030">
        <f>IFERROR(INDEX(PP_Grid[#Data],$DD1030,45),0)</f>
        <v/>
      </c>
      <c r="AV1030">
        <f>IFERROR(INDEX(PP_Grid[#Data],$DD1030,46),0)</f>
        <v/>
      </c>
      <c r="AW1030">
        <f>IFERROR(INDEX(PP_Grid[#Data],$DD1030,47),0)</f>
        <v/>
      </c>
      <c r="AX1030">
        <f>IFERROR(INDEX(PP_Grid[#Data],$DD1030,48),0)</f>
        <v/>
      </c>
      <c r="AY1030">
        <f>IFERROR(INDEX(PP_Grid[#Data],$DD1030,49),0)</f>
        <v/>
      </c>
      <c r="AZ1030">
        <f>IFERROR(INDEX(PP_Grid[#Data],$DD1030,50),0)</f>
        <v/>
      </c>
      <c r="BA1030">
        <f>IFERROR(INDEX(PP_Grid[#Data],$DD1030,51),0)</f>
        <v/>
      </c>
      <c r="BB1030">
        <f>IFERROR(INDEX(PP_Grid[#Data],$DD1030,52),0)</f>
        <v/>
      </c>
      <c r="BC1030">
        <f>IFERROR(INDEX(PP_Grid[#Data],$DD1030,53),0)</f>
        <v/>
      </c>
      <c r="BD1030">
        <f>IFERROR(INDEX(PP_Grid[#Data],$DD1030,54),0)</f>
        <v/>
      </c>
      <c r="BE1030">
        <f>IFERROR(INDEX(PP_Grid[#Data],$DD1030,55),0)</f>
        <v/>
      </c>
      <c r="BF1030">
        <f>IFERROR(INDEX(PP_Grid[#Data],$DD1030,56),0)</f>
        <v/>
      </c>
      <c r="BG1030">
        <f>IFERROR(INDEX(PP_Grid[#Data],$DD1030,57),0)</f>
        <v/>
      </c>
      <c r="BH1030">
        <f>IFERROR(INDEX(PP_Grid[#Data],$DD1030,58),0)</f>
        <v/>
      </c>
      <c r="BI1030">
        <f>IFERROR(INDEX(PP_Grid[#Data],$DD1030,59),0)</f>
        <v/>
      </c>
      <c r="BJ1030">
        <f>IFERROR(INDEX(PP_Grid[#Data],$DD1030,60),0)</f>
        <v/>
      </c>
      <c r="BK1030">
        <f>IFERROR(INDEX(PP_Grid[#Data],$DD1030,61),0)</f>
        <v/>
      </c>
      <c r="BL1030">
        <f>IFERROR(INDEX(PP_Grid[#Data],$DD1030,62),0)</f>
        <v/>
      </c>
      <c r="BM1030">
        <f>IFERROR(INDEX(PP_Grid[#Data],$DD1030,63),0)</f>
        <v/>
      </c>
      <c r="BN1030">
        <f>IFERROR(INDEX(PP_Grid[#Data],$DD1030,64),0)</f>
        <v/>
      </c>
      <c r="BO1030">
        <f>IFERROR(INDEX(PP_Grid[#Data],$DD1030,65),0)</f>
        <v/>
      </c>
      <c r="BP1030">
        <f>IFERROR(INDEX(PP_Grid[#Data],$DD1030,66),0)</f>
        <v/>
      </c>
      <c r="BQ1030">
        <f>IFERROR(INDEX(PP_Grid[#Data],$DD1030,67),0)</f>
        <v/>
      </c>
      <c r="BR1030">
        <f>IFERROR(INDEX(PP_Grid[#Data],$DD1030,68),0)</f>
        <v/>
      </c>
      <c r="BS1030">
        <f>IFERROR(INDEX(PP_Grid[#Data],$DD1030,69),0)</f>
        <v/>
      </c>
      <c r="BT1030">
        <f>IFERROR(INDEX(PP_Grid[#Data],$DD1030,70),0)</f>
        <v/>
      </c>
      <c r="BU1030">
        <f>IFERROR(INDEX(PP_Grid[#Data],$DD1030,71),0)</f>
        <v/>
      </c>
      <c r="BV1030">
        <f>IFERROR(INDEX(PP_Grid[#Data],$DD1030,72),0)</f>
        <v/>
      </c>
      <c r="BW1030">
        <f>IFERROR(INDEX(PP_Grid[#Data],$DD1030,73),0)</f>
        <v/>
      </c>
      <c r="BX1030">
        <f>IFERROR(INDEX(PP_Grid[#Data],$DD1030,74),0)</f>
        <v/>
      </c>
      <c r="BY1030">
        <f>IFERROR(INDEX(PP_Grid[#Data],$DD1030,75),0)</f>
        <v/>
      </c>
      <c r="BZ1030">
        <f>IFERROR(INDEX(PP_Grid[#Data],$DD1030,76),0)</f>
        <v/>
      </c>
      <c r="CA1030">
        <f>IFERROR(INDEX(PP_Grid[#Data],$DD1030,77),0)</f>
        <v/>
      </c>
      <c r="CB1030">
        <f>IFERROR(INDEX(PP_Grid[#Data],$DD1030,78),0)</f>
        <v/>
      </c>
      <c r="CC1030">
        <f>IFERROR(INDEX(PP_Grid[#Data],$DD1030,79),0)</f>
        <v/>
      </c>
      <c r="CD1030">
        <f>IFERROR(INDEX(PP_Grid[#Data],$DD1030,80),0)</f>
        <v/>
      </c>
      <c r="CE1030">
        <f>IFERROR(INDEX(PP_Grid[#Data],$DD1030,81),0)</f>
        <v/>
      </c>
      <c r="CF1030">
        <f>IFERROR(INDEX(PP_Grid[#Data],$DD1030,82),0)</f>
        <v/>
      </c>
      <c r="CG1030">
        <f>IFERROR(INDEX(PP_Grid[#Data],$DD1030,83),0)</f>
        <v/>
      </c>
      <c r="CH1030">
        <f>IFERROR(INDEX(PP_Grid[#Data],$DD1030,84),0)</f>
        <v/>
      </c>
      <c r="CI1030">
        <f>IFERROR(INDEX(PP_Grid[#Data],$DD1030,85),0)</f>
        <v/>
      </c>
      <c r="CJ1030">
        <f>IFERROR(INDEX(PP_Grid[#Data],$DD1030,86),0)</f>
        <v/>
      </c>
      <c r="CK1030">
        <f>IFERROR(INDEX(PP_Grid[#Data],$DD1030,87),0)</f>
        <v/>
      </c>
      <c r="CL1030">
        <f>IFERROR(INDEX(PP_Grid[#Data],$DD1030,88),0)</f>
        <v/>
      </c>
      <c r="CM1030">
        <f>IFERROR(INDEX(PP_Grid[#Data],$DD1030,89),0)</f>
        <v/>
      </c>
      <c r="CN1030">
        <f>IFERROR(INDEX(PP_Grid[#Data],$DD1030,90),0)</f>
        <v/>
      </c>
      <c r="CO1030">
        <f>IFERROR(INDEX(PP_Grid[#Data],$DD1030,91),0)</f>
        <v/>
      </c>
      <c r="CP1030">
        <f>IFERROR(INDEX(PP_Grid[#Data],$DD1030,92),0)</f>
        <v/>
      </c>
      <c r="CQ1030">
        <f>IFERROR(INDEX(PP_Grid[#Data],$DD1030,93),0)</f>
        <v/>
      </c>
      <c r="CR1030">
        <f>IFERROR(INDEX(PP_Grid[#Data],$DD1030,94),0)</f>
        <v/>
      </c>
      <c r="CS1030">
        <f>IFERROR(INDEX(PP_Grid[#Data],$DD1030,95),0)</f>
        <v/>
      </c>
      <c r="CT1030">
        <f>IFERROR(INDEX(PP_Grid[#Data],$DD1030,96),0)</f>
        <v/>
      </c>
      <c r="CU1030">
        <f>IFERROR(INDEX(PP_Grid[#Data],$DD1030,97),0)</f>
        <v/>
      </c>
      <c r="CV1030">
        <f>IFERROR(INDEX(PP_Grid[#Data],$DD1030,98),0)</f>
        <v/>
      </c>
      <c r="CW1030">
        <f>IFERROR(INDEX(PP_Grid[#Data],$DD1030,99),0)</f>
        <v/>
      </c>
      <c r="CX1030">
        <f>IFERROR(INDEX(PP_Grid[#Data],$DD1030,100),0)</f>
        <v/>
      </c>
      <c r="CY1030">
        <f>IFERROR(INDEX(PP_Grid[#Data],$DD1030,101),0)</f>
        <v/>
      </c>
      <c r="CZ1030">
        <f>IFERROR(INDEX(PP_Grid[#Data],$DD1030,102),0)</f>
        <v/>
      </c>
      <c r="DA1030">
        <f>IFERROR(INDEX(PP_Grid[#Data],$DD1030,103),0)</f>
        <v/>
      </c>
      <c r="DB1030">
        <f>IFERROR(INDEX(PP_Grid[#Data],$DD1030,104),0)</f>
        <v/>
      </c>
      <c r="DC1030">
        <f>IFERROR(INDEX(PP_Grid[#Data],$DD1030,105),0)</f>
        <v/>
      </c>
      <c r="DD1030" s="7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SUMIFS(M_BOM[RM_Qty_Per_Batch],M_BOM[Intermediate],$B1030,M_BOM[Part Name],$A1029)</f>
        <v/>
      </c>
      <c r="D1031">
        <f>$C1031*D1030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</row>
    <row r="1032">
      <c r="B1032" s="4" t="inlineStr">
        <is>
          <t>合計使用量(kg)/週</t>
        </is>
      </c>
      <c r="D1032">
        <f>'Grid_Requirement'!B40</f>
        <v/>
      </c>
      <c r="E1032">
        <f>'Grid_Requirement'!C40</f>
        <v/>
      </c>
      <c r="F1032">
        <f>'Grid_Requirement'!D40</f>
        <v/>
      </c>
      <c r="G1032">
        <f>'Grid_Requirement'!E40</f>
        <v/>
      </c>
      <c r="H1032">
        <f>'Grid_Requirement'!F40</f>
        <v/>
      </c>
      <c r="I1032">
        <f>'Grid_Requirement'!G40</f>
        <v/>
      </c>
      <c r="J1032">
        <f>'Grid_Requirement'!H40</f>
        <v/>
      </c>
      <c r="K1032">
        <f>'Grid_Requirement'!I40</f>
        <v/>
      </c>
      <c r="L1032">
        <f>'Grid_Requirement'!J40</f>
        <v/>
      </c>
      <c r="M1032">
        <f>'Grid_Requirement'!K40</f>
        <v/>
      </c>
      <c r="N1032">
        <f>'Grid_Requirement'!L40</f>
        <v/>
      </c>
      <c r="O1032">
        <f>'Grid_Requirement'!M40</f>
        <v/>
      </c>
      <c r="P1032">
        <f>'Grid_Requirement'!N40</f>
        <v/>
      </c>
      <c r="Q1032">
        <f>'Grid_Requirement'!O40</f>
        <v/>
      </c>
      <c r="R1032">
        <f>'Grid_Requirement'!P40</f>
        <v/>
      </c>
      <c r="S1032">
        <f>'Grid_Requirement'!Q40</f>
        <v/>
      </c>
      <c r="T1032">
        <f>'Grid_Requirement'!R40</f>
        <v/>
      </c>
      <c r="U1032">
        <f>'Grid_Requirement'!S40</f>
        <v/>
      </c>
      <c r="V1032">
        <f>'Grid_Requirement'!T40</f>
        <v/>
      </c>
      <c r="W1032">
        <f>'Grid_Requirement'!U40</f>
        <v/>
      </c>
      <c r="X1032">
        <f>'Grid_Requirement'!V40</f>
        <v/>
      </c>
      <c r="Y1032">
        <f>'Grid_Requirement'!W40</f>
        <v/>
      </c>
      <c r="Z1032">
        <f>'Grid_Requirement'!X40</f>
        <v/>
      </c>
      <c r="AA1032">
        <f>'Grid_Requirement'!Y40</f>
        <v/>
      </c>
      <c r="AB1032">
        <f>'Grid_Requirement'!Z40</f>
        <v/>
      </c>
      <c r="AC1032">
        <f>'Grid_Requirement'!AA40</f>
        <v/>
      </c>
      <c r="AD1032">
        <f>'Grid_Requirement'!AB40</f>
        <v/>
      </c>
      <c r="AE1032">
        <f>'Grid_Requirement'!AC40</f>
        <v/>
      </c>
      <c r="AF1032">
        <f>'Grid_Requirement'!AD40</f>
        <v/>
      </c>
      <c r="AG1032">
        <f>'Grid_Requirement'!AE40</f>
        <v/>
      </c>
      <c r="AH1032">
        <f>'Grid_Requirement'!AF40</f>
        <v/>
      </c>
      <c r="AI1032">
        <f>'Grid_Requirement'!AG40</f>
        <v/>
      </c>
      <c r="AJ1032">
        <f>'Grid_Requirement'!AH40</f>
        <v/>
      </c>
      <c r="AK1032">
        <f>'Grid_Requirement'!AI40</f>
        <v/>
      </c>
      <c r="AL1032">
        <f>'Grid_Requirement'!AJ40</f>
        <v/>
      </c>
      <c r="AM1032">
        <f>'Grid_Requirement'!AK40</f>
        <v/>
      </c>
      <c r="AN1032">
        <f>'Grid_Requirement'!AL40</f>
        <v/>
      </c>
      <c r="AO1032">
        <f>'Grid_Requirement'!AM40</f>
        <v/>
      </c>
      <c r="AP1032">
        <f>'Grid_Requirement'!AN40</f>
        <v/>
      </c>
      <c r="AQ1032">
        <f>'Grid_Requirement'!AO40</f>
        <v/>
      </c>
      <c r="AR1032">
        <f>'Grid_Requirement'!AP40</f>
        <v/>
      </c>
      <c r="AS1032">
        <f>'Grid_Requirement'!AQ40</f>
        <v/>
      </c>
      <c r="AT1032">
        <f>'Grid_Requirement'!AR40</f>
        <v/>
      </c>
      <c r="AU1032">
        <f>'Grid_Requirement'!AS40</f>
        <v/>
      </c>
      <c r="AV1032">
        <f>'Grid_Requirement'!AT40</f>
        <v/>
      </c>
      <c r="AW1032">
        <f>'Grid_Requirement'!AU40</f>
        <v/>
      </c>
      <c r="AX1032">
        <f>'Grid_Requirement'!AV40</f>
        <v/>
      </c>
      <c r="AY1032">
        <f>'Grid_Requirement'!AW40</f>
        <v/>
      </c>
      <c r="AZ1032">
        <f>'Grid_Requirement'!AX40</f>
        <v/>
      </c>
      <c r="BA1032">
        <f>'Grid_Requirement'!AY40</f>
        <v/>
      </c>
      <c r="BB1032">
        <f>'Grid_Requirement'!AZ40</f>
        <v/>
      </c>
      <c r="BC1032">
        <f>'Grid_Requirement'!BA40</f>
        <v/>
      </c>
      <c r="BD1032">
        <f>'Grid_Requirement'!BB40</f>
        <v/>
      </c>
      <c r="BE1032">
        <f>'Grid_Requirement'!BC40</f>
        <v/>
      </c>
      <c r="BF1032">
        <f>'Grid_Requirement'!BD40</f>
        <v/>
      </c>
      <c r="BG1032">
        <f>'Grid_Requirement'!BE40</f>
        <v/>
      </c>
      <c r="BH1032">
        <f>'Grid_Requirement'!BF40</f>
        <v/>
      </c>
      <c r="BI1032">
        <f>'Grid_Requirement'!BG40</f>
        <v/>
      </c>
      <c r="BJ1032">
        <f>'Grid_Requirement'!BH40</f>
        <v/>
      </c>
      <c r="BK1032">
        <f>'Grid_Requirement'!BI40</f>
        <v/>
      </c>
      <c r="BL1032">
        <f>'Grid_Requirement'!BJ40</f>
        <v/>
      </c>
      <c r="BM1032">
        <f>'Grid_Requirement'!BK40</f>
        <v/>
      </c>
      <c r="BN1032">
        <f>'Grid_Requirement'!BL40</f>
        <v/>
      </c>
      <c r="BO1032">
        <f>'Grid_Requirement'!BM40</f>
        <v/>
      </c>
      <c r="BP1032">
        <f>'Grid_Requirement'!BN40</f>
        <v/>
      </c>
      <c r="BQ1032">
        <f>'Grid_Requirement'!BO40</f>
        <v/>
      </c>
      <c r="BR1032">
        <f>'Grid_Requirement'!BP40</f>
        <v/>
      </c>
      <c r="BS1032">
        <f>'Grid_Requirement'!BQ40</f>
        <v/>
      </c>
      <c r="BT1032">
        <f>'Grid_Requirement'!BR40</f>
        <v/>
      </c>
      <c r="BU1032">
        <f>'Grid_Requirement'!BS40</f>
        <v/>
      </c>
      <c r="BV1032">
        <f>'Grid_Requirement'!BT40</f>
        <v/>
      </c>
      <c r="BW1032">
        <f>'Grid_Requirement'!BU40</f>
        <v/>
      </c>
      <c r="BX1032">
        <f>'Grid_Requirement'!BV40</f>
        <v/>
      </c>
      <c r="BY1032">
        <f>'Grid_Requirement'!BW40</f>
        <v/>
      </c>
      <c r="BZ1032">
        <f>'Grid_Requirement'!BX40</f>
        <v/>
      </c>
      <c r="CA1032">
        <f>'Grid_Requirement'!BY40</f>
        <v/>
      </c>
      <c r="CB1032">
        <f>'Grid_Requirement'!BZ40</f>
        <v/>
      </c>
      <c r="CC1032">
        <f>'Grid_Requirement'!CA40</f>
        <v/>
      </c>
      <c r="CD1032">
        <f>'Grid_Requirement'!CB40</f>
        <v/>
      </c>
      <c r="CE1032">
        <f>'Grid_Requirement'!CC40</f>
        <v/>
      </c>
      <c r="CF1032">
        <f>'Grid_Requirement'!CD40</f>
        <v/>
      </c>
      <c r="CG1032">
        <f>'Grid_Requirement'!CE40</f>
        <v/>
      </c>
      <c r="CH1032">
        <f>'Grid_Requirement'!CF40</f>
        <v/>
      </c>
      <c r="CI1032">
        <f>'Grid_Requirement'!CG40</f>
        <v/>
      </c>
      <c r="CJ1032">
        <f>'Grid_Requirement'!CH40</f>
        <v/>
      </c>
      <c r="CK1032">
        <f>'Grid_Requirement'!CI40</f>
        <v/>
      </c>
      <c r="CL1032">
        <f>'Grid_Requirement'!CJ40</f>
        <v/>
      </c>
      <c r="CM1032">
        <f>'Grid_Requirement'!CK40</f>
        <v/>
      </c>
      <c r="CN1032">
        <f>'Grid_Requirement'!CL40</f>
        <v/>
      </c>
      <c r="CO1032">
        <f>'Grid_Requirement'!CM40</f>
        <v/>
      </c>
      <c r="CP1032">
        <f>'Grid_Requirement'!CN40</f>
        <v/>
      </c>
      <c r="CQ1032">
        <f>'Grid_Requirement'!CO40</f>
        <v/>
      </c>
      <c r="CR1032">
        <f>'Grid_Requirement'!CP40</f>
        <v/>
      </c>
      <c r="CS1032">
        <f>'Grid_Requirement'!CQ40</f>
        <v/>
      </c>
      <c r="CT1032">
        <f>'Grid_Requirement'!CR40</f>
        <v/>
      </c>
      <c r="CU1032">
        <f>'Grid_Requirement'!CS40</f>
        <v/>
      </c>
      <c r="CV1032">
        <f>'Grid_Requirement'!CT40</f>
        <v/>
      </c>
      <c r="CW1032">
        <f>'Grid_Requirement'!CU40</f>
        <v/>
      </c>
      <c r="CX1032">
        <f>'Grid_Requirement'!CV40</f>
        <v/>
      </c>
      <c r="CY1032">
        <f>'Grid_Requirement'!CW40</f>
        <v/>
      </c>
      <c r="CZ1032">
        <f>'Grid_Requirement'!CX40</f>
        <v/>
      </c>
      <c r="DA1032">
        <f>'Grid_Requirement'!CY40</f>
        <v/>
      </c>
      <c r="DB1032">
        <f>'Grid_Requirement'!CZ40</f>
        <v/>
      </c>
      <c r="DC1032">
        <f>'Grid_Requirement'!DA40</f>
        <v/>
      </c>
    </row>
    <row r="1033">
      <c r="B1033" t="inlineStr">
        <is>
          <t>TTAF在庫(実績,kg)</t>
        </is>
      </c>
      <c r="D1033">
        <f>'T_TTAFStock'!B44</f>
        <v/>
      </c>
      <c r="E1033">
        <f>'T_TTAFStock'!C44</f>
        <v/>
      </c>
      <c r="F1033">
        <f>'T_TTAFStock'!D44</f>
        <v/>
      </c>
      <c r="G1033">
        <f>'T_TTAFStock'!E44</f>
        <v/>
      </c>
      <c r="H1033">
        <f>'T_TTAFStock'!F44</f>
        <v/>
      </c>
      <c r="I1033">
        <f>'T_TTAFStock'!G44</f>
        <v/>
      </c>
      <c r="J1033">
        <f>'T_TTAFStock'!H44</f>
        <v/>
      </c>
      <c r="K1033">
        <f>'T_TTAFStock'!I44</f>
        <v/>
      </c>
      <c r="L1033">
        <f>'T_TTAFStock'!J44</f>
        <v/>
      </c>
      <c r="M1033">
        <f>'T_TTAFStock'!K44</f>
        <v/>
      </c>
      <c r="N1033">
        <f>'T_TTAFStock'!L44</f>
        <v/>
      </c>
      <c r="O1033">
        <f>'T_TTAFStock'!M44</f>
        <v/>
      </c>
      <c r="P1033">
        <f>'T_TTAFStock'!N44</f>
        <v/>
      </c>
      <c r="Q1033">
        <f>'T_TTAFStock'!O44</f>
        <v/>
      </c>
      <c r="R1033">
        <f>'T_TTAFStock'!P44</f>
        <v/>
      </c>
      <c r="S1033">
        <f>'T_TTAFStock'!Q44</f>
        <v/>
      </c>
      <c r="T1033">
        <f>'T_TTAFStock'!R44</f>
        <v/>
      </c>
      <c r="U1033">
        <f>'T_TTAFStock'!S44</f>
        <v/>
      </c>
      <c r="V1033">
        <f>'T_TTAFStock'!T44</f>
        <v/>
      </c>
      <c r="W1033">
        <f>'T_TTAFStock'!U44</f>
        <v/>
      </c>
      <c r="X1033">
        <f>'T_TTAFStock'!V44</f>
        <v/>
      </c>
      <c r="Y1033">
        <f>'T_TTAFStock'!W44</f>
        <v/>
      </c>
      <c r="Z1033">
        <f>'T_TTAFStock'!X44</f>
        <v/>
      </c>
      <c r="AA1033">
        <f>'T_TTAFStock'!Y44</f>
        <v/>
      </c>
      <c r="AB1033">
        <f>'T_TTAFStock'!Z44</f>
        <v/>
      </c>
      <c r="AC1033">
        <f>'T_TTAFStock'!AA44</f>
        <v/>
      </c>
      <c r="AD1033">
        <f>'T_TTAFStock'!AB44</f>
        <v/>
      </c>
      <c r="AE1033">
        <f>'T_TTAFStock'!AC44</f>
        <v/>
      </c>
      <c r="AF1033">
        <f>'T_TTAFStock'!AD44</f>
        <v/>
      </c>
      <c r="AG1033">
        <f>'T_TTAFStock'!AE44</f>
        <v/>
      </c>
      <c r="AH1033">
        <f>'T_TTAFStock'!AF44</f>
        <v/>
      </c>
      <c r="AI1033">
        <f>'T_TTAFStock'!AG44</f>
        <v/>
      </c>
      <c r="AJ1033">
        <f>'T_TTAFStock'!AH44</f>
        <v/>
      </c>
      <c r="AK1033">
        <f>'T_TTAFStock'!AI44</f>
        <v/>
      </c>
      <c r="AL1033">
        <f>'T_TTAFStock'!AJ44</f>
        <v/>
      </c>
      <c r="AM1033">
        <f>'T_TTAFStock'!AK44</f>
        <v/>
      </c>
      <c r="AN1033">
        <f>'T_TTAFStock'!AL44</f>
        <v/>
      </c>
      <c r="AO1033">
        <f>'T_TTAFStock'!AM44</f>
        <v/>
      </c>
      <c r="AP1033">
        <f>'T_TTAFStock'!AN44</f>
        <v/>
      </c>
      <c r="AQ1033">
        <f>'T_TTAFStock'!AO44</f>
        <v/>
      </c>
      <c r="AR1033">
        <f>'T_TTAFStock'!AP44</f>
        <v/>
      </c>
      <c r="AS1033">
        <f>'T_TTAFStock'!AQ44</f>
        <v/>
      </c>
      <c r="AT1033">
        <f>'T_TTAFStock'!AR44</f>
        <v/>
      </c>
      <c r="AU1033">
        <f>'T_TTAFStock'!AS44</f>
        <v/>
      </c>
      <c r="AV1033">
        <f>'T_TTAFStock'!AT44</f>
        <v/>
      </c>
      <c r="AW1033">
        <f>'T_TTAFStock'!AU44</f>
        <v/>
      </c>
      <c r="AX1033">
        <f>'T_TTAFStock'!AV44</f>
        <v/>
      </c>
      <c r="AY1033">
        <f>'T_TTAFStock'!AW44</f>
        <v/>
      </c>
      <c r="AZ1033">
        <f>'T_TTAFStock'!AX44</f>
        <v/>
      </c>
      <c r="BA1033">
        <f>'T_TTAFStock'!AY44</f>
        <v/>
      </c>
      <c r="BB1033">
        <f>'T_TTAFStock'!AZ44</f>
        <v/>
      </c>
      <c r="BC1033">
        <f>'T_TTAFStock'!BA44</f>
        <v/>
      </c>
      <c r="BD1033">
        <f>'T_TTAFStock'!BB44</f>
        <v/>
      </c>
      <c r="BE1033">
        <f>'T_TTAFStock'!BC44</f>
        <v/>
      </c>
      <c r="BF1033">
        <f>'T_TTAFStock'!BD44</f>
        <v/>
      </c>
      <c r="BG1033">
        <f>'T_TTAFStock'!BE44</f>
        <v/>
      </c>
      <c r="BH1033">
        <f>'T_TTAFStock'!BF44</f>
        <v/>
      </c>
      <c r="BI1033">
        <f>'T_TTAFStock'!BG44</f>
        <v/>
      </c>
      <c r="BJ1033">
        <f>'T_TTAFStock'!BH44</f>
        <v/>
      </c>
      <c r="BK1033">
        <f>'T_TTAFStock'!BI44</f>
        <v/>
      </c>
      <c r="BL1033">
        <f>'T_TTAFStock'!BJ44</f>
        <v/>
      </c>
      <c r="BM1033">
        <f>'T_TTAFStock'!BK44</f>
        <v/>
      </c>
      <c r="BN1033">
        <f>'T_TTAFStock'!BL44</f>
        <v/>
      </c>
      <c r="BO1033">
        <f>'T_TTAFStock'!BM44</f>
        <v/>
      </c>
      <c r="BP1033">
        <f>'T_TTAFStock'!BN44</f>
        <v/>
      </c>
      <c r="BQ1033">
        <f>'T_TTAFStock'!BO44</f>
        <v/>
      </c>
      <c r="BR1033">
        <f>'T_TTAFStock'!BP44</f>
        <v/>
      </c>
      <c r="BS1033">
        <f>'T_TTAFStock'!BQ44</f>
        <v/>
      </c>
      <c r="BT1033">
        <f>'T_TTAFStock'!BR44</f>
        <v/>
      </c>
      <c r="BU1033">
        <f>'T_TTAFStock'!BS44</f>
        <v/>
      </c>
      <c r="BV1033">
        <f>'T_TTAFStock'!BT44</f>
        <v/>
      </c>
      <c r="BW1033">
        <f>'T_TTAFStock'!BU44</f>
        <v/>
      </c>
      <c r="BX1033">
        <f>'T_TTAFStock'!BV44</f>
        <v/>
      </c>
      <c r="BY1033">
        <f>'T_TTAFStock'!BW44</f>
        <v/>
      </c>
      <c r="BZ1033">
        <f>'T_TTAFStock'!BX44</f>
        <v/>
      </c>
      <c r="CA1033">
        <f>'T_TTAFStock'!BY44</f>
        <v/>
      </c>
      <c r="CB1033">
        <f>'T_TTAFStock'!BZ44</f>
        <v/>
      </c>
      <c r="CC1033">
        <f>'T_TTAFStock'!CA44</f>
        <v/>
      </c>
      <c r="CD1033">
        <f>'T_TTAFStock'!CB44</f>
        <v/>
      </c>
      <c r="CE1033">
        <f>'T_TTAFStock'!CC44</f>
        <v/>
      </c>
      <c r="CF1033">
        <f>'T_TTAFStock'!CD44</f>
        <v/>
      </c>
      <c r="CG1033">
        <f>'T_TTAFStock'!CE44</f>
        <v/>
      </c>
      <c r="CH1033">
        <f>'T_TTAFStock'!CF44</f>
        <v/>
      </c>
      <c r="CI1033">
        <f>'T_TTAFStock'!CG44</f>
        <v/>
      </c>
      <c r="CJ1033">
        <f>'T_TTAFStock'!CH44</f>
        <v/>
      </c>
      <c r="CK1033">
        <f>'T_TTAFStock'!CI44</f>
        <v/>
      </c>
      <c r="CL1033">
        <f>'T_TTAFStock'!CJ44</f>
        <v/>
      </c>
      <c r="CM1033">
        <f>'T_TTAFStock'!CK44</f>
        <v/>
      </c>
      <c r="CN1033">
        <f>'T_TTAFStock'!CL44</f>
        <v/>
      </c>
      <c r="CO1033">
        <f>'T_TTAFStock'!CM44</f>
        <v/>
      </c>
      <c r="CP1033">
        <f>'T_TTAFStock'!CN44</f>
        <v/>
      </c>
      <c r="CQ1033">
        <f>'T_TTAFStock'!CO44</f>
        <v/>
      </c>
      <c r="CR1033">
        <f>'T_TTAFStock'!CP44</f>
        <v/>
      </c>
      <c r="CS1033">
        <f>'T_TTAFStock'!CQ44</f>
        <v/>
      </c>
      <c r="CT1033">
        <f>'T_TTAFStock'!CR44</f>
        <v/>
      </c>
      <c r="CU1033">
        <f>'T_TTAFStock'!CS44</f>
        <v/>
      </c>
      <c r="CV1033">
        <f>'T_TTAFStock'!CT44</f>
        <v/>
      </c>
      <c r="CW1033">
        <f>'T_TTAFStock'!CU44</f>
        <v/>
      </c>
      <c r="CX1033">
        <f>'T_TTAFStock'!CV44</f>
        <v/>
      </c>
      <c r="CY1033">
        <f>'T_TTAFStock'!CW44</f>
        <v/>
      </c>
      <c r="CZ1033">
        <f>'T_TTAFStock'!CX44</f>
        <v/>
      </c>
      <c r="DA1033">
        <f>'T_TTAFStock'!CY44</f>
        <v/>
      </c>
      <c r="DB1033">
        <f>'T_TTAFStock'!CZ44</f>
        <v/>
      </c>
      <c r="DC1033">
        <f>'T_TTAFStock'!DA44</f>
        <v/>
      </c>
    </row>
    <row r="1034">
      <c r="B1034" t="inlineStr">
        <is>
          <t>自社在庫(実績,kg)</t>
        </is>
      </c>
      <c r="D1034">
        <f>'T_SelfStock'!B44</f>
        <v/>
      </c>
      <c r="E1034">
        <f>'T_SelfStock'!C44</f>
        <v/>
      </c>
      <c r="F1034">
        <f>'T_SelfStock'!D44</f>
        <v/>
      </c>
      <c r="G1034">
        <f>'T_SelfStock'!E44</f>
        <v/>
      </c>
      <c r="H1034">
        <f>'T_SelfStock'!F44</f>
        <v/>
      </c>
      <c r="I1034">
        <f>'T_SelfStock'!G44</f>
        <v/>
      </c>
      <c r="J1034">
        <f>'T_SelfStock'!H44</f>
        <v/>
      </c>
      <c r="K1034">
        <f>'T_SelfStock'!I44</f>
        <v/>
      </c>
      <c r="L1034">
        <f>'T_SelfStock'!J44</f>
        <v/>
      </c>
      <c r="M1034">
        <f>'T_SelfStock'!K44</f>
        <v/>
      </c>
      <c r="N1034">
        <f>'T_SelfStock'!L44</f>
        <v/>
      </c>
      <c r="O1034">
        <f>'T_SelfStock'!M44</f>
        <v/>
      </c>
      <c r="P1034">
        <f>'T_SelfStock'!N44</f>
        <v/>
      </c>
      <c r="Q1034">
        <f>'T_SelfStock'!O44</f>
        <v/>
      </c>
      <c r="R1034">
        <f>'T_SelfStock'!P44</f>
        <v/>
      </c>
      <c r="S1034">
        <f>'T_SelfStock'!Q44</f>
        <v/>
      </c>
      <c r="T1034">
        <f>'T_SelfStock'!R44</f>
        <v/>
      </c>
      <c r="U1034">
        <f>'T_SelfStock'!S44</f>
        <v/>
      </c>
      <c r="V1034">
        <f>'T_SelfStock'!T44</f>
        <v/>
      </c>
      <c r="W1034">
        <f>'T_SelfStock'!U44</f>
        <v/>
      </c>
      <c r="X1034">
        <f>'T_SelfStock'!V44</f>
        <v/>
      </c>
      <c r="Y1034">
        <f>'T_SelfStock'!W44</f>
        <v/>
      </c>
      <c r="Z1034">
        <f>'T_SelfStock'!X44</f>
        <v/>
      </c>
      <c r="AA1034">
        <f>'T_SelfStock'!Y44</f>
        <v/>
      </c>
      <c r="AB1034">
        <f>'T_SelfStock'!Z44</f>
        <v/>
      </c>
      <c r="AC1034">
        <f>'T_SelfStock'!AA44</f>
        <v/>
      </c>
      <c r="AD1034">
        <f>'T_SelfStock'!AB44</f>
        <v/>
      </c>
      <c r="AE1034">
        <f>'T_SelfStock'!AC44</f>
        <v/>
      </c>
      <c r="AF1034">
        <f>'T_SelfStock'!AD44</f>
        <v/>
      </c>
      <c r="AG1034">
        <f>'T_SelfStock'!AE44</f>
        <v/>
      </c>
      <c r="AH1034">
        <f>'T_SelfStock'!AF44</f>
        <v/>
      </c>
      <c r="AI1034">
        <f>'T_SelfStock'!AG44</f>
        <v/>
      </c>
      <c r="AJ1034">
        <f>'T_SelfStock'!AH44</f>
        <v/>
      </c>
      <c r="AK1034">
        <f>'T_SelfStock'!AI44</f>
        <v/>
      </c>
      <c r="AL1034">
        <f>'T_SelfStock'!AJ44</f>
        <v/>
      </c>
      <c r="AM1034">
        <f>'T_SelfStock'!AK44</f>
        <v/>
      </c>
      <c r="AN1034">
        <f>'T_SelfStock'!AL44</f>
        <v/>
      </c>
      <c r="AO1034">
        <f>'T_SelfStock'!AM44</f>
        <v/>
      </c>
      <c r="AP1034">
        <f>'T_SelfStock'!AN44</f>
        <v/>
      </c>
      <c r="AQ1034">
        <f>'T_SelfStock'!AO44</f>
        <v/>
      </c>
      <c r="AR1034">
        <f>'T_SelfStock'!AP44</f>
        <v/>
      </c>
      <c r="AS1034">
        <f>'T_SelfStock'!AQ44</f>
        <v/>
      </c>
      <c r="AT1034">
        <f>'T_SelfStock'!AR44</f>
        <v/>
      </c>
      <c r="AU1034">
        <f>'T_SelfStock'!AS44</f>
        <v/>
      </c>
      <c r="AV1034">
        <f>'T_SelfStock'!AT44</f>
        <v/>
      </c>
      <c r="AW1034">
        <f>'T_SelfStock'!AU44</f>
        <v/>
      </c>
      <c r="AX1034">
        <f>'T_SelfStock'!AV44</f>
        <v/>
      </c>
      <c r="AY1034">
        <f>'T_SelfStock'!AW44</f>
        <v/>
      </c>
      <c r="AZ1034">
        <f>'T_SelfStock'!AX44</f>
        <v/>
      </c>
      <c r="BA1034">
        <f>'T_SelfStock'!AY44</f>
        <v/>
      </c>
      <c r="BB1034">
        <f>'T_SelfStock'!AZ44</f>
        <v/>
      </c>
      <c r="BC1034">
        <f>'T_SelfStock'!BA44</f>
        <v/>
      </c>
      <c r="BD1034">
        <f>'T_SelfStock'!BB44</f>
        <v/>
      </c>
      <c r="BE1034">
        <f>'T_SelfStock'!BC44</f>
        <v/>
      </c>
      <c r="BF1034">
        <f>'T_SelfStock'!BD44</f>
        <v/>
      </c>
      <c r="BG1034">
        <f>'T_SelfStock'!BE44</f>
        <v/>
      </c>
      <c r="BH1034">
        <f>'T_SelfStock'!BF44</f>
        <v/>
      </c>
      <c r="BI1034">
        <f>'T_SelfStock'!BG44</f>
        <v/>
      </c>
      <c r="BJ1034">
        <f>'T_SelfStock'!BH44</f>
        <v/>
      </c>
      <c r="BK1034">
        <f>'T_SelfStock'!BI44</f>
        <v/>
      </c>
      <c r="BL1034">
        <f>'T_SelfStock'!BJ44</f>
        <v/>
      </c>
      <c r="BM1034">
        <f>'T_SelfStock'!BK44</f>
        <v/>
      </c>
      <c r="BN1034">
        <f>'T_SelfStock'!BL44</f>
        <v/>
      </c>
      <c r="BO1034">
        <f>'T_SelfStock'!BM44</f>
        <v/>
      </c>
      <c r="BP1034">
        <f>'T_SelfStock'!BN44</f>
        <v/>
      </c>
      <c r="BQ1034">
        <f>'T_SelfStock'!BO44</f>
        <v/>
      </c>
      <c r="BR1034">
        <f>'T_SelfStock'!BP44</f>
        <v/>
      </c>
      <c r="BS1034">
        <f>'T_SelfStock'!BQ44</f>
        <v/>
      </c>
      <c r="BT1034">
        <f>'T_SelfStock'!BR44</f>
        <v/>
      </c>
      <c r="BU1034">
        <f>'T_SelfStock'!BS44</f>
        <v/>
      </c>
      <c r="BV1034">
        <f>'T_SelfStock'!BT44</f>
        <v/>
      </c>
      <c r="BW1034">
        <f>'T_SelfStock'!BU44</f>
        <v/>
      </c>
      <c r="BX1034">
        <f>'T_SelfStock'!BV44</f>
        <v/>
      </c>
      <c r="BY1034">
        <f>'T_SelfStock'!BW44</f>
        <v/>
      </c>
      <c r="BZ1034">
        <f>'T_SelfStock'!BX44</f>
        <v/>
      </c>
      <c r="CA1034">
        <f>'T_SelfStock'!BY44</f>
        <v/>
      </c>
      <c r="CB1034">
        <f>'T_SelfStock'!BZ44</f>
        <v/>
      </c>
      <c r="CC1034">
        <f>'T_SelfStock'!CA44</f>
        <v/>
      </c>
      <c r="CD1034">
        <f>'T_SelfStock'!CB44</f>
        <v/>
      </c>
      <c r="CE1034">
        <f>'T_SelfStock'!CC44</f>
        <v/>
      </c>
      <c r="CF1034">
        <f>'T_SelfStock'!CD44</f>
        <v/>
      </c>
      <c r="CG1034">
        <f>'T_SelfStock'!CE44</f>
        <v/>
      </c>
      <c r="CH1034">
        <f>'T_SelfStock'!CF44</f>
        <v/>
      </c>
      <c r="CI1034">
        <f>'T_SelfStock'!CG44</f>
        <v/>
      </c>
      <c r="CJ1034">
        <f>'T_SelfStock'!CH44</f>
        <v/>
      </c>
      <c r="CK1034">
        <f>'T_SelfStock'!CI44</f>
        <v/>
      </c>
      <c r="CL1034">
        <f>'T_SelfStock'!CJ44</f>
        <v/>
      </c>
      <c r="CM1034">
        <f>'T_SelfStock'!CK44</f>
        <v/>
      </c>
      <c r="CN1034">
        <f>'T_SelfStock'!CL44</f>
        <v/>
      </c>
      <c r="CO1034">
        <f>'T_SelfStock'!CM44</f>
        <v/>
      </c>
      <c r="CP1034">
        <f>'T_SelfStock'!CN44</f>
        <v/>
      </c>
      <c r="CQ1034">
        <f>'T_SelfStock'!CO44</f>
        <v/>
      </c>
      <c r="CR1034">
        <f>'T_SelfStock'!CP44</f>
        <v/>
      </c>
      <c r="CS1034">
        <f>'T_SelfStock'!CQ44</f>
        <v/>
      </c>
      <c r="CT1034">
        <f>'T_SelfStock'!CR44</f>
        <v/>
      </c>
      <c r="CU1034">
        <f>'T_SelfStock'!CS44</f>
        <v/>
      </c>
      <c r="CV1034">
        <f>'T_SelfStock'!CT44</f>
        <v/>
      </c>
      <c r="CW1034">
        <f>'T_SelfStock'!CU44</f>
        <v/>
      </c>
      <c r="CX1034">
        <f>'T_SelfStock'!CV44</f>
        <v/>
      </c>
      <c r="CY1034">
        <f>'T_SelfStock'!CW44</f>
        <v/>
      </c>
      <c r="CZ1034">
        <f>'T_SelfStock'!CX44</f>
        <v/>
      </c>
      <c r="DA1034">
        <f>'T_SelfStock'!CY44</f>
        <v/>
      </c>
      <c r="DB1034">
        <f>'T_SelfStock'!CZ44</f>
        <v/>
      </c>
      <c r="DC1034">
        <f>'T_SelfStock'!DA44</f>
        <v/>
      </c>
    </row>
    <row r="1035">
      <c r="B1035" t="inlineStr">
        <is>
          <t>Order(発注予定,kg)</t>
        </is>
      </c>
      <c r="D1035">
        <f>IF(SUMIFS(T_PlannedOrders[EffectiveQty],T_PlannedOrders[Part Name],$A1029,T_PlannedOrders[WeekIndex],1)=0,"",SUMIFS(T_PlannedOrders[EffectiveQty],T_PlannedOrders[Part Name],$A1029,T_PlannedOrders[WeekIndex],1)&amp;" ("&amp;TEXT(SUMPRODUCT(MAX((T_PlannedOrders[Part Name]=$A1029)*(T_PlannedOrders[WeekIndex]=1)*(T_PlannedOrders[EffectiveQty]&gt;0)*T_PlannedOrders[Order_Month])),"m月")&amp;"発注)")</f>
        <v/>
      </c>
      <c r="E1035">
        <f>IF(SUMIFS(T_PlannedOrders[EffectiveQty],T_PlannedOrders[Part Name],$A1029,T_PlannedOrders[WeekIndex],2)=0,"",SUMIFS(T_PlannedOrders[EffectiveQty],T_PlannedOrders[Part Name],$A1029,T_PlannedOrders[WeekIndex],2)&amp;" ("&amp;TEXT(SUMPRODUCT(MAX((T_PlannedOrders[Part Name]=$A1029)*(T_PlannedOrders[WeekIndex]=2)*(T_PlannedOrders[EffectiveQty]&gt;0)*T_PlannedOrders[Order_Month])),"m月")&amp;"発注)")</f>
        <v/>
      </c>
      <c r="F1035">
        <f>IF(SUMIFS(T_PlannedOrders[EffectiveQty],T_PlannedOrders[Part Name],$A1029,T_PlannedOrders[WeekIndex],3)=0,"",SUMIFS(T_PlannedOrders[EffectiveQty],T_PlannedOrders[Part Name],$A1029,T_PlannedOrders[WeekIndex],3)&amp;" ("&amp;TEXT(SUMPRODUCT(MAX((T_PlannedOrders[Part Name]=$A1029)*(T_PlannedOrders[WeekIndex]=3)*(T_PlannedOrders[EffectiveQty]&gt;0)*T_PlannedOrders[Order_Month])),"m月")&amp;"発注)")</f>
        <v/>
      </c>
      <c r="G1035">
        <f>IF(SUMIFS(T_PlannedOrders[EffectiveQty],T_PlannedOrders[Part Name],$A1029,T_PlannedOrders[WeekIndex],4)=0,"",SUMIFS(T_PlannedOrders[EffectiveQty],T_PlannedOrders[Part Name],$A1029,T_PlannedOrders[WeekIndex],4)&amp;" ("&amp;TEXT(SUMPRODUCT(MAX((T_PlannedOrders[Part Name]=$A1029)*(T_PlannedOrders[WeekIndex]=4)*(T_PlannedOrders[EffectiveQty]&gt;0)*T_PlannedOrders[Order_Month])),"m月")&amp;"発注)")</f>
        <v/>
      </c>
      <c r="H1035">
        <f>IF(SUMIFS(T_PlannedOrders[EffectiveQty],T_PlannedOrders[Part Name],$A1029,T_PlannedOrders[WeekIndex],5)=0,"",SUMIFS(T_PlannedOrders[EffectiveQty],T_PlannedOrders[Part Name],$A1029,T_PlannedOrders[WeekIndex],5)&amp;" ("&amp;TEXT(SUMPRODUCT(MAX((T_PlannedOrders[Part Name]=$A1029)*(T_PlannedOrders[WeekIndex]=5)*(T_PlannedOrders[EffectiveQty]&gt;0)*T_PlannedOrders[Order_Month])),"m月")&amp;"発注)")</f>
        <v/>
      </c>
      <c r="I1035">
        <f>IF(SUMIFS(T_PlannedOrders[EffectiveQty],T_PlannedOrders[Part Name],$A1029,T_PlannedOrders[WeekIndex],6)=0,"",SUMIFS(T_PlannedOrders[EffectiveQty],T_PlannedOrders[Part Name],$A1029,T_PlannedOrders[WeekIndex],6)&amp;" ("&amp;TEXT(SUMPRODUCT(MAX((T_PlannedOrders[Part Name]=$A1029)*(T_PlannedOrders[WeekIndex]=6)*(T_PlannedOrders[EffectiveQty]&gt;0)*T_PlannedOrders[Order_Month])),"m月")&amp;"発注)")</f>
        <v/>
      </c>
      <c r="J1035">
        <f>IF(SUMIFS(T_PlannedOrders[EffectiveQty],T_PlannedOrders[Part Name],$A1029,T_PlannedOrders[WeekIndex],7)=0,"",SUMIFS(T_PlannedOrders[EffectiveQty],T_PlannedOrders[Part Name],$A1029,T_PlannedOrders[WeekIndex],7)&amp;" ("&amp;TEXT(SUMPRODUCT(MAX((T_PlannedOrders[Part Name]=$A1029)*(T_PlannedOrders[WeekIndex]=7)*(T_PlannedOrders[EffectiveQty]&gt;0)*T_PlannedOrders[Order_Month])),"m月")&amp;"発注)")</f>
        <v/>
      </c>
      <c r="K1035">
        <f>IF(SUMIFS(T_PlannedOrders[EffectiveQty],T_PlannedOrders[Part Name],$A1029,T_PlannedOrders[WeekIndex],8)=0,"",SUMIFS(T_PlannedOrders[EffectiveQty],T_PlannedOrders[Part Name],$A1029,T_PlannedOrders[WeekIndex],8)&amp;" ("&amp;TEXT(SUMPRODUCT(MAX((T_PlannedOrders[Part Name]=$A1029)*(T_PlannedOrders[WeekIndex]=8)*(T_PlannedOrders[EffectiveQty]&gt;0)*T_PlannedOrders[Order_Month])),"m月")&amp;"発注)")</f>
        <v/>
      </c>
      <c r="L1035">
        <f>IF(SUMIFS(T_PlannedOrders[EffectiveQty],T_PlannedOrders[Part Name],$A1029,T_PlannedOrders[WeekIndex],9)=0,"",SUMIFS(T_PlannedOrders[EffectiveQty],T_PlannedOrders[Part Name],$A1029,T_PlannedOrders[WeekIndex],9)&amp;" ("&amp;TEXT(SUMPRODUCT(MAX((T_PlannedOrders[Part Name]=$A1029)*(T_PlannedOrders[WeekIndex]=9)*(T_PlannedOrders[EffectiveQty]&gt;0)*T_PlannedOrders[Order_Month])),"m月")&amp;"発注)")</f>
        <v/>
      </c>
      <c r="M1035">
        <f>IF(SUMIFS(T_PlannedOrders[EffectiveQty],T_PlannedOrders[Part Name],$A1029,T_PlannedOrders[WeekIndex],10)=0,"",SUMIFS(T_PlannedOrders[EffectiveQty],T_PlannedOrders[Part Name],$A1029,T_PlannedOrders[WeekIndex],10)&amp;" ("&amp;TEXT(SUMPRODUCT(MAX((T_PlannedOrders[Part Name]=$A1029)*(T_PlannedOrders[WeekIndex]=10)*(T_PlannedOrders[EffectiveQty]&gt;0)*T_PlannedOrders[Order_Month])),"m月")&amp;"発注)")</f>
        <v/>
      </c>
      <c r="N1035">
        <f>IF(SUMIFS(T_PlannedOrders[EffectiveQty],T_PlannedOrders[Part Name],$A1029,T_PlannedOrders[WeekIndex],11)=0,"",SUMIFS(T_PlannedOrders[EffectiveQty],T_PlannedOrders[Part Name],$A1029,T_PlannedOrders[WeekIndex],11)&amp;" ("&amp;TEXT(SUMPRODUCT(MAX((T_PlannedOrders[Part Name]=$A1029)*(T_PlannedOrders[WeekIndex]=11)*(T_PlannedOrders[EffectiveQty]&gt;0)*T_PlannedOrders[Order_Month])),"m月")&amp;"発注)")</f>
        <v/>
      </c>
      <c r="O1035">
        <f>IF(SUMIFS(T_PlannedOrders[EffectiveQty],T_PlannedOrders[Part Name],$A1029,T_PlannedOrders[WeekIndex],12)=0,"",SUMIFS(T_PlannedOrders[EffectiveQty],T_PlannedOrders[Part Name],$A1029,T_PlannedOrders[WeekIndex],12)&amp;" ("&amp;TEXT(SUMPRODUCT(MAX((T_PlannedOrders[Part Name]=$A1029)*(T_PlannedOrders[WeekIndex]=12)*(T_PlannedOrders[EffectiveQty]&gt;0)*T_PlannedOrders[Order_Month])),"m月")&amp;"発注)")</f>
        <v/>
      </c>
      <c r="P1035">
        <f>IF(SUMIFS(T_PlannedOrders[EffectiveQty],T_PlannedOrders[Part Name],$A1029,T_PlannedOrders[WeekIndex],13)=0,"",SUMIFS(T_PlannedOrders[EffectiveQty],T_PlannedOrders[Part Name],$A1029,T_PlannedOrders[WeekIndex],13)&amp;" ("&amp;TEXT(SUMPRODUCT(MAX((T_PlannedOrders[Part Name]=$A1029)*(T_PlannedOrders[WeekIndex]=13)*(T_PlannedOrders[EffectiveQty]&gt;0)*T_PlannedOrders[Order_Month])),"m月")&amp;"発注)")</f>
        <v/>
      </c>
      <c r="Q1035">
        <f>IF(SUMIFS(T_PlannedOrders[EffectiveQty],T_PlannedOrders[Part Name],$A1029,T_PlannedOrders[WeekIndex],14)=0,"",SUMIFS(T_PlannedOrders[EffectiveQty],T_PlannedOrders[Part Name],$A1029,T_PlannedOrders[WeekIndex],14)&amp;" ("&amp;TEXT(SUMPRODUCT(MAX((T_PlannedOrders[Part Name]=$A1029)*(T_PlannedOrders[WeekIndex]=14)*(T_PlannedOrders[EffectiveQty]&gt;0)*T_PlannedOrders[Order_Month])),"m月")&amp;"発注)")</f>
        <v/>
      </c>
      <c r="R1035">
        <f>IF(SUMIFS(T_PlannedOrders[EffectiveQty],T_PlannedOrders[Part Name],$A1029,T_PlannedOrders[WeekIndex],15)=0,"",SUMIFS(T_PlannedOrders[EffectiveQty],T_PlannedOrders[Part Name],$A1029,T_PlannedOrders[WeekIndex],15)&amp;" ("&amp;TEXT(SUMPRODUCT(MAX((T_PlannedOrders[Part Name]=$A1029)*(T_PlannedOrders[WeekIndex]=15)*(T_PlannedOrders[EffectiveQty]&gt;0)*T_PlannedOrders[Order_Month])),"m月")&amp;"発注)")</f>
        <v/>
      </c>
      <c r="S1035">
        <f>IF(SUMIFS(T_PlannedOrders[EffectiveQty],T_PlannedOrders[Part Name],$A1029,T_PlannedOrders[WeekIndex],16)=0,"",SUMIFS(T_PlannedOrders[EffectiveQty],T_PlannedOrders[Part Name],$A1029,T_PlannedOrders[WeekIndex],16)&amp;" ("&amp;TEXT(SUMPRODUCT(MAX((T_PlannedOrders[Part Name]=$A1029)*(T_PlannedOrders[WeekIndex]=16)*(T_PlannedOrders[EffectiveQty]&gt;0)*T_PlannedOrders[Order_Month])),"m月")&amp;"発注)")</f>
        <v/>
      </c>
      <c r="T1035">
        <f>IF(SUMIFS(T_PlannedOrders[EffectiveQty],T_PlannedOrders[Part Name],$A1029,T_PlannedOrders[WeekIndex],17)=0,"",SUMIFS(T_PlannedOrders[EffectiveQty],T_PlannedOrders[Part Name],$A1029,T_PlannedOrders[WeekIndex],17)&amp;" ("&amp;TEXT(SUMPRODUCT(MAX((T_PlannedOrders[Part Name]=$A1029)*(T_PlannedOrders[WeekIndex]=17)*(T_PlannedOrders[EffectiveQty]&gt;0)*T_PlannedOrders[Order_Month])),"m月")&amp;"発注)")</f>
        <v/>
      </c>
      <c r="U1035">
        <f>IF(SUMIFS(T_PlannedOrders[EffectiveQty],T_PlannedOrders[Part Name],$A1029,T_PlannedOrders[WeekIndex],18)=0,"",SUMIFS(T_PlannedOrders[EffectiveQty],T_PlannedOrders[Part Name],$A1029,T_PlannedOrders[WeekIndex],18)&amp;" ("&amp;TEXT(SUMPRODUCT(MAX((T_PlannedOrders[Part Name]=$A1029)*(T_PlannedOrders[WeekIndex]=18)*(T_PlannedOrders[EffectiveQty]&gt;0)*T_PlannedOrders[Order_Month])),"m月")&amp;"発注)")</f>
        <v/>
      </c>
      <c r="V1035">
        <f>IF(SUMIFS(T_PlannedOrders[EffectiveQty],T_PlannedOrders[Part Name],$A1029,T_PlannedOrders[WeekIndex],19)=0,"",SUMIFS(T_PlannedOrders[EffectiveQty],T_PlannedOrders[Part Name],$A1029,T_PlannedOrders[WeekIndex],19)&amp;" ("&amp;TEXT(SUMPRODUCT(MAX((T_PlannedOrders[Part Name]=$A1029)*(T_PlannedOrders[WeekIndex]=19)*(T_PlannedOrders[EffectiveQty]&gt;0)*T_PlannedOrders[Order_Month])),"m月")&amp;"発注)")</f>
        <v/>
      </c>
      <c r="W1035">
        <f>IF(SUMIFS(T_PlannedOrders[EffectiveQty],T_PlannedOrders[Part Name],$A1029,T_PlannedOrders[WeekIndex],20)=0,"",SUMIFS(T_PlannedOrders[EffectiveQty],T_PlannedOrders[Part Name],$A1029,T_PlannedOrders[WeekIndex],20)&amp;" ("&amp;TEXT(SUMPRODUCT(MAX((T_PlannedOrders[Part Name]=$A1029)*(T_PlannedOrders[WeekIndex]=20)*(T_PlannedOrders[EffectiveQty]&gt;0)*T_PlannedOrders[Order_Month])),"m月")&amp;"発注)")</f>
        <v/>
      </c>
      <c r="X1035">
        <f>IF(SUMIFS(T_PlannedOrders[EffectiveQty],T_PlannedOrders[Part Name],$A1029,T_PlannedOrders[WeekIndex],21)=0,"",SUMIFS(T_PlannedOrders[EffectiveQty],T_PlannedOrders[Part Name],$A1029,T_PlannedOrders[WeekIndex],21)&amp;" ("&amp;TEXT(SUMPRODUCT(MAX((T_PlannedOrders[Part Name]=$A1029)*(T_PlannedOrders[WeekIndex]=21)*(T_PlannedOrders[EffectiveQty]&gt;0)*T_PlannedOrders[Order_Month])),"m月")&amp;"発注)")</f>
        <v/>
      </c>
      <c r="Y1035">
        <f>IF(SUMIFS(T_PlannedOrders[EffectiveQty],T_PlannedOrders[Part Name],$A1029,T_PlannedOrders[WeekIndex],22)=0,"",SUMIFS(T_PlannedOrders[EffectiveQty],T_PlannedOrders[Part Name],$A1029,T_PlannedOrders[WeekIndex],22)&amp;" ("&amp;TEXT(SUMPRODUCT(MAX((T_PlannedOrders[Part Name]=$A1029)*(T_PlannedOrders[WeekIndex]=22)*(T_PlannedOrders[EffectiveQty]&gt;0)*T_PlannedOrders[Order_Month])),"m月")&amp;"発注)")</f>
        <v/>
      </c>
      <c r="Z1035">
        <f>IF(SUMIFS(T_PlannedOrders[EffectiveQty],T_PlannedOrders[Part Name],$A1029,T_PlannedOrders[WeekIndex],23)=0,"",SUMIFS(T_PlannedOrders[EffectiveQty],T_PlannedOrders[Part Name],$A1029,T_PlannedOrders[WeekIndex],23)&amp;" ("&amp;TEXT(SUMPRODUCT(MAX((T_PlannedOrders[Part Name]=$A1029)*(T_PlannedOrders[WeekIndex]=23)*(T_PlannedOrders[EffectiveQty]&gt;0)*T_PlannedOrders[Order_Month])),"m月")&amp;"発注)")</f>
        <v/>
      </c>
      <c r="AA1035">
        <f>IF(SUMIFS(T_PlannedOrders[EffectiveQty],T_PlannedOrders[Part Name],$A1029,T_PlannedOrders[WeekIndex],24)=0,"",SUMIFS(T_PlannedOrders[EffectiveQty],T_PlannedOrders[Part Name],$A1029,T_PlannedOrders[WeekIndex],24)&amp;" ("&amp;TEXT(SUMPRODUCT(MAX((T_PlannedOrders[Part Name]=$A1029)*(T_PlannedOrders[WeekIndex]=24)*(T_PlannedOrders[EffectiveQty]&gt;0)*T_PlannedOrders[Order_Month])),"m月")&amp;"発注)")</f>
        <v/>
      </c>
      <c r="AB1035">
        <f>IF(SUMIFS(T_PlannedOrders[EffectiveQty],T_PlannedOrders[Part Name],$A1029,T_PlannedOrders[WeekIndex],25)=0,"",SUMIFS(T_PlannedOrders[EffectiveQty],T_PlannedOrders[Part Name],$A1029,T_PlannedOrders[WeekIndex],25)&amp;" ("&amp;TEXT(SUMPRODUCT(MAX((T_PlannedOrders[Part Name]=$A1029)*(T_PlannedOrders[WeekIndex]=25)*(T_PlannedOrders[EffectiveQty]&gt;0)*T_PlannedOrders[Order_Month])),"m月")&amp;"発注)")</f>
        <v/>
      </c>
      <c r="AC1035">
        <f>IF(SUMIFS(T_PlannedOrders[EffectiveQty],T_PlannedOrders[Part Name],$A1029,T_PlannedOrders[WeekIndex],26)=0,"",SUMIFS(T_PlannedOrders[EffectiveQty],T_PlannedOrders[Part Name],$A1029,T_PlannedOrders[WeekIndex],26)&amp;" ("&amp;TEXT(SUMPRODUCT(MAX((T_PlannedOrders[Part Name]=$A1029)*(T_PlannedOrders[WeekIndex]=26)*(T_PlannedOrders[EffectiveQty]&gt;0)*T_PlannedOrders[Order_Month])),"m月")&amp;"発注)")</f>
        <v/>
      </c>
      <c r="AD1035">
        <f>IF(SUMIFS(T_PlannedOrders[EffectiveQty],T_PlannedOrders[Part Name],$A1029,T_PlannedOrders[WeekIndex],27)=0,"",SUMIFS(T_PlannedOrders[EffectiveQty],T_PlannedOrders[Part Name],$A1029,T_PlannedOrders[WeekIndex],27)&amp;" ("&amp;TEXT(SUMPRODUCT(MAX((T_PlannedOrders[Part Name]=$A1029)*(T_PlannedOrders[WeekIndex]=27)*(T_PlannedOrders[EffectiveQty]&gt;0)*T_PlannedOrders[Order_Month])),"m月")&amp;"発注)")</f>
        <v/>
      </c>
      <c r="AE1035">
        <f>IF(SUMIFS(T_PlannedOrders[EffectiveQty],T_PlannedOrders[Part Name],$A1029,T_PlannedOrders[WeekIndex],28)=0,"",SUMIFS(T_PlannedOrders[EffectiveQty],T_PlannedOrders[Part Name],$A1029,T_PlannedOrders[WeekIndex],28)&amp;" ("&amp;TEXT(SUMPRODUCT(MAX((T_PlannedOrders[Part Name]=$A1029)*(T_PlannedOrders[WeekIndex]=28)*(T_PlannedOrders[EffectiveQty]&gt;0)*T_PlannedOrders[Order_Month])),"m月")&amp;"発注)")</f>
        <v/>
      </c>
      <c r="AF1035">
        <f>IF(SUMIFS(T_PlannedOrders[EffectiveQty],T_PlannedOrders[Part Name],$A1029,T_PlannedOrders[WeekIndex],29)=0,"",SUMIFS(T_PlannedOrders[EffectiveQty],T_PlannedOrders[Part Name],$A1029,T_PlannedOrders[WeekIndex],29)&amp;" ("&amp;TEXT(SUMPRODUCT(MAX((T_PlannedOrders[Part Name]=$A1029)*(T_PlannedOrders[WeekIndex]=29)*(T_PlannedOrders[EffectiveQty]&gt;0)*T_PlannedOrders[Order_Month])),"m月")&amp;"発注)")</f>
        <v/>
      </c>
      <c r="AG1035">
        <f>IF(SUMIFS(T_PlannedOrders[EffectiveQty],T_PlannedOrders[Part Name],$A1029,T_PlannedOrders[WeekIndex],30)=0,"",SUMIFS(T_PlannedOrders[EffectiveQty],T_PlannedOrders[Part Name],$A1029,T_PlannedOrders[WeekIndex],30)&amp;" ("&amp;TEXT(SUMPRODUCT(MAX((T_PlannedOrders[Part Name]=$A1029)*(T_PlannedOrders[WeekIndex]=30)*(T_PlannedOrders[EffectiveQty]&gt;0)*T_PlannedOrders[Order_Month])),"m月")&amp;"発注)")</f>
        <v/>
      </c>
      <c r="AH1035">
        <f>IF(SUMIFS(T_PlannedOrders[EffectiveQty],T_PlannedOrders[Part Name],$A1029,T_PlannedOrders[WeekIndex],31)=0,"",SUMIFS(T_PlannedOrders[EffectiveQty],T_PlannedOrders[Part Name],$A1029,T_PlannedOrders[WeekIndex],31)&amp;" ("&amp;TEXT(SUMPRODUCT(MAX((T_PlannedOrders[Part Name]=$A1029)*(T_PlannedOrders[WeekIndex]=31)*(T_PlannedOrders[EffectiveQty]&gt;0)*T_PlannedOrders[Order_Month])),"m月")&amp;"発注)")</f>
        <v/>
      </c>
      <c r="AI1035">
        <f>IF(SUMIFS(T_PlannedOrders[EffectiveQty],T_PlannedOrders[Part Name],$A1029,T_PlannedOrders[WeekIndex],32)=0,"",SUMIFS(T_PlannedOrders[EffectiveQty],T_PlannedOrders[Part Name],$A1029,T_PlannedOrders[WeekIndex],32)&amp;" ("&amp;TEXT(SUMPRODUCT(MAX((T_PlannedOrders[Part Name]=$A1029)*(T_PlannedOrders[WeekIndex]=32)*(T_PlannedOrders[EffectiveQty]&gt;0)*T_PlannedOrders[Order_Month])),"m月")&amp;"発注)")</f>
        <v/>
      </c>
      <c r="AJ1035">
        <f>IF(SUMIFS(T_PlannedOrders[EffectiveQty],T_PlannedOrders[Part Name],$A1029,T_PlannedOrders[WeekIndex],33)=0,"",SUMIFS(T_PlannedOrders[EffectiveQty],T_PlannedOrders[Part Name],$A1029,T_PlannedOrders[WeekIndex],33)&amp;" ("&amp;TEXT(SUMPRODUCT(MAX((T_PlannedOrders[Part Name]=$A1029)*(T_PlannedOrders[WeekIndex]=33)*(T_PlannedOrders[EffectiveQty]&gt;0)*T_PlannedOrders[Order_Month])),"m月")&amp;"発注)")</f>
        <v/>
      </c>
      <c r="AK1035">
        <f>IF(SUMIFS(T_PlannedOrders[EffectiveQty],T_PlannedOrders[Part Name],$A1029,T_PlannedOrders[WeekIndex],34)=0,"",SUMIFS(T_PlannedOrders[EffectiveQty],T_PlannedOrders[Part Name],$A1029,T_PlannedOrders[WeekIndex],34)&amp;" ("&amp;TEXT(SUMPRODUCT(MAX((T_PlannedOrders[Part Name]=$A1029)*(T_PlannedOrders[WeekIndex]=34)*(T_PlannedOrders[EffectiveQty]&gt;0)*T_PlannedOrders[Order_Month])),"m月")&amp;"発注)")</f>
        <v/>
      </c>
      <c r="AL1035">
        <f>IF(SUMIFS(T_PlannedOrders[EffectiveQty],T_PlannedOrders[Part Name],$A1029,T_PlannedOrders[WeekIndex],35)=0,"",SUMIFS(T_PlannedOrders[EffectiveQty],T_PlannedOrders[Part Name],$A1029,T_PlannedOrders[WeekIndex],35)&amp;" ("&amp;TEXT(SUMPRODUCT(MAX((T_PlannedOrders[Part Name]=$A1029)*(T_PlannedOrders[WeekIndex]=35)*(T_PlannedOrders[EffectiveQty]&gt;0)*T_PlannedOrders[Order_Month])),"m月")&amp;"発注)")</f>
        <v/>
      </c>
      <c r="AM1035">
        <f>IF(SUMIFS(T_PlannedOrders[EffectiveQty],T_PlannedOrders[Part Name],$A1029,T_PlannedOrders[WeekIndex],36)=0,"",SUMIFS(T_PlannedOrders[EffectiveQty],T_PlannedOrders[Part Name],$A1029,T_PlannedOrders[WeekIndex],36)&amp;" ("&amp;TEXT(SUMPRODUCT(MAX((T_PlannedOrders[Part Name]=$A1029)*(T_PlannedOrders[WeekIndex]=36)*(T_PlannedOrders[EffectiveQty]&gt;0)*T_PlannedOrders[Order_Month])),"m月")&amp;"発注)")</f>
        <v/>
      </c>
      <c r="AN1035">
        <f>IF(SUMIFS(T_PlannedOrders[EffectiveQty],T_PlannedOrders[Part Name],$A1029,T_PlannedOrders[WeekIndex],37)=0,"",SUMIFS(T_PlannedOrders[EffectiveQty],T_PlannedOrders[Part Name],$A1029,T_PlannedOrders[WeekIndex],37)&amp;" ("&amp;TEXT(SUMPRODUCT(MAX((T_PlannedOrders[Part Name]=$A1029)*(T_PlannedOrders[WeekIndex]=37)*(T_PlannedOrders[EffectiveQty]&gt;0)*T_PlannedOrders[Order_Month])),"m月")&amp;"発注)")</f>
        <v/>
      </c>
      <c r="AO1035">
        <f>IF(SUMIFS(T_PlannedOrders[EffectiveQty],T_PlannedOrders[Part Name],$A1029,T_PlannedOrders[WeekIndex],38)=0,"",SUMIFS(T_PlannedOrders[EffectiveQty],T_PlannedOrders[Part Name],$A1029,T_PlannedOrders[WeekIndex],38)&amp;" ("&amp;TEXT(SUMPRODUCT(MAX((T_PlannedOrders[Part Name]=$A1029)*(T_PlannedOrders[WeekIndex]=38)*(T_PlannedOrders[EffectiveQty]&gt;0)*T_PlannedOrders[Order_Month])),"m月")&amp;"発注)")</f>
        <v/>
      </c>
      <c r="AP1035">
        <f>IF(SUMIFS(T_PlannedOrders[EffectiveQty],T_PlannedOrders[Part Name],$A1029,T_PlannedOrders[WeekIndex],39)=0,"",SUMIFS(T_PlannedOrders[EffectiveQty],T_PlannedOrders[Part Name],$A1029,T_PlannedOrders[WeekIndex],39)&amp;" ("&amp;TEXT(SUMPRODUCT(MAX((T_PlannedOrders[Part Name]=$A1029)*(T_PlannedOrders[WeekIndex]=39)*(T_PlannedOrders[EffectiveQty]&gt;0)*T_PlannedOrders[Order_Month])),"m月")&amp;"発注)")</f>
        <v/>
      </c>
      <c r="AQ1035">
        <f>IF(SUMIFS(T_PlannedOrders[EffectiveQty],T_PlannedOrders[Part Name],$A1029,T_PlannedOrders[WeekIndex],40)=0,"",SUMIFS(T_PlannedOrders[EffectiveQty],T_PlannedOrders[Part Name],$A1029,T_PlannedOrders[WeekIndex],40)&amp;" ("&amp;TEXT(SUMPRODUCT(MAX((T_PlannedOrders[Part Name]=$A1029)*(T_PlannedOrders[WeekIndex]=40)*(T_PlannedOrders[EffectiveQty]&gt;0)*T_PlannedOrders[Order_Month])),"m月")&amp;"発注)")</f>
        <v/>
      </c>
      <c r="AR1035">
        <f>IF(SUMIFS(T_PlannedOrders[EffectiveQty],T_PlannedOrders[Part Name],$A1029,T_PlannedOrders[WeekIndex],41)=0,"",SUMIFS(T_PlannedOrders[EffectiveQty],T_PlannedOrders[Part Name],$A1029,T_PlannedOrders[WeekIndex],41)&amp;" ("&amp;TEXT(SUMPRODUCT(MAX((T_PlannedOrders[Part Name]=$A1029)*(T_PlannedOrders[WeekIndex]=41)*(T_PlannedOrders[EffectiveQty]&gt;0)*T_PlannedOrders[Order_Month])),"m月")&amp;"発注)")</f>
        <v/>
      </c>
      <c r="AS1035">
        <f>IF(SUMIFS(T_PlannedOrders[EffectiveQty],T_PlannedOrders[Part Name],$A1029,T_PlannedOrders[WeekIndex],42)=0,"",SUMIFS(T_PlannedOrders[EffectiveQty],T_PlannedOrders[Part Name],$A1029,T_PlannedOrders[WeekIndex],42)&amp;" ("&amp;TEXT(SUMPRODUCT(MAX((T_PlannedOrders[Part Name]=$A1029)*(T_PlannedOrders[WeekIndex]=42)*(T_PlannedOrders[EffectiveQty]&gt;0)*T_PlannedOrders[Order_Month])),"m月")&amp;"発注)")</f>
        <v/>
      </c>
      <c r="AT1035">
        <f>IF(SUMIFS(T_PlannedOrders[EffectiveQty],T_PlannedOrders[Part Name],$A1029,T_PlannedOrders[WeekIndex],43)=0,"",SUMIFS(T_PlannedOrders[EffectiveQty],T_PlannedOrders[Part Name],$A1029,T_PlannedOrders[WeekIndex],43)&amp;" ("&amp;TEXT(SUMPRODUCT(MAX((T_PlannedOrders[Part Name]=$A1029)*(T_PlannedOrders[WeekIndex]=43)*(T_PlannedOrders[EffectiveQty]&gt;0)*T_PlannedOrders[Order_Month])),"m月")&amp;"発注)")</f>
        <v/>
      </c>
      <c r="AU1035">
        <f>IF(SUMIFS(T_PlannedOrders[EffectiveQty],T_PlannedOrders[Part Name],$A1029,T_PlannedOrders[WeekIndex],44)=0,"",SUMIFS(T_PlannedOrders[EffectiveQty],T_PlannedOrders[Part Name],$A1029,T_PlannedOrders[WeekIndex],44)&amp;" ("&amp;TEXT(SUMPRODUCT(MAX((T_PlannedOrders[Part Name]=$A1029)*(T_PlannedOrders[WeekIndex]=44)*(T_PlannedOrders[EffectiveQty]&gt;0)*T_PlannedOrders[Order_Month])),"m月")&amp;"発注)")</f>
        <v/>
      </c>
      <c r="AV1035">
        <f>IF(SUMIFS(T_PlannedOrders[EffectiveQty],T_PlannedOrders[Part Name],$A1029,T_PlannedOrders[WeekIndex],45)=0,"",SUMIFS(T_PlannedOrders[EffectiveQty],T_PlannedOrders[Part Name],$A1029,T_PlannedOrders[WeekIndex],45)&amp;" ("&amp;TEXT(SUMPRODUCT(MAX((T_PlannedOrders[Part Name]=$A1029)*(T_PlannedOrders[WeekIndex]=45)*(T_PlannedOrders[EffectiveQty]&gt;0)*T_PlannedOrders[Order_Month])),"m月")&amp;"発注)")</f>
        <v/>
      </c>
      <c r="AW1035">
        <f>IF(SUMIFS(T_PlannedOrders[EffectiveQty],T_PlannedOrders[Part Name],$A1029,T_PlannedOrders[WeekIndex],46)=0,"",SUMIFS(T_PlannedOrders[EffectiveQty],T_PlannedOrders[Part Name],$A1029,T_PlannedOrders[WeekIndex],46)&amp;" ("&amp;TEXT(SUMPRODUCT(MAX((T_PlannedOrders[Part Name]=$A1029)*(T_PlannedOrders[WeekIndex]=46)*(T_PlannedOrders[EffectiveQty]&gt;0)*T_PlannedOrders[Order_Month])),"m月")&amp;"発注)")</f>
        <v/>
      </c>
      <c r="AX1035">
        <f>IF(SUMIFS(T_PlannedOrders[EffectiveQty],T_PlannedOrders[Part Name],$A1029,T_PlannedOrders[WeekIndex],47)=0,"",SUMIFS(T_PlannedOrders[EffectiveQty],T_PlannedOrders[Part Name],$A1029,T_PlannedOrders[WeekIndex],47)&amp;" ("&amp;TEXT(SUMPRODUCT(MAX((T_PlannedOrders[Part Name]=$A1029)*(T_PlannedOrders[WeekIndex]=47)*(T_PlannedOrders[EffectiveQty]&gt;0)*T_PlannedOrders[Order_Month])),"m月")&amp;"発注)")</f>
        <v/>
      </c>
      <c r="AY1035">
        <f>IF(SUMIFS(T_PlannedOrders[EffectiveQty],T_PlannedOrders[Part Name],$A1029,T_PlannedOrders[WeekIndex],48)=0,"",SUMIFS(T_PlannedOrders[EffectiveQty],T_PlannedOrders[Part Name],$A1029,T_PlannedOrders[WeekIndex],48)&amp;" ("&amp;TEXT(SUMPRODUCT(MAX((T_PlannedOrders[Part Name]=$A1029)*(T_PlannedOrders[WeekIndex]=48)*(T_PlannedOrders[EffectiveQty]&gt;0)*T_PlannedOrders[Order_Month])),"m月")&amp;"発注)")</f>
        <v/>
      </c>
      <c r="AZ1035">
        <f>IF(SUMIFS(T_PlannedOrders[EffectiveQty],T_PlannedOrders[Part Name],$A1029,T_PlannedOrders[WeekIndex],49)=0,"",SUMIFS(T_PlannedOrders[EffectiveQty],T_PlannedOrders[Part Name],$A1029,T_PlannedOrders[WeekIndex],49)&amp;" ("&amp;TEXT(SUMPRODUCT(MAX((T_PlannedOrders[Part Name]=$A1029)*(T_PlannedOrders[WeekIndex]=49)*(T_PlannedOrders[EffectiveQty]&gt;0)*T_PlannedOrders[Order_Month])),"m月")&amp;"発注)")</f>
        <v/>
      </c>
      <c r="BA1035">
        <f>IF(SUMIFS(T_PlannedOrders[EffectiveQty],T_PlannedOrders[Part Name],$A1029,T_PlannedOrders[WeekIndex],50)=0,"",SUMIFS(T_PlannedOrders[EffectiveQty],T_PlannedOrders[Part Name],$A1029,T_PlannedOrders[WeekIndex],50)&amp;" ("&amp;TEXT(SUMPRODUCT(MAX((T_PlannedOrders[Part Name]=$A1029)*(T_PlannedOrders[WeekIndex]=50)*(T_PlannedOrders[EffectiveQty]&gt;0)*T_PlannedOrders[Order_Month])),"m月")&amp;"発注)")</f>
        <v/>
      </c>
      <c r="BB1035">
        <f>IF(SUMIFS(T_PlannedOrders[EffectiveQty],T_PlannedOrders[Part Name],$A1029,T_PlannedOrders[WeekIndex],51)=0,"",SUMIFS(T_PlannedOrders[EffectiveQty],T_PlannedOrders[Part Name],$A1029,T_PlannedOrders[WeekIndex],51)&amp;" ("&amp;TEXT(SUMPRODUCT(MAX((T_PlannedOrders[Part Name]=$A1029)*(T_PlannedOrders[WeekIndex]=51)*(T_PlannedOrders[EffectiveQty]&gt;0)*T_PlannedOrders[Order_Month])),"m月")&amp;"発注)")</f>
        <v/>
      </c>
      <c r="BC1035">
        <f>IF(SUMIFS(T_PlannedOrders[EffectiveQty],T_PlannedOrders[Part Name],$A1029,T_PlannedOrders[WeekIndex],52)=0,"",SUMIFS(T_PlannedOrders[EffectiveQty],T_PlannedOrders[Part Name],$A1029,T_PlannedOrders[WeekIndex],52)&amp;" ("&amp;TEXT(SUMPRODUCT(MAX((T_PlannedOrders[Part Name]=$A1029)*(T_PlannedOrders[WeekIndex]=52)*(T_PlannedOrders[EffectiveQty]&gt;0)*T_PlannedOrders[Order_Month])),"m月")&amp;"発注)")</f>
        <v/>
      </c>
      <c r="BD1035">
        <f>IF(SUMIFS(T_PlannedOrders[EffectiveQty],T_PlannedOrders[Part Name],$A1029,T_PlannedOrders[WeekIndex],53)=0,"",SUMIFS(T_PlannedOrders[EffectiveQty],T_PlannedOrders[Part Name],$A1029,T_PlannedOrders[WeekIndex],53)&amp;" ("&amp;TEXT(SUMPRODUCT(MAX((T_PlannedOrders[Part Name]=$A1029)*(T_PlannedOrders[WeekIndex]=53)*(T_PlannedOrders[EffectiveQty]&gt;0)*T_PlannedOrders[Order_Month])),"m月")&amp;"発注)")</f>
        <v/>
      </c>
      <c r="BE1035">
        <f>IF(SUMIFS(T_PlannedOrders[EffectiveQty],T_PlannedOrders[Part Name],$A1029,T_PlannedOrders[WeekIndex],54)=0,"",SUMIFS(T_PlannedOrders[EffectiveQty],T_PlannedOrders[Part Name],$A1029,T_PlannedOrders[WeekIndex],54)&amp;" ("&amp;TEXT(SUMPRODUCT(MAX((T_PlannedOrders[Part Name]=$A1029)*(T_PlannedOrders[WeekIndex]=54)*(T_PlannedOrders[EffectiveQty]&gt;0)*T_PlannedOrders[Order_Month])),"m月")&amp;"発注)")</f>
        <v/>
      </c>
      <c r="BF1035">
        <f>IF(SUMIFS(T_PlannedOrders[EffectiveQty],T_PlannedOrders[Part Name],$A1029,T_PlannedOrders[WeekIndex],55)=0,"",SUMIFS(T_PlannedOrders[EffectiveQty],T_PlannedOrders[Part Name],$A1029,T_PlannedOrders[WeekIndex],55)&amp;" ("&amp;TEXT(SUMPRODUCT(MAX((T_PlannedOrders[Part Name]=$A1029)*(T_PlannedOrders[WeekIndex]=55)*(T_PlannedOrders[EffectiveQty]&gt;0)*T_PlannedOrders[Order_Month])),"m月")&amp;"発注)")</f>
        <v/>
      </c>
      <c r="BG1035">
        <f>IF(SUMIFS(T_PlannedOrders[EffectiveQty],T_PlannedOrders[Part Name],$A1029,T_PlannedOrders[WeekIndex],56)=0,"",SUMIFS(T_PlannedOrders[EffectiveQty],T_PlannedOrders[Part Name],$A1029,T_PlannedOrders[WeekIndex],56)&amp;" ("&amp;TEXT(SUMPRODUCT(MAX((T_PlannedOrders[Part Name]=$A1029)*(T_PlannedOrders[WeekIndex]=56)*(T_PlannedOrders[EffectiveQty]&gt;0)*T_PlannedOrders[Order_Month])),"m月")&amp;"発注)")</f>
        <v/>
      </c>
      <c r="BH1035">
        <f>IF(SUMIFS(T_PlannedOrders[EffectiveQty],T_PlannedOrders[Part Name],$A1029,T_PlannedOrders[WeekIndex],57)=0,"",SUMIFS(T_PlannedOrders[EffectiveQty],T_PlannedOrders[Part Name],$A1029,T_PlannedOrders[WeekIndex],57)&amp;" ("&amp;TEXT(SUMPRODUCT(MAX((T_PlannedOrders[Part Name]=$A1029)*(T_PlannedOrders[WeekIndex]=57)*(T_PlannedOrders[EffectiveQty]&gt;0)*T_PlannedOrders[Order_Month])),"m月")&amp;"発注)")</f>
        <v/>
      </c>
      <c r="BI1035">
        <f>IF(SUMIFS(T_PlannedOrders[EffectiveQty],T_PlannedOrders[Part Name],$A1029,T_PlannedOrders[WeekIndex],58)=0,"",SUMIFS(T_PlannedOrders[EffectiveQty],T_PlannedOrders[Part Name],$A1029,T_PlannedOrders[WeekIndex],58)&amp;" ("&amp;TEXT(SUMPRODUCT(MAX((T_PlannedOrders[Part Name]=$A1029)*(T_PlannedOrders[WeekIndex]=58)*(T_PlannedOrders[EffectiveQty]&gt;0)*T_PlannedOrders[Order_Month])),"m月")&amp;"発注)")</f>
        <v/>
      </c>
      <c r="BJ1035">
        <f>IF(SUMIFS(T_PlannedOrders[EffectiveQty],T_PlannedOrders[Part Name],$A1029,T_PlannedOrders[WeekIndex],59)=0,"",SUMIFS(T_PlannedOrders[EffectiveQty],T_PlannedOrders[Part Name],$A1029,T_PlannedOrders[WeekIndex],59)&amp;" ("&amp;TEXT(SUMPRODUCT(MAX((T_PlannedOrders[Part Name]=$A1029)*(T_PlannedOrders[WeekIndex]=59)*(T_PlannedOrders[EffectiveQty]&gt;0)*T_PlannedOrders[Order_Month])),"m月")&amp;"発注)")</f>
        <v/>
      </c>
      <c r="BK1035">
        <f>IF(SUMIFS(T_PlannedOrders[EffectiveQty],T_PlannedOrders[Part Name],$A1029,T_PlannedOrders[WeekIndex],60)=0,"",SUMIFS(T_PlannedOrders[EffectiveQty],T_PlannedOrders[Part Name],$A1029,T_PlannedOrders[WeekIndex],60)&amp;" ("&amp;TEXT(SUMPRODUCT(MAX((T_PlannedOrders[Part Name]=$A1029)*(T_PlannedOrders[WeekIndex]=60)*(T_PlannedOrders[EffectiveQty]&gt;0)*T_PlannedOrders[Order_Month])),"m月")&amp;"発注)")</f>
        <v/>
      </c>
      <c r="BL1035">
        <f>IF(SUMIFS(T_PlannedOrders[EffectiveQty],T_PlannedOrders[Part Name],$A1029,T_PlannedOrders[WeekIndex],61)=0,"",SUMIFS(T_PlannedOrders[EffectiveQty],T_PlannedOrders[Part Name],$A1029,T_PlannedOrders[WeekIndex],61)&amp;" ("&amp;TEXT(SUMPRODUCT(MAX((T_PlannedOrders[Part Name]=$A1029)*(T_PlannedOrders[WeekIndex]=61)*(T_PlannedOrders[EffectiveQty]&gt;0)*T_PlannedOrders[Order_Month])),"m月")&amp;"発注)")</f>
        <v/>
      </c>
      <c r="BM1035">
        <f>IF(SUMIFS(T_PlannedOrders[EffectiveQty],T_PlannedOrders[Part Name],$A1029,T_PlannedOrders[WeekIndex],62)=0,"",SUMIFS(T_PlannedOrders[EffectiveQty],T_PlannedOrders[Part Name],$A1029,T_PlannedOrders[WeekIndex],62)&amp;" ("&amp;TEXT(SUMPRODUCT(MAX((T_PlannedOrders[Part Name]=$A1029)*(T_PlannedOrders[WeekIndex]=62)*(T_PlannedOrders[EffectiveQty]&gt;0)*T_PlannedOrders[Order_Month])),"m月")&amp;"発注)")</f>
        <v/>
      </c>
      <c r="BN1035">
        <f>IF(SUMIFS(T_PlannedOrders[EffectiveQty],T_PlannedOrders[Part Name],$A1029,T_PlannedOrders[WeekIndex],63)=0,"",SUMIFS(T_PlannedOrders[EffectiveQty],T_PlannedOrders[Part Name],$A1029,T_PlannedOrders[WeekIndex],63)&amp;" ("&amp;TEXT(SUMPRODUCT(MAX((T_PlannedOrders[Part Name]=$A1029)*(T_PlannedOrders[WeekIndex]=63)*(T_PlannedOrders[EffectiveQty]&gt;0)*T_PlannedOrders[Order_Month])),"m月")&amp;"発注)")</f>
        <v/>
      </c>
      <c r="BO1035">
        <f>IF(SUMIFS(T_PlannedOrders[EffectiveQty],T_PlannedOrders[Part Name],$A1029,T_PlannedOrders[WeekIndex],64)=0,"",SUMIFS(T_PlannedOrders[EffectiveQty],T_PlannedOrders[Part Name],$A1029,T_PlannedOrders[WeekIndex],64)&amp;" ("&amp;TEXT(SUMPRODUCT(MAX((T_PlannedOrders[Part Name]=$A1029)*(T_PlannedOrders[WeekIndex]=64)*(T_PlannedOrders[EffectiveQty]&gt;0)*T_PlannedOrders[Order_Month])),"m月")&amp;"発注)")</f>
        <v/>
      </c>
      <c r="BP1035">
        <f>IF(SUMIFS(T_PlannedOrders[EffectiveQty],T_PlannedOrders[Part Name],$A1029,T_PlannedOrders[WeekIndex],65)=0,"",SUMIFS(T_PlannedOrders[EffectiveQty],T_PlannedOrders[Part Name],$A1029,T_PlannedOrders[WeekIndex],65)&amp;" ("&amp;TEXT(SUMPRODUCT(MAX((T_PlannedOrders[Part Name]=$A1029)*(T_PlannedOrders[WeekIndex]=65)*(T_PlannedOrders[EffectiveQty]&gt;0)*T_PlannedOrders[Order_Month])),"m月")&amp;"発注)")</f>
        <v/>
      </c>
      <c r="BQ1035">
        <f>IF(SUMIFS(T_PlannedOrders[EffectiveQty],T_PlannedOrders[Part Name],$A1029,T_PlannedOrders[WeekIndex],66)=0,"",SUMIFS(T_PlannedOrders[EffectiveQty],T_PlannedOrders[Part Name],$A1029,T_PlannedOrders[WeekIndex],66)&amp;" ("&amp;TEXT(SUMPRODUCT(MAX((T_PlannedOrders[Part Name]=$A1029)*(T_PlannedOrders[WeekIndex]=66)*(T_PlannedOrders[EffectiveQty]&gt;0)*T_PlannedOrders[Order_Month])),"m月")&amp;"発注)")</f>
        <v/>
      </c>
      <c r="BR1035">
        <f>IF(SUMIFS(T_PlannedOrders[EffectiveQty],T_PlannedOrders[Part Name],$A1029,T_PlannedOrders[WeekIndex],67)=0,"",SUMIFS(T_PlannedOrders[EffectiveQty],T_PlannedOrders[Part Name],$A1029,T_PlannedOrders[WeekIndex],67)&amp;" ("&amp;TEXT(SUMPRODUCT(MAX((T_PlannedOrders[Part Name]=$A1029)*(T_PlannedOrders[WeekIndex]=67)*(T_PlannedOrders[EffectiveQty]&gt;0)*T_PlannedOrders[Order_Month])),"m月")&amp;"発注)")</f>
        <v/>
      </c>
      <c r="BS1035">
        <f>IF(SUMIFS(T_PlannedOrders[EffectiveQty],T_PlannedOrders[Part Name],$A1029,T_PlannedOrders[WeekIndex],68)=0,"",SUMIFS(T_PlannedOrders[EffectiveQty],T_PlannedOrders[Part Name],$A1029,T_PlannedOrders[WeekIndex],68)&amp;" ("&amp;TEXT(SUMPRODUCT(MAX((T_PlannedOrders[Part Name]=$A1029)*(T_PlannedOrders[WeekIndex]=68)*(T_PlannedOrders[EffectiveQty]&gt;0)*T_PlannedOrders[Order_Month])),"m月")&amp;"発注)")</f>
        <v/>
      </c>
      <c r="BT1035">
        <f>IF(SUMIFS(T_PlannedOrders[EffectiveQty],T_PlannedOrders[Part Name],$A1029,T_PlannedOrders[WeekIndex],69)=0,"",SUMIFS(T_PlannedOrders[EffectiveQty],T_PlannedOrders[Part Name],$A1029,T_PlannedOrders[WeekIndex],69)&amp;" ("&amp;TEXT(SUMPRODUCT(MAX((T_PlannedOrders[Part Name]=$A1029)*(T_PlannedOrders[WeekIndex]=69)*(T_PlannedOrders[EffectiveQty]&gt;0)*T_PlannedOrders[Order_Month])),"m月")&amp;"発注)")</f>
        <v/>
      </c>
      <c r="BU1035">
        <f>IF(SUMIFS(T_PlannedOrders[EffectiveQty],T_PlannedOrders[Part Name],$A1029,T_PlannedOrders[WeekIndex],70)=0,"",SUMIFS(T_PlannedOrders[EffectiveQty],T_PlannedOrders[Part Name],$A1029,T_PlannedOrders[WeekIndex],70)&amp;" ("&amp;TEXT(SUMPRODUCT(MAX((T_PlannedOrders[Part Name]=$A1029)*(T_PlannedOrders[WeekIndex]=70)*(T_PlannedOrders[EffectiveQty]&gt;0)*T_PlannedOrders[Order_Month])),"m月")&amp;"発注)")</f>
        <v/>
      </c>
      <c r="BV1035">
        <f>IF(SUMIFS(T_PlannedOrders[EffectiveQty],T_PlannedOrders[Part Name],$A1029,T_PlannedOrders[WeekIndex],71)=0,"",SUMIFS(T_PlannedOrders[EffectiveQty],T_PlannedOrders[Part Name],$A1029,T_PlannedOrders[WeekIndex],71)&amp;" ("&amp;TEXT(SUMPRODUCT(MAX((T_PlannedOrders[Part Name]=$A1029)*(T_PlannedOrders[WeekIndex]=71)*(T_PlannedOrders[EffectiveQty]&gt;0)*T_PlannedOrders[Order_Month])),"m月")&amp;"発注)")</f>
        <v/>
      </c>
      <c r="BW1035">
        <f>IF(SUMIFS(T_PlannedOrders[EffectiveQty],T_PlannedOrders[Part Name],$A1029,T_PlannedOrders[WeekIndex],72)=0,"",SUMIFS(T_PlannedOrders[EffectiveQty],T_PlannedOrders[Part Name],$A1029,T_PlannedOrders[WeekIndex],72)&amp;" ("&amp;TEXT(SUMPRODUCT(MAX((T_PlannedOrders[Part Name]=$A1029)*(T_PlannedOrders[WeekIndex]=72)*(T_PlannedOrders[EffectiveQty]&gt;0)*T_PlannedOrders[Order_Month])),"m月")&amp;"発注)")</f>
        <v/>
      </c>
      <c r="BX1035">
        <f>IF(SUMIFS(T_PlannedOrders[EffectiveQty],T_PlannedOrders[Part Name],$A1029,T_PlannedOrders[WeekIndex],73)=0,"",SUMIFS(T_PlannedOrders[EffectiveQty],T_PlannedOrders[Part Name],$A1029,T_PlannedOrders[WeekIndex],73)&amp;" ("&amp;TEXT(SUMPRODUCT(MAX((T_PlannedOrders[Part Name]=$A1029)*(T_PlannedOrders[WeekIndex]=73)*(T_PlannedOrders[EffectiveQty]&gt;0)*T_PlannedOrders[Order_Month])),"m月")&amp;"発注)")</f>
        <v/>
      </c>
      <c r="BY1035">
        <f>IF(SUMIFS(T_PlannedOrders[EffectiveQty],T_PlannedOrders[Part Name],$A1029,T_PlannedOrders[WeekIndex],74)=0,"",SUMIFS(T_PlannedOrders[EffectiveQty],T_PlannedOrders[Part Name],$A1029,T_PlannedOrders[WeekIndex],74)&amp;" ("&amp;TEXT(SUMPRODUCT(MAX((T_PlannedOrders[Part Name]=$A1029)*(T_PlannedOrders[WeekIndex]=74)*(T_PlannedOrders[EffectiveQty]&gt;0)*T_PlannedOrders[Order_Month])),"m月")&amp;"発注)")</f>
        <v/>
      </c>
      <c r="BZ1035">
        <f>IF(SUMIFS(T_PlannedOrders[EffectiveQty],T_PlannedOrders[Part Name],$A1029,T_PlannedOrders[WeekIndex],75)=0,"",SUMIFS(T_PlannedOrders[EffectiveQty],T_PlannedOrders[Part Name],$A1029,T_PlannedOrders[WeekIndex],75)&amp;" ("&amp;TEXT(SUMPRODUCT(MAX((T_PlannedOrders[Part Name]=$A1029)*(T_PlannedOrders[WeekIndex]=75)*(T_PlannedOrders[EffectiveQty]&gt;0)*T_PlannedOrders[Order_Month])),"m月")&amp;"発注)")</f>
        <v/>
      </c>
      <c r="CA1035">
        <f>IF(SUMIFS(T_PlannedOrders[EffectiveQty],T_PlannedOrders[Part Name],$A1029,T_PlannedOrders[WeekIndex],76)=0,"",SUMIFS(T_PlannedOrders[EffectiveQty],T_PlannedOrders[Part Name],$A1029,T_PlannedOrders[WeekIndex],76)&amp;" ("&amp;TEXT(SUMPRODUCT(MAX((T_PlannedOrders[Part Name]=$A1029)*(T_PlannedOrders[WeekIndex]=76)*(T_PlannedOrders[EffectiveQty]&gt;0)*T_PlannedOrders[Order_Month])),"m月")&amp;"発注)")</f>
        <v/>
      </c>
      <c r="CB1035">
        <f>IF(SUMIFS(T_PlannedOrders[EffectiveQty],T_PlannedOrders[Part Name],$A1029,T_PlannedOrders[WeekIndex],77)=0,"",SUMIFS(T_PlannedOrders[EffectiveQty],T_PlannedOrders[Part Name],$A1029,T_PlannedOrders[WeekIndex],77)&amp;" ("&amp;TEXT(SUMPRODUCT(MAX((T_PlannedOrders[Part Name]=$A1029)*(T_PlannedOrders[WeekIndex]=77)*(T_PlannedOrders[EffectiveQty]&gt;0)*T_PlannedOrders[Order_Month])),"m月")&amp;"発注)")</f>
        <v/>
      </c>
      <c r="CC1035">
        <f>IF(SUMIFS(T_PlannedOrders[EffectiveQty],T_PlannedOrders[Part Name],$A1029,T_PlannedOrders[WeekIndex],78)=0,"",SUMIFS(T_PlannedOrders[EffectiveQty],T_PlannedOrders[Part Name],$A1029,T_PlannedOrders[WeekIndex],78)&amp;" ("&amp;TEXT(SUMPRODUCT(MAX((T_PlannedOrders[Part Name]=$A1029)*(T_PlannedOrders[WeekIndex]=78)*(T_PlannedOrders[EffectiveQty]&gt;0)*T_PlannedOrders[Order_Month])),"m月")&amp;"発注)")</f>
        <v/>
      </c>
      <c r="CD1035">
        <f>IF(SUMIFS(T_PlannedOrders[EffectiveQty],T_PlannedOrders[Part Name],$A1029,T_PlannedOrders[WeekIndex],79)=0,"",SUMIFS(T_PlannedOrders[EffectiveQty],T_PlannedOrders[Part Name],$A1029,T_PlannedOrders[WeekIndex],79)&amp;" ("&amp;TEXT(SUMPRODUCT(MAX((T_PlannedOrders[Part Name]=$A1029)*(T_PlannedOrders[WeekIndex]=79)*(T_PlannedOrders[EffectiveQty]&gt;0)*T_PlannedOrders[Order_Month])),"m月")&amp;"発注)")</f>
        <v/>
      </c>
      <c r="CE1035">
        <f>IF(SUMIFS(T_PlannedOrders[EffectiveQty],T_PlannedOrders[Part Name],$A1029,T_PlannedOrders[WeekIndex],80)=0,"",SUMIFS(T_PlannedOrders[EffectiveQty],T_PlannedOrders[Part Name],$A1029,T_PlannedOrders[WeekIndex],80)&amp;" ("&amp;TEXT(SUMPRODUCT(MAX((T_PlannedOrders[Part Name]=$A1029)*(T_PlannedOrders[WeekIndex]=80)*(T_PlannedOrders[EffectiveQty]&gt;0)*T_PlannedOrders[Order_Month])),"m月")&amp;"発注)")</f>
        <v/>
      </c>
      <c r="CF1035">
        <f>IF(SUMIFS(T_PlannedOrders[EffectiveQty],T_PlannedOrders[Part Name],$A1029,T_PlannedOrders[WeekIndex],81)=0,"",SUMIFS(T_PlannedOrders[EffectiveQty],T_PlannedOrders[Part Name],$A1029,T_PlannedOrders[WeekIndex],81)&amp;" ("&amp;TEXT(SUMPRODUCT(MAX((T_PlannedOrders[Part Name]=$A1029)*(T_PlannedOrders[WeekIndex]=81)*(T_PlannedOrders[EffectiveQty]&gt;0)*T_PlannedOrders[Order_Month])),"m月")&amp;"発注)")</f>
        <v/>
      </c>
      <c r="CG1035">
        <f>IF(SUMIFS(T_PlannedOrders[EffectiveQty],T_PlannedOrders[Part Name],$A1029,T_PlannedOrders[WeekIndex],82)=0,"",SUMIFS(T_PlannedOrders[EffectiveQty],T_PlannedOrders[Part Name],$A1029,T_PlannedOrders[WeekIndex],82)&amp;" ("&amp;TEXT(SUMPRODUCT(MAX((T_PlannedOrders[Part Name]=$A1029)*(T_PlannedOrders[WeekIndex]=82)*(T_PlannedOrders[EffectiveQty]&gt;0)*T_PlannedOrders[Order_Month])),"m月")&amp;"発注)")</f>
        <v/>
      </c>
      <c r="CH1035">
        <f>IF(SUMIFS(T_PlannedOrders[EffectiveQty],T_PlannedOrders[Part Name],$A1029,T_PlannedOrders[WeekIndex],83)=0,"",SUMIFS(T_PlannedOrders[EffectiveQty],T_PlannedOrders[Part Name],$A1029,T_PlannedOrders[WeekIndex],83)&amp;" ("&amp;TEXT(SUMPRODUCT(MAX((T_PlannedOrders[Part Name]=$A1029)*(T_PlannedOrders[WeekIndex]=83)*(T_PlannedOrders[EffectiveQty]&gt;0)*T_PlannedOrders[Order_Month])),"m月")&amp;"発注)")</f>
        <v/>
      </c>
      <c r="CI1035">
        <f>IF(SUMIFS(T_PlannedOrders[EffectiveQty],T_PlannedOrders[Part Name],$A1029,T_PlannedOrders[WeekIndex],84)=0,"",SUMIFS(T_PlannedOrders[EffectiveQty],T_PlannedOrders[Part Name],$A1029,T_PlannedOrders[WeekIndex],84)&amp;" ("&amp;TEXT(SUMPRODUCT(MAX((T_PlannedOrders[Part Name]=$A1029)*(T_PlannedOrders[WeekIndex]=84)*(T_PlannedOrders[EffectiveQty]&gt;0)*T_PlannedOrders[Order_Month])),"m月")&amp;"発注)")</f>
        <v/>
      </c>
      <c r="CJ1035">
        <f>IF(SUMIFS(T_PlannedOrders[EffectiveQty],T_PlannedOrders[Part Name],$A1029,T_PlannedOrders[WeekIndex],85)=0,"",SUMIFS(T_PlannedOrders[EffectiveQty],T_PlannedOrders[Part Name],$A1029,T_PlannedOrders[WeekIndex],85)&amp;" ("&amp;TEXT(SUMPRODUCT(MAX((T_PlannedOrders[Part Name]=$A1029)*(T_PlannedOrders[WeekIndex]=85)*(T_PlannedOrders[EffectiveQty]&gt;0)*T_PlannedOrders[Order_Month])),"m月")&amp;"発注)")</f>
        <v/>
      </c>
      <c r="CK1035">
        <f>IF(SUMIFS(T_PlannedOrders[EffectiveQty],T_PlannedOrders[Part Name],$A1029,T_PlannedOrders[WeekIndex],86)=0,"",SUMIFS(T_PlannedOrders[EffectiveQty],T_PlannedOrders[Part Name],$A1029,T_PlannedOrders[WeekIndex],86)&amp;" ("&amp;TEXT(SUMPRODUCT(MAX((T_PlannedOrders[Part Name]=$A1029)*(T_PlannedOrders[WeekIndex]=86)*(T_PlannedOrders[EffectiveQty]&gt;0)*T_PlannedOrders[Order_Month])),"m月")&amp;"発注)")</f>
        <v/>
      </c>
      <c r="CL1035">
        <f>IF(SUMIFS(T_PlannedOrders[EffectiveQty],T_PlannedOrders[Part Name],$A1029,T_PlannedOrders[WeekIndex],87)=0,"",SUMIFS(T_PlannedOrders[EffectiveQty],T_PlannedOrders[Part Name],$A1029,T_PlannedOrders[WeekIndex],87)&amp;" ("&amp;TEXT(SUMPRODUCT(MAX((T_PlannedOrders[Part Name]=$A1029)*(T_PlannedOrders[WeekIndex]=87)*(T_PlannedOrders[EffectiveQty]&gt;0)*T_PlannedOrders[Order_Month])),"m月")&amp;"発注)")</f>
        <v/>
      </c>
      <c r="CM1035">
        <f>IF(SUMIFS(T_PlannedOrders[EffectiveQty],T_PlannedOrders[Part Name],$A1029,T_PlannedOrders[WeekIndex],88)=0,"",SUMIFS(T_PlannedOrders[EffectiveQty],T_PlannedOrders[Part Name],$A1029,T_PlannedOrders[WeekIndex],88)&amp;" ("&amp;TEXT(SUMPRODUCT(MAX((T_PlannedOrders[Part Name]=$A1029)*(T_PlannedOrders[WeekIndex]=88)*(T_PlannedOrders[EffectiveQty]&gt;0)*T_PlannedOrders[Order_Month])),"m月")&amp;"発注)")</f>
        <v/>
      </c>
      <c r="CN1035">
        <f>IF(SUMIFS(T_PlannedOrders[EffectiveQty],T_PlannedOrders[Part Name],$A1029,T_PlannedOrders[WeekIndex],89)=0,"",SUMIFS(T_PlannedOrders[EffectiveQty],T_PlannedOrders[Part Name],$A1029,T_PlannedOrders[WeekIndex],89)&amp;" ("&amp;TEXT(SUMPRODUCT(MAX((T_PlannedOrders[Part Name]=$A1029)*(T_PlannedOrders[WeekIndex]=89)*(T_PlannedOrders[EffectiveQty]&gt;0)*T_PlannedOrders[Order_Month])),"m月")&amp;"発注)")</f>
        <v/>
      </c>
      <c r="CO1035">
        <f>IF(SUMIFS(T_PlannedOrders[EffectiveQty],T_PlannedOrders[Part Name],$A1029,T_PlannedOrders[WeekIndex],90)=0,"",SUMIFS(T_PlannedOrders[EffectiveQty],T_PlannedOrders[Part Name],$A1029,T_PlannedOrders[WeekIndex],90)&amp;" ("&amp;TEXT(SUMPRODUCT(MAX((T_PlannedOrders[Part Name]=$A1029)*(T_PlannedOrders[WeekIndex]=90)*(T_PlannedOrders[EffectiveQty]&gt;0)*T_PlannedOrders[Order_Month])),"m月")&amp;"発注)")</f>
        <v/>
      </c>
      <c r="CP1035">
        <f>IF(SUMIFS(T_PlannedOrders[EffectiveQty],T_PlannedOrders[Part Name],$A1029,T_PlannedOrders[WeekIndex],91)=0,"",SUMIFS(T_PlannedOrders[EffectiveQty],T_PlannedOrders[Part Name],$A1029,T_PlannedOrders[WeekIndex],91)&amp;" ("&amp;TEXT(SUMPRODUCT(MAX((T_PlannedOrders[Part Name]=$A1029)*(T_PlannedOrders[WeekIndex]=91)*(T_PlannedOrders[EffectiveQty]&gt;0)*T_PlannedOrders[Order_Month])),"m月")&amp;"発注)")</f>
        <v/>
      </c>
      <c r="CQ1035">
        <f>IF(SUMIFS(T_PlannedOrders[EffectiveQty],T_PlannedOrders[Part Name],$A1029,T_PlannedOrders[WeekIndex],92)=0,"",SUMIFS(T_PlannedOrders[EffectiveQty],T_PlannedOrders[Part Name],$A1029,T_PlannedOrders[WeekIndex],92)&amp;" ("&amp;TEXT(SUMPRODUCT(MAX((T_PlannedOrders[Part Name]=$A1029)*(T_PlannedOrders[WeekIndex]=92)*(T_PlannedOrders[EffectiveQty]&gt;0)*T_PlannedOrders[Order_Month])),"m月")&amp;"発注)")</f>
        <v/>
      </c>
      <c r="CR1035">
        <f>IF(SUMIFS(T_PlannedOrders[EffectiveQty],T_PlannedOrders[Part Name],$A1029,T_PlannedOrders[WeekIndex],93)=0,"",SUMIFS(T_PlannedOrders[EffectiveQty],T_PlannedOrders[Part Name],$A1029,T_PlannedOrders[WeekIndex],93)&amp;" ("&amp;TEXT(SUMPRODUCT(MAX((T_PlannedOrders[Part Name]=$A1029)*(T_PlannedOrders[WeekIndex]=93)*(T_PlannedOrders[EffectiveQty]&gt;0)*T_PlannedOrders[Order_Month])),"m月")&amp;"発注)")</f>
        <v/>
      </c>
      <c r="CS1035">
        <f>IF(SUMIFS(T_PlannedOrders[EffectiveQty],T_PlannedOrders[Part Name],$A1029,T_PlannedOrders[WeekIndex],94)=0,"",SUMIFS(T_PlannedOrders[EffectiveQty],T_PlannedOrders[Part Name],$A1029,T_PlannedOrders[WeekIndex],94)&amp;" ("&amp;TEXT(SUMPRODUCT(MAX((T_PlannedOrders[Part Name]=$A1029)*(T_PlannedOrders[WeekIndex]=94)*(T_PlannedOrders[EffectiveQty]&gt;0)*T_PlannedOrders[Order_Month])),"m月")&amp;"発注)")</f>
        <v/>
      </c>
      <c r="CT1035">
        <f>IF(SUMIFS(T_PlannedOrders[EffectiveQty],T_PlannedOrders[Part Name],$A1029,T_PlannedOrders[WeekIndex],95)=0,"",SUMIFS(T_PlannedOrders[EffectiveQty],T_PlannedOrders[Part Name],$A1029,T_PlannedOrders[WeekIndex],95)&amp;" ("&amp;TEXT(SUMPRODUCT(MAX((T_PlannedOrders[Part Name]=$A1029)*(T_PlannedOrders[WeekIndex]=95)*(T_PlannedOrders[EffectiveQty]&gt;0)*T_PlannedOrders[Order_Month])),"m月")&amp;"発注)")</f>
        <v/>
      </c>
      <c r="CU1035">
        <f>IF(SUMIFS(T_PlannedOrders[EffectiveQty],T_PlannedOrders[Part Name],$A1029,T_PlannedOrders[WeekIndex],96)=0,"",SUMIFS(T_PlannedOrders[EffectiveQty],T_PlannedOrders[Part Name],$A1029,T_PlannedOrders[WeekIndex],96)&amp;" ("&amp;TEXT(SUMPRODUCT(MAX((T_PlannedOrders[Part Name]=$A1029)*(T_PlannedOrders[WeekIndex]=96)*(T_PlannedOrders[EffectiveQty]&gt;0)*T_PlannedOrders[Order_Month])),"m月")&amp;"発注)")</f>
        <v/>
      </c>
      <c r="CV1035">
        <f>IF(SUMIFS(T_PlannedOrders[EffectiveQty],T_PlannedOrders[Part Name],$A1029,T_PlannedOrders[WeekIndex],97)=0,"",SUMIFS(T_PlannedOrders[EffectiveQty],T_PlannedOrders[Part Name],$A1029,T_PlannedOrders[WeekIndex],97)&amp;" ("&amp;TEXT(SUMPRODUCT(MAX((T_PlannedOrders[Part Name]=$A1029)*(T_PlannedOrders[WeekIndex]=97)*(T_PlannedOrders[EffectiveQty]&gt;0)*T_PlannedOrders[Order_Month])),"m月")&amp;"発注)")</f>
        <v/>
      </c>
      <c r="CW1035">
        <f>IF(SUMIFS(T_PlannedOrders[EffectiveQty],T_PlannedOrders[Part Name],$A1029,T_PlannedOrders[WeekIndex],98)=0,"",SUMIFS(T_PlannedOrders[EffectiveQty],T_PlannedOrders[Part Name],$A1029,T_PlannedOrders[WeekIndex],98)&amp;" ("&amp;TEXT(SUMPRODUCT(MAX((T_PlannedOrders[Part Name]=$A1029)*(T_PlannedOrders[WeekIndex]=98)*(T_PlannedOrders[EffectiveQty]&gt;0)*T_PlannedOrders[Order_Month])),"m月")&amp;"発注)")</f>
        <v/>
      </c>
      <c r="CX1035">
        <f>IF(SUMIFS(T_PlannedOrders[EffectiveQty],T_PlannedOrders[Part Name],$A1029,T_PlannedOrders[WeekIndex],99)=0,"",SUMIFS(T_PlannedOrders[EffectiveQty],T_PlannedOrders[Part Name],$A1029,T_PlannedOrders[WeekIndex],99)&amp;" ("&amp;TEXT(SUMPRODUCT(MAX((T_PlannedOrders[Part Name]=$A1029)*(T_PlannedOrders[WeekIndex]=99)*(T_PlannedOrders[EffectiveQty]&gt;0)*T_PlannedOrders[Order_Month])),"m月")&amp;"発注)")</f>
        <v/>
      </c>
      <c r="CY1035">
        <f>IF(SUMIFS(T_PlannedOrders[EffectiveQty],T_PlannedOrders[Part Name],$A1029,T_PlannedOrders[WeekIndex],100)=0,"",SUMIFS(T_PlannedOrders[EffectiveQty],T_PlannedOrders[Part Name],$A1029,T_PlannedOrders[WeekIndex],100)&amp;" ("&amp;TEXT(SUMPRODUCT(MAX((T_PlannedOrders[Part Name]=$A1029)*(T_PlannedOrders[WeekIndex]=100)*(T_PlannedOrders[EffectiveQty]&gt;0)*T_PlannedOrders[Order_Month])),"m月")&amp;"発注)")</f>
        <v/>
      </c>
      <c r="CZ1035">
        <f>IF(SUMIFS(T_PlannedOrders[EffectiveQty],T_PlannedOrders[Part Name],$A1029,T_PlannedOrders[WeekIndex],101)=0,"",SUMIFS(T_PlannedOrders[EffectiveQty],T_PlannedOrders[Part Name],$A1029,T_PlannedOrders[WeekIndex],101)&amp;" ("&amp;TEXT(SUMPRODUCT(MAX((T_PlannedOrders[Part Name]=$A1029)*(T_PlannedOrders[WeekIndex]=101)*(T_PlannedOrders[EffectiveQty]&gt;0)*T_PlannedOrders[Order_Month])),"m月")&amp;"発注)")</f>
        <v/>
      </c>
      <c r="DA1035">
        <f>IF(SUMIFS(T_PlannedOrders[EffectiveQty],T_PlannedOrders[Part Name],$A1029,T_PlannedOrders[WeekIndex],102)=0,"",SUMIFS(T_PlannedOrders[EffectiveQty],T_PlannedOrders[Part Name],$A1029,T_PlannedOrders[WeekIndex],102)&amp;" ("&amp;TEXT(SUMPRODUCT(MAX((T_PlannedOrders[Part Name]=$A1029)*(T_PlannedOrders[WeekIndex]=102)*(T_PlannedOrders[EffectiveQty]&gt;0)*T_PlannedOrders[Order_Month])),"m月")&amp;"発注)")</f>
        <v/>
      </c>
      <c r="DB1035">
        <f>IF(SUMIFS(T_PlannedOrders[EffectiveQty],T_PlannedOrders[Part Name],$A1029,T_PlannedOrders[WeekIndex],103)=0,"",SUMIFS(T_PlannedOrders[EffectiveQty],T_PlannedOrders[Part Name],$A1029,T_PlannedOrders[WeekIndex],103)&amp;" ("&amp;TEXT(SUMPRODUCT(MAX((T_PlannedOrders[Part Name]=$A1029)*(T_PlannedOrders[WeekIndex]=103)*(T_PlannedOrders[EffectiveQty]&gt;0)*T_PlannedOrders[Order_Month])),"m月")&amp;"発注)")</f>
        <v/>
      </c>
      <c r="DC1035">
        <f>IF(SUMIFS(T_PlannedOrders[EffectiveQty],T_PlannedOrders[Part Name],$A1029,T_PlannedOrders[WeekIndex],104)=0,"",SUMIFS(T_PlannedOrders[EffectiveQty],T_PlannedOrders[Part Name],$A1029,T_PlannedOrders[WeekIndex],104)&amp;" ("&amp;TEXT(SUMPRODUCT(MAX((T_PlannedOrders[Part Name]=$A1029)*(T_PlannedOrders[WeekIndex]=104)*(T_PlannedOrders[EffectiveQty]&gt;0)*T_PlannedOrders[Order_Month])),"m月")&amp;"発注)")</f>
        <v/>
      </c>
    </row>
    <row r="1036">
      <c r="B1036" s="4" t="inlineStr">
        <is>
          <t>合計在庫(週末時点,kg)</t>
        </is>
      </c>
      <c r="D1036">
        <f>'Grid_Stock'!B40</f>
        <v/>
      </c>
      <c r="E1036">
        <f>'Grid_Stock'!C40</f>
        <v/>
      </c>
      <c r="F1036">
        <f>'Grid_Stock'!D40</f>
        <v/>
      </c>
      <c r="G1036">
        <f>'Grid_Stock'!E40</f>
        <v/>
      </c>
      <c r="H1036">
        <f>'Grid_Stock'!F40</f>
        <v/>
      </c>
      <c r="I1036">
        <f>'Grid_Stock'!G40</f>
        <v/>
      </c>
      <c r="J1036">
        <f>'Grid_Stock'!H40</f>
        <v/>
      </c>
      <c r="K1036">
        <f>'Grid_Stock'!I40</f>
        <v/>
      </c>
      <c r="L1036">
        <f>'Grid_Stock'!J40</f>
        <v/>
      </c>
      <c r="M1036">
        <f>'Grid_Stock'!K40</f>
        <v/>
      </c>
      <c r="N1036">
        <f>'Grid_Stock'!L40</f>
        <v/>
      </c>
      <c r="O1036">
        <f>'Grid_Stock'!M40</f>
        <v/>
      </c>
      <c r="P1036">
        <f>'Grid_Stock'!N40</f>
        <v/>
      </c>
      <c r="Q1036">
        <f>'Grid_Stock'!O40</f>
        <v/>
      </c>
      <c r="R1036">
        <f>'Grid_Stock'!P40</f>
        <v/>
      </c>
      <c r="S1036">
        <f>'Grid_Stock'!Q40</f>
        <v/>
      </c>
      <c r="T1036">
        <f>'Grid_Stock'!R40</f>
        <v/>
      </c>
      <c r="U1036">
        <f>'Grid_Stock'!S40</f>
        <v/>
      </c>
      <c r="V1036">
        <f>'Grid_Stock'!T40</f>
        <v/>
      </c>
      <c r="W1036">
        <f>'Grid_Stock'!U40</f>
        <v/>
      </c>
      <c r="X1036">
        <f>'Grid_Stock'!V40</f>
        <v/>
      </c>
      <c r="Y1036">
        <f>'Grid_Stock'!W40</f>
        <v/>
      </c>
      <c r="Z1036">
        <f>'Grid_Stock'!X40</f>
        <v/>
      </c>
      <c r="AA1036">
        <f>'Grid_Stock'!Y40</f>
        <v/>
      </c>
      <c r="AB1036">
        <f>'Grid_Stock'!Z40</f>
        <v/>
      </c>
      <c r="AC1036">
        <f>'Grid_Stock'!AA40</f>
        <v/>
      </c>
      <c r="AD1036">
        <f>'Grid_Stock'!AB40</f>
        <v/>
      </c>
      <c r="AE1036">
        <f>'Grid_Stock'!AC40</f>
        <v/>
      </c>
      <c r="AF1036">
        <f>'Grid_Stock'!AD40</f>
        <v/>
      </c>
      <c r="AG1036">
        <f>'Grid_Stock'!AE40</f>
        <v/>
      </c>
      <c r="AH1036">
        <f>'Grid_Stock'!AF40</f>
        <v/>
      </c>
      <c r="AI1036">
        <f>'Grid_Stock'!AG40</f>
        <v/>
      </c>
      <c r="AJ1036">
        <f>'Grid_Stock'!AH40</f>
        <v/>
      </c>
      <c r="AK1036">
        <f>'Grid_Stock'!AI40</f>
        <v/>
      </c>
      <c r="AL1036">
        <f>'Grid_Stock'!AJ40</f>
        <v/>
      </c>
      <c r="AM1036">
        <f>'Grid_Stock'!AK40</f>
        <v/>
      </c>
      <c r="AN1036">
        <f>'Grid_Stock'!AL40</f>
        <v/>
      </c>
      <c r="AO1036">
        <f>'Grid_Stock'!AM40</f>
        <v/>
      </c>
      <c r="AP1036">
        <f>'Grid_Stock'!AN40</f>
        <v/>
      </c>
      <c r="AQ1036">
        <f>'Grid_Stock'!AO40</f>
        <v/>
      </c>
      <c r="AR1036">
        <f>'Grid_Stock'!AP40</f>
        <v/>
      </c>
      <c r="AS1036">
        <f>'Grid_Stock'!AQ40</f>
        <v/>
      </c>
      <c r="AT1036">
        <f>'Grid_Stock'!AR40</f>
        <v/>
      </c>
      <c r="AU1036">
        <f>'Grid_Stock'!AS40</f>
        <v/>
      </c>
      <c r="AV1036">
        <f>'Grid_Stock'!AT40</f>
        <v/>
      </c>
      <c r="AW1036">
        <f>'Grid_Stock'!AU40</f>
        <v/>
      </c>
      <c r="AX1036">
        <f>'Grid_Stock'!AV40</f>
        <v/>
      </c>
      <c r="AY1036">
        <f>'Grid_Stock'!AW40</f>
        <v/>
      </c>
      <c r="AZ1036">
        <f>'Grid_Stock'!AX40</f>
        <v/>
      </c>
      <c r="BA1036">
        <f>'Grid_Stock'!AY40</f>
        <v/>
      </c>
      <c r="BB1036">
        <f>'Grid_Stock'!AZ40</f>
        <v/>
      </c>
      <c r="BC1036">
        <f>'Grid_Stock'!BA40</f>
        <v/>
      </c>
      <c r="BD1036">
        <f>'Grid_Stock'!BB40</f>
        <v/>
      </c>
      <c r="BE1036">
        <f>'Grid_Stock'!BC40</f>
        <v/>
      </c>
      <c r="BF1036">
        <f>'Grid_Stock'!BD40</f>
        <v/>
      </c>
      <c r="BG1036">
        <f>'Grid_Stock'!BE40</f>
        <v/>
      </c>
      <c r="BH1036">
        <f>'Grid_Stock'!BF40</f>
        <v/>
      </c>
      <c r="BI1036">
        <f>'Grid_Stock'!BG40</f>
        <v/>
      </c>
      <c r="BJ1036">
        <f>'Grid_Stock'!BH40</f>
        <v/>
      </c>
      <c r="BK1036">
        <f>'Grid_Stock'!BI40</f>
        <v/>
      </c>
      <c r="BL1036">
        <f>'Grid_Stock'!BJ40</f>
        <v/>
      </c>
      <c r="BM1036">
        <f>'Grid_Stock'!BK40</f>
        <v/>
      </c>
      <c r="BN1036">
        <f>'Grid_Stock'!BL40</f>
        <v/>
      </c>
      <c r="BO1036">
        <f>'Grid_Stock'!BM40</f>
        <v/>
      </c>
      <c r="BP1036">
        <f>'Grid_Stock'!BN40</f>
        <v/>
      </c>
      <c r="BQ1036">
        <f>'Grid_Stock'!BO40</f>
        <v/>
      </c>
      <c r="BR1036">
        <f>'Grid_Stock'!BP40</f>
        <v/>
      </c>
      <c r="BS1036">
        <f>'Grid_Stock'!BQ40</f>
        <v/>
      </c>
      <c r="BT1036">
        <f>'Grid_Stock'!BR40</f>
        <v/>
      </c>
      <c r="BU1036">
        <f>'Grid_Stock'!BS40</f>
        <v/>
      </c>
      <c r="BV1036">
        <f>'Grid_Stock'!BT40</f>
        <v/>
      </c>
      <c r="BW1036">
        <f>'Grid_Stock'!BU40</f>
        <v/>
      </c>
      <c r="BX1036">
        <f>'Grid_Stock'!BV40</f>
        <v/>
      </c>
      <c r="BY1036">
        <f>'Grid_Stock'!BW40</f>
        <v/>
      </c>
      <c r="BZ1036">
        <f>'Grid_Stock'!BX40</f>
        <v/>
      </c>
      <c r="CA1036">
        <f>'Grid_Stock'!BY40</f>
        <v/>
      </c>
      <c r="CB1036">
        <f>'Grid_Stock'!BZ40</f>
        <v/>
      </c>
      <c r="CC1036">
        <f>'Grid_Stock'!CA40</f>
        <v/>
      </c>
      <c r="CD1036">
        <f>'Grid_Stock'!CB40</f>
        <v/>
      </c>
      <c r="CE1036">
        <f>'Grid_Stock'!CC40</f>
        <v/>
      </c>
      <c r="CF1036">
        <f>'Grid_Stock'!CD40</f>
        <v/>
      </c>
      <c r="CG1036">
        <f>'Grid_Stock'!CE40</f>
        <v/>
      </c>
      <c r="CH1036">
        <f>'Grid_Stock'!CF40</f>
        <v/>
      </c>
      <c r="CI1036">
        <f>'Grid_Stock'!CG40</f>
        <v/>
      </c>
      <c r="CJ1036">
        <f>'Grid_Stock'!CH40</f>
        <v/>
      </c>
      <c r="CK1036">
        <f>'Grid_Stock'!CI40</f>
        <v/>
      </c>
      <c r="CL1036">
        <f>'Grid_Stock'!CJ40</f>
        <v/>
      </c>
      <c r="CM1036">
        <f>'Grid_Stock'!CK40</f>
        <v/>
      </c>
      <c r="CN1036">
        <f>'Grid_Stock'!CL40</f>
        <v/>
      </c>
      <c r="CO1036">
        <f>'Grid_Stock'!CM40</f>
        <v/>
      </c>
      <c r="CP1036">
        <f>'Grid_Stock'!CN40</f>
        <v/>
      </c>
      <c r="CQ1036">
        <f>'Grid_Stock'!CO40</f>
        <v/>
      </c>
      <c r="CR1036">
        <f>'Grid_Stock'!CP40</f>
        <v/>
      </c>
      <c r="CS1036">
        <f>'Grid_Stock'!CQ40</f>
        <v/>
      </c>
      <c r="CT1036">
        <f>'Grid_Stock'!CR40</f>
        <v/>
      </c>
      <c r="CU1036">
        <f>'Grid_Stock'!CS40</f>
        <v/>
      </c>
      <c r="CV1036">
        <f>'Grid_Stock'!CT40</f>
        <v/>
      </c>
      <c r="CW1036">
        <f>'Grid_Stock'!CU40</f>
        <v/>
      </c>
      <c r="CX1036">
        <f>'Grid_Stock'!CV40</f>
        <v/>
      </c>
      <c r="CY1036">
        <f>'Grid_Stock'!CW40</f>
        <v/>
      </c>
      <c r="CZ1036">
        <f>'Grid_Stock'!CX40</f>
        <v/>
      </c>
      <c r="DA1036">
        <f>'Grid_Stock'!CY40</f>
        <v/>
      </c>
      <c r="DB1036">
        <f>'Grid_Stock'!CZ40</f>
        <v/>
      </c>
      <c r="DC1036">
        <f>'Grid_Stock'!DA40</f>
        <v/>
      </c>
    </row>
    <row r="1037">
      <c r="B1037" s="16" t="inlineStr">
        <is>
          <t>（発注の目安はDashboardの基準在庫[下限/上限]と色分けを参照）</t>
        </is>
      </c>
    </row>
    <row r="1039">
      <c r="A1039" s="14" t="inlineStr">
        <is>
          <t>TDJ</t>
        </is>
      </c>
      <c r="B1039" s="14" t="inlineStr">
        <is>
          <t>(11R-08) TP156- 103-130*TG</t>
        </is>
      </c>
      <c r="C1039" s="15" t="n"/>
      <c r="D1039" s="14" t="n"/>
      <c r="E1039" s="14" t="n"/>
      <c r="F1039" s="14" t="n"/>
      <c r="G1039" s="14" t="n"/>
      <c r="H1039" s="14" t="n"/>
      <c r="I1039" s="14" t="n"/>
      <c r="J1039" s="14" t="n"/>
      <c r="K1039" s="14" t="n"/>
      <c r="L1039" s="14" t="n"/>
      <c r="M1039" s="14" t="n"/>
      <c r="N1039" s="14" t="n"/>
      <c r="O1039" s="14" t="n"/>
      <c r="P1039" s="14" t="n"/>
      <c r="Q1039" s="14" t="n"/>
      <c r="R1039" s="14" t="n"/>
      <c r="S1039" s="14" t="n"/>
      <c r="T1039" s="14" t="n"/>
      <c r="U1039" s="14" t="n"/>
      <c r="V1039" s="14" t="n"/>
      <c r="W1039" s="14" t="n"/>
      <c r="X1039" s="14" t="n"/>
      <c r="Y1039" s="14" t="n"/>
      <c r="Z1039" s="14" t="n"/>
      <c r="AA1039" s="14" t="n"/>
      <c r="AB1039" s="14" t="n"/>
      <c r="AC1039" s="14" t="n"/>
      <c r="AD1039" s="14" t="n"/>
      <c r="AE1039" s="14" t="n"/>
      <c r="AF1039" s="14" t="n"/>
      <c r="AG1039" s="14" t="n"/>
      <c r="AH1039" s="14" t="n"/>
      <c r="AI1039" s="14" t="n"/>
      <c r="AJ1039" s="14" t="n"/>
      <c r="AK1039" s="14" t="n"/>
      <c r="AL1039" s="14" t="n"/>
      <c r="AM1039" s="14" t="n"/>
      <c r="AN1039" s="14" t="n"/>
      <c r="AO1039" s="14" t="n"/>
      <c r="AP1039" s="14" t="n"/>
      <c r="AQ1039" s="14" t="n"/>
      <c r="AR1039" s="14" t="n"/>
      <c r="AS1039" s="14" t="n"/>
      <c r="AT1039" s="14" t="n"/>
      <c r="AU1039" s="14" t="n"/>
      <c r="AV1039" s="14" t="n"/>
      <c r="AW1039" s="14" t="n"/>
      <c r="AX1039" s="14" t="n"/>
      <c r="AY1039" s="14" t="n"/>
      <c r="AZ1039" s="14" t="n"/>
      <c r="BA1039" s="14" t="n"/>
      <c r="BB1039" s="14" t="n"/>
      <c r="BC1039" s="14" t="n"/>
      <c r="BD1039" s="14" t="n"/>
      <c r="BE1039" s="14" t="n"/>
      <c r="BF1039" s="14" t="n"/>
      <c r="BG1039" s="14" t="n"/>
      <c r="BH1039" s="14" t="n"/>
      <c r="BI1039" s="14" t="n"/>
      <c r="BJ1039" s="14" t="n"/>
      <c r="BK1039" s="14" t="n"/>
      <c r="BL1039" s="14" t="n"/>
      <c r="BM1039" s="14" t="n"/>
      <c r="BN1039" s="14" t="n"/>
      <c r="BO1039" s="14" t="n"/>
      <c r="BP1039" s="14" t="n"/>
      <c r="BQ1039" s="14" t="n"/>
      <c r="BR1039" s="14" t="n"/>
      <c r="BS1039" s="14" t="n"/>
      <c r="BT1039" s="14" t="n"/>
      <c r="BU1039" s="14" t="n"/>
      <c r="BV1039" s="14" t="n"/>
      <c r="BW1039" s="14" t="n"/>
      <c r="BX1039" s="14" t="n"/>
      <c r="BY1039" s="14" t="n"/>
      <c r="BZ1039" s="14" t="n"/>
      <c r="CA1039" s="14" t="n"/>
      <c r="CB1039" s="14" t="n"/>
      <c r="CC1039" s="14" t="n"/>
      <c r="CD1039" s="14" t="n"/>
      <c r="CE1039" s="14" t="n"/>
      <c r="CF1039" s="14" t="n"/>
      <c r="CG1039" s="14" t="n"/>
      <c r="CH1039" s="14" t="n"/>
      <c r="CI1039" s="14" t="n"/>
      <c r="CJ1039" s="14" t="n"/>
      <c r="CK1039" s="14" t="n"/>
      <c r="CL1039" s="14" t="n"/>
      <c r="CM1039" s="14" t="n"/>
      <c r="CN1039" s="14" t="n"/>
      <c r="CO1039" s="14" t="n"/>
      <c r="CP1039" s="14" t="n"/>
      <c r="CQ1039" s="14" t="n"/>
      <c r="CR1039" s="14" t="n"/>
      <c r="CS1039" s="14" t="n"/>
      <c r="CT1039" s="14" t="n"/>
      <c r="CU1039" s="14" t="n"/>
      <c r="CV1039" s="14" t="n"/>
      <c r="CW1039" s="14" t="n"/>
      <c r="CX1039" s="14" t="n"/>
      <c r="CY1039" s="14" t="n"/>
      <c r="CZ1039" s="14" t="n"/>
      <c r="DA1039" s="14" t="n"/>
      <c r="DB1039" s="14" t="n"/>
      <c r="DC1039" s="14" t="n"/>
    </row>
    <row r="1040">
      <c r="B1040" t="inlineStr">
        <is>
          <t>0TA30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7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Name],$A1039)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s="4" t="inlineStr">
        <is>
          <t>合計使用量(kg)/週</t>
        </is>
      </c>
      <c r="D1042">
        <f>'Grid_Requirement'!B30</f>
        <v/>
      </c>
      <c r="E1042">
        <f>'Grid_Requirement'!C30</f>
        <v/>
      </c>
      <c r="F1042">
        <f>'Grid_Requirement'!D30</f>
        <v/>
      </c>
      <c r="G1042">
        <f>'Grid_Requirement'!E30</f>
        <v/>
      </c>
      <c r="H1042">
        <f>'Grid_Requirement'!F30</f>
        <v/>
      </c>
      <c r="I1042">
        <f>'Grid_Requirement'!G30</f>
        <v/>
      </c>
      <c r="J1042">
        <f>'Grid_Requirement'!H30</f>
        <v/>
      </c>
      <c r="K1042">
        <f>'Grid_Requirement'!I30</f>
        <v/>
      </c>
      <c r="L1042">
        <f>'Grid_Requirement'!J30</f>
        <v/>
      </c>
      <c r="M1042">
        <f>'Grid_Requirement'!K30</f>
        <v/>
      </c>
      <c r="N1042">
        <f>'Grid_Requirement'!L30</f>
        <v/>
      </c>
      <c r="O1042">
        <f>'Grid_Requirement'!M30</f>
        <v/>
      </c>
      <c r="P1042">
        <f>'Grid_Requirement'!N30</f>
        <v/>
      </c>
      <c r="Q1042">
        <f>'Grid_Requirement'!O30</f>
        <v/>
      </c>
      <c r="R1042">
        <f>'Grid_Requirement'!P30</f>
        <v/>
      </c>
      <c r="S1042">
        <f>'Grid_Requirement'!Q30</f>
        <v/>
      </c>
      <c r="T1042">
        <f>'Grid_Requirement'!R30</f>
        <v/>
      </c>
      <c r="U1042">
        <f>'Grid_Requirement'!S30</f>
        <v/>
      </c>
      <c r="V1042">
        <f>'Grid_Requirement'!T30</f>
        <v/>
      </c>
      <c r="W1042">
        <f>'Grid_Requirement'!U30</f>
        <v/>
      </c>
      <c r="X1042">
        <f>'Grid_Requirement'!V30</f>
        <v/>
      </c>
      <c r="Y1042">
        <f>'Grid_Requirement'!W30</f>
        <v/>
      </c>
      <c r="Z1042">
        <f>'Grid_Requirement'!X30</f>
        <v/>
      </c>
      <c r="AA1042">
        <f>'Grid_Requirement'!Y30</f>
        <v/>
      </c>
      <c r="AB1042">
        <f>'Grid_Requirement'!Z30</f>
        <v/>
      </c>
      <c r="AC1042">
        <f>'Grid_Requirement'!AA30</f>
        <v/>
      </c>
      <c r="AD1042">
        <f>'Grid_Requirement'!AB30</f>
        <v/>
      </c>
      <c r="AE1042">
        <f>'Grid_Requirement'!AC30</f>
        <v/>
      </c>
      <c r="AF1042">
        <f>'Grid_Requirement'!AD30</f>
        <v/>
      </c>
      <c r="AG1042">
        <f>'Grid_Requirement'!AE30</f>
        <v/>
      </c>
      <c r="AH1042">
        <f>'Grid_Requirement'!AF30</f>
        <v/>
      </c>
      <c r="AI1042">
        <f>'Grid_Requirement'!AG30</f>
        <v/>
      </c>
      <c r="AJ1042">
        <f>'Grid_Requirement'!AH30</f>
        <v/>
      </c>
      <c r="AK1042">
        <f>'Grid_Requirement'!AI30</f>
        <v/>
      </c>
      <c r="AL1042">
        <f>'Grid_Requirement'!AJ30</f>
        <v/>
      </c>
      <c r="AM1042">
        <f>'Grid_Requirement'!AK30</f>
        <v/>
      </c>
      <c r="AN1042">
        <f>'Grid_Requirement'!AL30</f>
        <v/>
      </c>
      <c r="AO1042">
        <f>'Grid_Requirement'!AM30</f>
        <v/>
      </c>
      <c r="AP1042">
        <f>'Grid_Requirement'!AN30</f>
        <v/>
      </c>
      <c r="AQ1042">
        <f>'Grid_Requirement'!AO30</f>
        <v/>
      </c>
      <c r="AR1042">
        <f>'Grid_Requirement'!AP30</f>
        <v/>
      </c>
      <c r="AS1042">
        <f>'Grid_Requirement'!AQ30</f>
        <v/>
      </c>
      <c r="AT1042">
        <f>'Grid_Requirement'!AR30</f>
        <v/>
      </c>
      <c r="AU1042">
        <f>'Grid_Requirement'!AS30</f>
        <v/>
      </c>
      <c r="AV1042">
        <f>'Grid_Requirement'!AT30</f>
        <v/>
      </c>
      <c r="AW1042">
        <f>'Grid_Requirement'!AU30</f>
        <v/>
      </c>
      <c r="AX1042">
        <f>'Grid_Requirement'!AV30</f>
        <v/>
      </c>
      <c r="AY1042">
        <f>'Grid_Requirement'!AW30</f>
        <v/>
      </c>
      <c r="AZ1042">
        <f>'Grid_Requirement'!AX30</f>
        <v/>
      </c>
      <c r="BA1042">
        <f>'Grid_Requirement'!AY30</f>
        <v/>
      </c>
      <c r="BB1042">
        <f>'Grid_Requirement'!AZ30</f>
        <v/>
      </c>
      <c r="BC1042">
        <f>'Grid_Requirement'!BA30</f>
        <v/>
      </c>
      <c r="BD1042">
        <f>'Grid_Requirement'!BB30</f>
        <v/>
      </c>
      <c r="BE1042">
        <f>'Grid_Requirement'!BC30</f>
        <v/>
      </c>
      <c r="BF1042">
        <f>'Grid_Requirement'!BD30</f>
        <v/>
      </c>
      <c r="BG1042">
        <f>'Grid_Requirement'!BE30</f>
        <v/>
      </c>
      <c r="BH1042">
        <f>'Grid_Requirement'!BF30</f>
        <v/>
      </c>
      <c r="BI1042">
        <f>'Grid_Requirement'!BG30</f>
        <v/>
      </c>
      <c r="BJ1042">
        <f>'Grid_Requirement'!BH30</f>
        <v/>
      </c>
      <c r="BK1042">
        <f>'Grid_Requirement'!BI30</f>
        <v/>
      </c>
      <c r="BL1042">
        <f>'Grid_Requirement'!BJ30</f>
        <v/>
      </c>
      <c r="BM1042">
        <f>'Grid_Requirement'!BK30</f>
        <v/>
      </c>
      <c r="BN1042">
        <f>'Grid_Requirement'!BL30</f>
        <v/>
      </c>
      <c r="BO1042">
        <f>'Grid_Requirement'!BM30</f>
        <v/>
      </c>
      <c r="BP1042">
        <f>'Grid_Requirement'!BN30</f>
        <v/>
      </c>
      <c r="BQ1042">
        <f>'Grid_Requirement'!BO30</f>
        <v/>
      </c>
      <c r="BR1042">
        <f>'Grid_Requirement'!BP30</f>
        <v/>
      </c>
      <c r="BS1042">
        <f>'Grid_Requirement'!BQ30</f>
        <v/>
      </c>
      <c r="BT1042">
        <f>'Grid_Requirement'!BR30</f>
        <v/>
      </c>
      <c r="BU1042">
        <f>'Grid_Requirement'!BS30</f>
        <v/>
      </c>
      <c r="BV1042">
        <f>'Grid_Requirement'!BT30</f>
        <v/>
      </c>
      <c r="BW1042">
        <f>'Grid_Requirement'!BU30</f>
        <v/>
      </c>
      <c r="BX1042">
        <f>'Grid_Requirement'!BV30</f>
        <v/>
      </c>
      <c r="BY1042">
        <f>'Grid_Requirement'!BW30</f>
        <v/>
      </c>
      <c r="BZ1042">
        <f>'Grid_Requirement'!BX30</f>
        <v/>
      </c>
      <c r="CA1042">
        <f>'Grid_Requirement'!BY30</f>
        <v/>
      </c>
      <c r="CB1042">
        <f>'Grid_Requirement'!BZ30</f>
        <v/>
      </c>
      <c r="CC1042">
        <f>'Grid_Requirement'!CA30</f>
        <v/>
      </c>
      <c r="CD1042">
        <f>'Grid_Requirement'!CB30</f>
        <v/>
      </c>
      <c r="CE1042">
        <f>'Grid_Requirement'!CC30</f>
        <v/>
      </c>
      <c r="CF1042">
        <f>'Grid_Requirement'!CD30</f>
        <v/>
      </c>
      <c r="CG1042">
        <f>'Grid_Requirement'!CE30</f>
        <v/>
      </c>
      <c r="CH1042">
        <f>'Grid_Requirement'!CF30</f>
        <v/>
      </c>
      <c r="CI1042">
        <f>'Grid_Requirement'!CG30</f>
        <v/>
      </c>
      <c r="CJ1042">
        <f>'Grid_Requirement'!CH30</f>
        <v/>
      </c>
      <c r="CK1042">
        <f>'Grid_Requirement'!CI30</f>
        <v/>
      </c>
      <c r="CL1042">
        <f>'Grid_Requirement'!CJ30</f>
        <v/>
      </c>
      <c r="CM1042">
        <f>'Grid_Requirement'!CK30</f>
        <v/>
      </c>
      <c r="CN1042">
        <f>'Grid_Requirement'!CL30</f>
        <v/>
      </c>
      <c r="CO1042">
        <f>'Grid_Requirement'!CM30</f>
        <v/>
      </c>
      <c r="CP1042">
        <f>'Grid_Requirement'!CN30</f>
        <v/>
      </c>
      <c r="CQ1042">
        <f>'Grid_Requirement'!CO30</f>
        <v/>
      </c>
      <c r="CR1042">
        <f>'Grid_Requirement'!CP30</f>
        <v/>
      </c>
      <c r="CS1042">
        <f>'Grid_Requirement'!CQ30</f>
        <v/>
      </c>
      <c r="CT1042">
        <f>'Grid_Requirement'!CR30</f>
        <v/>
      </c>
      <c r="CU1042">
        <f>'Grid_Requirement'!CS30</f>
        <v/>
      </c>
      <c r="CV1042">
        <f>'Grid_Requirement'!CT30</f>
        <v/>
      </c>
      <c r="CW1042">
        <f>'Grid_Requirement'!CU30</f>
        <v/>
      </c>
      <c r="CX1042">
        <f>'Grid_Requirement'!CV30</f>
        <v/>
      </c>
      <c r="CY1042">
        <f>'Grid_Requirement'!CW30</f>
        <v/>
      </c>
      <c r="CZ1042">
        <f>'Grid_Requirement'!CX30</f>
        <v/>
      </c>
      <c r="DA1042">
        <f>'Grid_Requirement'!CY30</f>
        <v/>
      </c>
      <c r="DB1042">
        <f>'Grid_Requirement'!CZ30</f>
        <v/>
      </c>
      <c r="DC1042">
        <f>'Grid_Requirement'!DA30</f>
        <v/>
      </c>
    </row>
    <row r="1043">
      <c r="B1043" t="inlineStr">
        <is>
          <t>TTAF在庫(実績,kg)</t>
        </is>
      </c>
      <c r="D1043">
        <f>'T_TTAFStock'!B34</f>
        <v/>
      </c>
      <c r="E1043">
        <f>'T_TTAFStock'!C34</f>
        <v/>
      </c>
      <c r="F1043">
        <f>'T_TTAFStock'!D34</f>
        <v/>
      </c>
      <c r="G1043">
        <f>'T_TTAFStock'!E34</f>
        <v/>
      </c>
      <c r="H1043">
        <f>'T_TTAFStock'!F34</f>
        <v/>
      </c>
      <c r="I1043">
        <f>'T_TTAFStock'!G34</f>
        <v/>
      </c>
      <c r="J1043">
        <f>'T_TTAFStock'!H34</f>
        <v/>
      </c>
      <c r="K1043">
        <f>'T_TTAFStock'!I34</f>
        <v/>
      </c>
      <c r="L1043">
        <f>'T_TTAFStock'!J34</f>
        <v/>
      </c>
      <c r="M1043">
        <f>'T_TTAFStock'!K34</f>
        <v/>
      </c>
      <c r="N1043">
        <f>'T_TTAFStock'!L34</f>
        <v/>
      </c>
      <c r="O1043">
        <f>'T_TTAFStock'!M34</f>
        <v/>
      </c>
      <c r="P1043">
        <f>'T_TTAFStock'!N34</f>
        <v/>
      </c>
      <c r="Q1043">
        <f>'T_TTAFStock'!O34</f>
        <v/>
      </c>
      <c r="R1043">
        <f>'T_TTAFStock'!P34</f>
        <v/>
      </c>
      <c r="S1043">
        <f>'T_TTAFStock'!Q34</f>
        <v/>
      </c>
      <c r="T1043">
        <f>'T_TTAFStock'!R34</f>
        <v/>
      </c>
      <c r="U1043">
        <f>'T_TTAFStock'!S34</f>
        <v/>
      </c>
      <c r="V1043">
        <f>'T_TTAFStock'!T34</f>
        <v/>
      </c>
      <c r="W1043">
        <f>'T_TTAFStock'!U34</f>
        <v/>
      </c>
      <c r="X1043">
        <f>'T_TTAFStock'!V34</f>
        <v/>
      </c>
      <c r="Y1043">
        <f>'T_TTAFStock'!W34</f>
        <v/>
      </c>
      <c r="Z1043">
        <f>'T_TTAFStock'!X34</f>
        <v/>
      </c>
      <c r="AA1043">
        <f>'T_TTAFStock'!Y34</f>
        <v/>
      </c>
      <c r="AB1043">
        <f>'T_TTAFStock'!Z34</f>
        <v/>
      </c>
      <c r="AC1043">
        <f>'T_TTAFStock'!AA34</f>
        <v/>
      </c>
      <c r="AD1043">
        <f>'T_TTAFStock'!AB34</f>
        <v/>
      </c>
      <c r="AE1043">
        <f>'T_TTAFStock'!AC34</f>
        <v/>
      </c>
      <c r="AF1043">
        <f>'T_TTAFStock'!AD34</f>
        <v/>
      </c>
      <c r="AG1043">
        <f>'T_TTAFStock'!AE34</f>
        <v/>
      </c>
      <c r="AH1043">
        <f>'T_TTAFStock'!AF34</f>
        <v/>
      </c>
      <c r="AI1043">
        <f>'T_TTAFStock'!AG34</f>
        <v/>
      </c>
      <c r="AJ1043">
        <f>'T_TTAFStock'!AH34</f>
        <v/>
      </c>
      <c r="AK1043">
        <f>'T_TTAFStock'!AI34</f>
        <v/>
      </c>
      <c r="AL1043">
        <f>'T_TTAFStock'!AJ34</f>
        <v/>
      </c>
      <c r="AM1043">
        <f>'T_TTAFStock'!AK34</f>
        <v/>
      </c>
      <c r="AN1043">
        <f>'T_TTAFStock'!AL34</f>
        <v/>
      </c>
      <c r="AO1043">
        <f>'T_TTAFStock'!AM34</f>
        <v/>
      </c>
      <c r="AP1043">
        <f>'T_TTAFStock'!AN34</f>
        <v/>
      </c>
      <c r="AQ1043">
        <f>'T_TTAFStock'!AO34</f>
        <v/>
      </c>
      <c r="AR1043">
        <f>'T_TTAFStock'!AP34</f>
        <v/>
      </c>
      <c r="AS1043">
        <f>'T_TTAFStock'!AQ34</f>
        <v/>
      </c>
      <c r="AT1043">
        <f>'T_TTAFStock'!AR34</f>
        <v/>
      </c>
      <c r="AU1043">
        <f>'T_TTAFStock'!AS34</f>
        <v/>
      </c>
      <c r="AV1043">
        <f>'T_TTAFStock'!AT34</f>
        <v/>
      </c>
      <c r="AW1043">
        <f>'T_TTAFStock'!AU34</f>
        <v/>
      </c>
      <c r="AX1043">
        <f>'T_TTAFStock'!AV34</f>
        <v/>
      </c>
      <c r="AY1043">
        <f>'T_TTAFStock'!AW34</f>
        <v/>
      </c>
      <c r="AZ1043">
        <f>'T_TTAFStock'!AX34</f>
        <v/>
      </c>
      <c r="BA1043">
        <f>'T_TTAFStock'!AY34</f>
        <v/>
      </c>
      <c r="BB1043">
        <f>'T_TTAFStock'!AZ34</f>
        <v/>
      </c>
      <c r="BC1043">
        <f>'T_TTAFStock'!BA34</f>
        <v/>
      </c>
      <c r="BD1043">
        <f>'T_TTAFStock'!BB34</f>
        <v/>
      </c>
      <c r="BE1043">
        <f>'T_TTAFStock'!BC34</f>
        <v/>
      </c>
      <c r="BF1043">
        <f>'T_TTAFStock'!BD34</f>
        <v/>
      </c>
      <c r="BG1043">
        <f>'T_TTAFStock'!BE34</f>
        <v/>
      </c>
      <c r="BH1043">
        <f>'T_TTAFStock'!BF34</f>
        <v/>
      </c>
      <c r="BI1043">
        <f>'T_TTAFStock'!BG34</f>
        <v/>
      </c>
      <c r="BJ1043">
        <f>'T_TTAFStock'!BH34</f>
        <v/>
      </c>
      <c r="BK1043">
        <f>'T_TTAFStock'!BI34</f>
        <v/>
      </c>
      <c r="BL1043">
        <f>'T_TTAFStock'!BJ34</f>
        <v/>
      </c>
      <c r="BM1043">
        <f>'T_TTAFStock'!BK34</f>
        <v/>
      </c>
      <c r="BN1043">
        <f>'T_TTAFStock'!BL34</f>
        <v/>
      </c>
      <c r="BO1043">
        <f>'T_TTAFStock'!BM34</f>
        <v/>
      </c>
      <c r="BP1043">
        <f>'T_TTAFStock'!BN34</f>
        <v/>
      </c>
      <c r="BQ1043">
        <f>'T_TTAFStock'!BO34</f>
        <v/>
      </c>
      <c r="BR1043">
        <f>'T_TTAFStock'!BP34</f>
        <v/>
      </c>
      <c r="BS1043">
        <f>'T_TTAFStock'!BQ34</f>
        <v/>
      </c>
      <c r="BT1043">
        <f>'T_TTAFStock'!BR34</f>
        <v/>
      </c>
      <c r="BU1043">
        <f>'T_TTAFStock'!BS34</f>
        <v/>
      </c>
      <c r="BV1043">
        <f>'T_TTAFStock'!BT34</f>
        <v/>
      </c>
      <c r="BW1043">
        <f>'T_TTAFStock'!BU34</f>
        <v/>
      </c>
      <c r="BX1043">
        <f>'T_TTAFStock'!BV34</f>
        <v/>
      </c>
      <c r="BY1043">
        <f>'T_TTAFStock'!BW34</f>
        <v/>
      </c>
      <c r="BZ1043">
        <f>'T_TTAFStock'!BX34</f>
        <v/>
      </c>
      <c r="CA1043">
        <f>'T_TTAFStock'!BY34</f>
        <v/>
      </c>
      <c r="CB1043">
        <f>'T_TTAFStock'!BZ34</f>
        <v/>
      </c>
      <c r="CC1043">
        <f>'T_TTAFStock'!CA34</f>
        <v/>
      </c>
      <c r="CD1043">
        <f>'T_TTAFStock'!CB34</f>
        <v/>
      </c>
      <c r="CE1043">
        <f>'T_TTAFStock'!CC34</f>
        <v/>
      </c>
      <c r="CF1043">
        <f>'T_TTAFStock'!CD34</f>
        <v/>
      </c>
      <c r="CG1043">
        <f>'T_TTAFStock'!CE34</f>
        <v/>
      </c>
      <c r="CH1043">
        <f>'T_TTAFStock'!CF34</f>
        <v/>
      </c>
      <c r="CI1043">
        <f>'T_TTAFStock'!CG34</f>
        <v/>
      </c>
      <c r="CJ1043">
        <f>'T_TTAFStock'!CH34</f>
        <v/>
      </c>
      <c r="CK1043">
        <f>'T_TTAFStock'!CI34</f>
        <v/>
      </c>
      <c r="CL1043">
        <f>'T_TTAFStock'!CJ34</f>
        <v/>
      </c>
      <c r="CM1043">
        <f>'T_TTAFStock'!CK34</f>
        <v/>
      </c>
      <c r="CN1043">
        <f>'T_TTAFStock'!CL34</f>
        <v/>
      </c>
      <c r="CO1043">
        <f>'T_TTAFStock'!CM34</f>
        <v/>
      </c>
      <c r="CP1043">
        <f>'T_TTAFStock'!CN34</f>
        <v/>
      </c>
      <c r="CQ1043">
        <f>'T_TTAFStock'!CO34</f>
        <v/>
      </c>
      <c r="CR1043">
        <f>'T_TTAFStock'!CP34</f>
        <v/>
      </c>
      <c r="CS1043">
        <f>'T_TTAFStock'!CQ34</f>
        <v/>
      </c>
      <c r="CT1043">
        <f>'T_TTAFStock'!CR34</f>
        <v/>
      </c>
      <c r="CU1043">
        <f>'T_TTAFStock'!CS34</f>
        <v/>
      </c>
      <c r="CV1043">
        <f>'T_TTAFStock'!CT34</f>
        <v/>
      </c>
      <c r="CW1043">
        <f>'T_TTAFStock'!CU34</f>
        <v/>
      </c>
      <c r="CX1043">
        <f>'T_TTAFStock'!CV34</f>
        <v/>
      </c>
      <c r="CY1043">
        <f>'T_TTAFStock'!CW34</f>
        <v/>
      </c>
      <c r="CZ1043">
        <f>'T_TTAFStock'!CX34</f>
        <v/>
      </c>
      <c r="DA1043">
        <f>'T_TTAFStock'!CY34</f>
        <v/>
      </c>
      <c r="DB1043">
        <f>'T_TTAFStock'!CZ34</f>
        <v/>
      </c>
      <c r="DC1043">
        <f>'T_TTAFStock'!DA34</f>
        <v/>
      </c>
    </row>
    <row r="1044">
      <c r="B1044" t="inlineStr">
        <is>
          <t>自社在庫(実績,kg)</t>
        </is>
      </c>
      <c r="D1044">
        <f>'T_SelfStock'!B34</f>
        <v/>
      </c>
      <c r="E1044">
        <f>'T_SelfStock'!C34</f>
        <v/>
      </c>
      <c r="F1044">
        <f>'T_SelfStock'!D34</f>
        <v/>
      </c>
      <c r="G1044">
        <f>'T_SelfStock'!E34</f>
        <v/>
      </c>
      <c r="H1044">
        <f>'T_SelfStock'!F34</f>
        <v/>
      </c>
      <c r="I1044">
        <f>'T_SelfStock'!G34</f>
        <v/>
      </c>
      <c r="J1044">
        <f>'T_SelfStock'!H34</f>
        <v/>
      </c>
      <c r="K1044">
        <f>'T_SelfStock'!I34</f>
        <v/>
      </c>
      <c r="L1044">
        <f>'T_SelfStock'!J34</f>
        <v/>
      </c>
      <c r="M1044">
        <f>'T_SelfStock'!K34</f>
        <v/>
      </c>
      <c r="N1044">
        <f>'T_SelfStock'!L34</f>
        <v/>
      </c>
      <c r="O1044">
        <f>'T_SelfStock'!M34</f>
        <v/>
      </c>
      <c r="P1044">
        <f>'T_SelfStock'!N34</f>
        <v/>
      </c>
      <c r="Q1044">
        <f>'T_SelfStock'!O34</f>
        <v/>
      </c>
      <c r="R1044">
        <f>'T_SelfStock'!P34</f>
        <v/>
      </c>
      <c r="S1044">
        <f>'T_SelfStock'!Q34</f>
        <v/>
      </c>
      <c r="T1044">
        <f>'T_SelfStock'!R34</f>
        <v/>
      </c>
      <c r="U1044">
        <f>'T_SelfStock'!S34</f>
        <v/>
      </c>
      <c r="V1044">
        <f>'T_SelfStock'!T34</f>
        <v/>
      </c>
      <c r="W1044">
        <f>'T_SelfStock'!U34</f>
        <v/>
      </c>
      <c r="X1044">
        <f>'T_SelfStock'!V34</f>
        <v/>
      </c>
      <c r="Y1044">
        <f>'T_SelfStock'!W34</f>
        <v/>
      </c>
      <c r="Z1044">
        <f>'T_SelfStock'!X34</f>
        <v/>
      </c>
      <c r="AA1044">
        <f>'T_SelfStock'!Y34</f>
        <v/>
      </c>
      <c r="AB1044">
        <f>'T_SelfStock'!Z34</f>
        <v/>
      </c>
      <c r="AC1044">
        <f>'T_SelfStock'!AA34</f>
        <v/>
      </c>
      <c r="AD1044">
        <f>'T_SelfStock'!AB34</f>
        <v/>
      </c>
      <c r="AE1044">
        <f>'T_SelfStock'!AC34</f>
        <v/>
      </c>
      <c r="AF1044">
        <f>'T_SelfStock'!AD34</f>
        <v/>
      </c>
      <c r="AG1044">
        <f>'T_SelfStock'!AE34</f>
        <v/>
      </c>
      <c r="AH1044">
        <f>'T_SelfStock'!AF34</f>
        <v/>
      </c>
      <c r="AI1044">
        <f>'T_SelfStock'!AG34</f>
        <v/>
      </c>
      <c r="AJ1044">
        <f>'T_SelfStock'!AH34</f>
        <v/>
      </c>
      <c r="AK1044">
        <f>'T_SelfStock'!AI34</f>
        <v/>
      </c>
      <c r="AL1044">
        <f>'T_SelfStock'!AJ34</f>
        <v/>
      </c>
      <c r="AM1044">
        <f>'T_SelfStock'!AK34</f>
        <v/>
      </c>
      <c r="AN1044">
        <f>'T_SelfStock'!AL34</f>
        <v/>
      </c>
      <c r="AO1044">
        <f>'T_SelfStock'!AM34</f>
        <v/>
      </c>
      <c r="AP1044">
        <f>'T_SelfStock'!AN34</f>
        <v/>
      </c>
      <c r="AQ1044">
        <f>'T_SelfStock'!AO34</f>
        <v/>
      </c>
      <c r="AR1044">
        <f>'T_SelfStock'!AP34</f>
        <v/>
      </c>
      <c r="AS1044">
        <f>'T_SelfStock'!AQ34</f>
        <v/>
      </c>
      <c r="AT1044">
        <f>'T_SelfStock'!AR34</f>
        <v/>
      </c>
      <c r="AU1044">
        <f>'T_SelfStock'!AS34</f>
        <v/>
      </c>
      <c r="AV1044">
        <f>'T_SelfStock'!AT34</f>
        <v/>
      </c>
      <c r="AW1044">
        <f>'T_SelfStock'!AU34</f>
        <v/>
      </c>
      <c r="AX1044">
        <f>'T_SelfStock'!AV34</f>
        <v/>
      </c>
      <c r="AY1044">
        <f>'T_SelfStock'!AW34</f>
        <v/>
      </c>
      <c r="AZ1044">
        <f>'T_SelfStock'!AX34</f>
        <v/>
      </c>
      <c r="BA1044">
        <f>'T_SelfStock'!AY34</f>
        <v/>
      </c>
      <c r="BB1044">
        <f>'T_SelfStock'!AZ34</f>
        <v/>
      </c>
      <c r="BC1044">
        <f>'T_SelfStock'!BA34</f>
        <v/>
      </c>
      <c r="BD1044">
        <f>'T_SelfStock'!BB34</f>
        <v/>
      </c>
      <c r="BE1044">
        <f>'T_SelfStock'!BC34</f>
        <v/>
      </c>
      <c r="BF1044">
        <f>'T_SelfStock'!BD34</f>
        <v/>
      </c>
      <c r="BG1044">
        <f>'T_SelfStock'!BE34</f>
        <v/>
      </c>
      <c r="BH1044">
        <f>'T_SelfStock'!BF34</f>
        <v/>
      </c>
      <c r="BI1044">
        <f>'T_SelfStock'!BG34</f>
        <v/>
      </c>
      <c r="BJ1044">
        <f>'T_SelfStock'!BH34</f>
        <v/>
      </c>
      <c r="BK1044">
        <f>'T_SelfStock'!BI34</f>
        <v/>
      </c>
      <c r="BL1044">
        <f>'T_SelfStock'!BJ34</f>
        <v/>
      </c>
      <c r="BM1044">
        <f>'T_SelfStock'!BK34</f>
        <v/>
      </c>
      <c r="BN1044">
        <f>'T_SelfStock'!BL34</f>
        <v/>
      </c>
      <c r="BO1044">
        <f>'T_SelfStock'!BM34</f>
        <v/>
      </c>
      <c r="BP1044">
        <f>'T_SelfStock'!BN34</f>
        <v/>
      </c>
      <c r="BQ1044">
        <f>'T_SelfStock'!BO34</f>
        <v/>
      </c>
      <c r="BR1044">
        <f>'T_SelfStock'!BP34</f>
        <v/>
      </c>
      <c r="BS1044">
        <f>'T_SelfStock'!BQ34</f>
        <v/>
      </c>
      <c r="BT1044">
        <f>'T_SelfStock'!BR34</f>
        <v/>
      </c>
      <c r="BU1044">
        <f>'T_SelfStock'!BS34</f>
        <v/>
      </c>
      <c r="BV1044">
        <f>'T_SelfStock'!BT34</f>
        <v/>
      </c>
      <c r="BW1044">
        <f>'T_SelfStock'!BU34</f>
        <v/>
      </c>
      <c r="BX1044">
        <f>'T_SelfStock'!BV34</f>
        <v/>
      </c>
      <c r="BY1044">
        <f>'T_SelfStock'!BW34</f>
        <v/>
      </c>
      <c r="BZ1044">
        <f>'T_SelfStock'!BX34</f>
        <v/>
      </c>
      <c r="CA1044">
        <f>'T_SelfStock'!BY34</f>
        <v/>
      </c>
      <c r="CB1044">
        <f>'T_SelfStock'!BZ34</f>
        <v/>
      </c>
      <c r="CC1044">
        <f>'T_SelfStock'!CA34</f>
        <v/>
      </c>
      <c r="CD1044">
        <f>'T_SelfStock'!CB34</f>
        <v/>
      </c>
      <c r="CE1044">
        <f>'T_SelfStock'!CC34</f>
        <v/>
      </c>
      <c r="CF1044">
        <f>'T_SelfStock'!CD34</f>
        <v/>
      </c>
      <c r="CG1044">
        <f>'T_SelfStock'!CE34</f>
        <v/>
      </c>
      <c r="CH1044">
        <f>'T_SelfStock'!CF34</f>
        <v/>
      </c>
      <c r="CI1044">
        <f>'T_SelfStock'!CG34</f>
        <v/>
      </c>
      <c r="CJ1044">
        <f>'T_SelfStock'!CH34</f>
        <v/>
      </c>
      <c r="CK1044">
        <f>'T_SelfStock'!CI34</f>
        <v/>
      </c>
      <c r="CL1044">
        <f>'T_SelfStock'!CJ34</f>
        <v/>
      </c>
      <c r="CM1044">
        <f>'T_SelfStock'!CK34</f>
        <v/>
      </c>
      <c r="CN1044">
        <f>'T_SelfStock'!CL34</f>
        <v/>
      </c>
      <c r="CO1044">
        <f>'T_SelfStock'!CM34</f>
        <v/>
      </c>
      <c r="CP1044">
        <f>'T_SelfStock'!CN34</f>
        <v/>
      </c>
      <c r="CQ1044">
        <f>'T_SelfStock'!CO34</f>
        <v/>
      </c>
      <c r="CR1044">
        <f>'T_SelfStock'!CP34</f>
        <v/>
      </c>
      <c r="CS1044">
        <f>'T_SelfStock'!CQ34</f>
        <v/>
      </c>
      <c r="CT1044">
        <f>'T_SelfStock'!CR34</f>
        <v/>
      </c>
      <c r="CU1044">
        <f>'T_SelfStock'!CS34</f>
        <v/>
      </c>
      <c r="CV1044">
        <f>'T_SelfStock'!CT34</f>
        <v/>
      </c>
      <c r="CW1044">
        <f>'T_SelfStock'!CU34</f>
        <v/>
      </c>
      <c r="CX1044">
        <f>'T_SelfStock'!CV34</f>
        <v/>
      </c>
      <c r="CY1044">
        <f>'T_SelfStock'!CW34</f>
        <v/>
      </c>
      <c r="CZ1044">
        <f>'T_SelfStock'!CX34</f>
        <v/>
      </c>
      <c r="DA1044">
        <f>'T_SelfStock'!CY34</f>
        <v/>
      </c>
      <c r="DB1044">
        <f>'T_SelfStock'!CZ34</f>
        <v/>
      </c>
      <c r="DC1044">
        <f>'T_SelfStock'!DA34</f>
        <v/>
      </c>
    </row>
    <row r="1045">
      <c r="B1045" t="inlineStr">
        <is>
          <t>Order(発注予定,kg)</t>
        </is>
      </c>
      <c r="D1045">
        <f>IF(SUMIFS(T_PlannedOrders[EffectiveQty],T_PlannedOrders[Part Name],$A1039,T_PlannedOrders[WeekIndex],1)=0,"",SUMIFS(T_PlannedOrders[EffectiveQty],T_PlannedOrders[Part Name],$A1039,T_PlannedOrders[WeekIndex],1)&amp;" ("&amp;TEXT(SUMPRODUCT(MAX((T_PlannedOrders[Part Name]=$A1039)*(T_PlannedOrders[WeekIndex]=1)*(T_PlannedOrders[EffectiveQty]&gt;0)*T_PlannedOrders[Order_Month])),"m月")&amp;"発注)")</f>
        <v/>
      </c>
      <c r="E1045">
        <f>IF(SUMIFS(T_PlannedOrders[EffectiveQty],T_PlannedOrders[Part Name],$A1039,T_PlannedOrders[WeekIndex],2)=0,"",SUMIFS(T_PlannedOrders[EffectiveQty],T_PlannedOrders[Part Name],$A1039,T_PlannedOrders[WeekIndex],2)&amp;" ("&amp;TEXT(SUMPRODUCT(MAX((T_PlannedOrders[Part Name]=$A1039)*(T_PlannedOrders[WeekIndex]=2)*(T_PlannedOrders[EffectiveQty]&gt;0)*T_PlannedOrders[Order_Month])),"m月")&amp;"発注)")</f>
        <v/>
      </c>
      <c r="F1045">
        <f>IF(SUMIFS(T_PlannedOrders[EffectiveQty],T_PlannedOrders[Part Name],$A1039,T_PlannedOrders[WeekIndex],3)=0,"",SUMIFS(T_PlannedOrders[EffectiveQty],T_PlannedOrders[Part Name],$A1039,T_PlannedOrders[WeekIndex],3)&amp;" ("&amp;TEXT(SUMPRODUCT(MAX((T_PlannedOrders[Part Name]=$A1039)*(T_PlannedOrders[WeekIndex]=3)*(T_PlannedOrders[EffectiveQty]&gt;0)*T_PlannedOrders[Order_Month])),"m月")&amp;"発注)")</f>
        <v/>
      </c>
      <c r="G1045">
        <f>IF(SUMIFS(T_PlannedOrders[EffectiveQty],T_PlannedOrders[Part Name],$A1039,T_PlannedOrders[WeekIndex],4)=0,"",SUMIFS(T_PlannedOrders[EffectiveQty],T_PlannedOrders[Part Name],$A1039,T_PlannedOrders[WeekIndex],4)&amp;" ("&amp;TEXT(SUMPRODUCT(MAX((T_PlannedOrders[Part Name]=$A1039)*(T_PlannedOrders[WeekIndex]=4)*(T_PlannedOrders[EffectiveQty]&gt;0)*T_PlannedOrders[Order_Month])),"m月")&amp;"発注)")</f>
        <v/>
      </c>
      <c r="H1045">
        <f>IF(SUMIFS(T_PlannedOrders[EffectiveQty],T_PlannedOrders[Part Name],$A1039,T_PlannedOrders[WeekIndex],5)=0,"",SUMIFS(T_PlannedOrders[EffectiveQty],T_PlannedOrders[Part Name],$A1039,T_PlannedOrders[WeekIndex],5)&amp;" ("&amp;TEXT(SUMPRODUCT(MAX((T_PlannedOrders[Part Name]=$A1039)*(T_PlannedOrders[WeekIndex]=5)*(T_PlannedOrders[EffectiveQty]&gt;0)*T_PlannedOrders[Order_Month])),"m月")&amp;"発注)")</f>
        <v/>
      </c>
      <c r="I1045">
        <f>IF(SUMIFS(T_PlannedOrders[EffectiveQty],T_PlannedOrders[Part Name],$A1039,T_PlannedOrders[WeekIndex],6)=0,"",SUMIFS(T_PlannedOrders[EffectiveQty],T_PlannedOrders[Part Name],$A1039,T_PlannedOrders[WeekIndex],6)&amp;" ("&amp;TEXT(SUMPRODUCT(MAX((T_PlannedOrders[Part Name]=$A1039)*(T_PlannedOrders[WeekIndex]=6)*(T_PlannedOrders[EffectiveQty]&gt;0)*T_PlannedOrders[Order_Month])),"m月")&amp;"発注)")</f>
        <v/>
      </c>
      <c r="J1045">
        <f>IF(SUMIFS(T_PlannedOrders[EffectiveQty],T_PlannedOrders[Part Name],$A1039,T_PlannedOrders[WeekIndex],7)=0,"",SUMIFS(T_PlannedOrders[EffectiveQty],T_PlannedOrders[Part Name],$A1039,T_PlannedOrders[WeekIndex],7)&amp;" ("&amp;TEXT(SUMPRODUCT(MAX((T_PlannedOrders[Part Name]=$A1039)*(T_PlannedOrders[WeekIndex]=7)*(T_PlannedOrders[EffectiveQty]&gt;0)*T_PlannedOrders[Order_Month])),"m月")&amp;"発注)")</f>
        <v/>
      </c>
      <c r="K1045">
        <f>IF(SUMIFS(T_PlannedOrders[EffectiveQty],T_PlannedOrders[Part Name],$A1039,T_PlannedOrders[WeekIndex],8)=0,"",SUMIFS(T_PlannedOrders[EffectiveQty],T_PlannedOrders[Part Name],$A1039,T_PlannedOrders[WeekIndex],8)&amp;" ("&amp;TEXT(SUMPRODUCT(MAX((T_PlannedOrders[Part Name]=$A1039)*(T_PlannedOrders[WeekIndex]=8)*(T_PlannedOrders[EffectiveQty]&gt;0)*T_PlannedOrders[Order_Month])),"m月")&amp;"発注)")</f>
        <v/>
      </c>
      <c r="L1045">
        <f>IF(SUMIFS(T_PlannedOrders[EffectiveQty],T_PlannedOrders[Part Name],$A1039,T_PlannedOrders[WeekIndex],9)=0,"",SUMIFS(T_PlannedOrders[EffectiveQty],T_PlannedOrders[Part Name],$A1039,T_PlannedOrders[WeekIndex],9)&amp;" ("&amp;TEXT(SUMPRODUCT(MAX((T_PlannedOrders[Part Name]=$A1039)*(T_PlannedOrders[WeekIndex]=9)*(T_PlannedOrders[EffectiveQty]&gt;0)*T_PlannedOrders[Order_Month])),"m月")&amp;"発注)")</f>
        <v/>
      </c>
      <c r="M1045">
        <f>IF(SUMIFS(T_PlannedOrders[EffectiveQty],T_PlannedOrders[Part Name],$A1039,T_PlannedOrders[WeekIndex],10)=0,"",SUMIFS(T_PlannedOrders[EffectiveQty],T_PlannedOrders[Part Name],$A1039,T_PlannedOrders[WeekIndex],10)&amp;" ("&amp;TEXT(SUMPRODUCT(MAX((T_PlannedOrders[Part Name]=$A1039)*(T_PlannedOrders[WeekIndex]=10)*(T_PlannedOrders[EffectiveQty]&gt;0)*T_PlannedOrders[Order_Month])),"m月")&amp;"発注)")</f>
        <v/>
      </c>
      <c r="N1045">
        <f>IF(SUMIFS(T_PlannedOrders[EffectiveQty],T_PlannedOrders[Part Name],$A1039,T_PlannedOrders[WeekIndex],11)=0,"",SUMIFS(T_PlannedOrders[EffectiveQty],T_PlannedOrders[Part Name],$A1039,T_PlannedOrders[WeekIndex],11)&amp;" ("&amp;TEXT(SUMPRODUCT(MAX((T_PlannedOrders[Part Name]=$A1039)*(T_PlannedOrders[WeekIndex]=11)*(T_PlannedOrders[EffectiveQty]&gt;0)*T_PlannedOrders[Order_Month])),"m月")&amp;"発注)")</f>
        <v/>
      </c>
      <c r="O1045">
        <f>IF(SUMIFS(T_PlannedOrders[EffectiveQty],T_PlannedOrders[Part Name],$A1039,T_PlannedOrders[WeekIndex],12)=0,"",SUMIFS(T_PlannedOrders[EffectiveQty],T_PlannedOrders[Part Name],$A1039,T_PlannedOrders[WeekIndex],12)&amp;" ("&amp;TEXT(SUMPRODUCT(MAX((T_PlannedOrders[Part Name]=$A1039)*(T_PlannedOrders[WeekIndex]=12)*(T_PlannedOrders[EffectiveQty]&gt;0)*T_PlannedOrders[Order_Month])),"m月")&amp;"発注)")</f>
        <v/>
      </c>
      <c r="P1045">
        <f>IF(SUMIFS(T_PlannedOrders[EffectiveQty],T_PlannedOrders[Part Name],$A1039,T_PlannedOrders[WeekIndex],13)=0,"",SUMIFS(T_PlannedOrders[EffectiveQty],T_PlannedOrders[Part Name],$A1039,T_PlannedOrders[WeekIndex],13)&amp;" ("&amp;TEXT(SUMPRODUCT(MAX((T_PlannedOrders[Part Name]=$A1039)*(T_PlannedOrders[WeekIndex]=13)*(T_PlannedOrders[EffectiveQty]&gt;0)*T_PlannedOrders[Order_Month])),"m月")&amp;"発注)")</f>
        <v/>
      </c>
      <c r="Q1045">
        <f>IF(SUMIFS(T_PlannedOrders[EffectiveQty],T_PlannedOrders[Part Name],$A1039,T_PlannedOrders[WeekIndex],14)=0,"",SUMIFS(T_PlannedOrders[EffectiveQty],T_PlannedOrders[Part Name],$A1039,T_PlannedOrders[WeekIndex],14)&amp;" ("&amp;TEXT(SUMPRODUCT(MAX((T_PlannedOrders[Part Name]=$A1039)*(T_PlannedOrders[WeekIndex]=14)*(T_PlannedOrders[EffectiveQty]&gt;0)*T_PlannedOrders[Order_Month])),"m月")&amp;"発注)")</f>
        <v/>
      </c>
      <c r="R1045">
        <f>IF(SUMIFS(T_PlannedOrders[EffectiveQty],T_PlannedOrders[Part Name],$A1039,T_PlannedOrders[WeekIndex],15)=0,"",SUMIFS(T_PlannedOrders[EffectiveQty],T_PlannedOrders[Part Name],$A1039,T_PlannedOrders[WeekIndex],15)&amp;" ("&amp;TEXT(SUMPRODUCT(MAX((T_PlannedOrders[Part Name]=$A1039)*(T_PlannedOrders[WeekIndex]=15)*(T_PlannedOrders[EffectiveQty]&gt;0)*T_PlannedOrders[Order_Month])),"m月")&amp;"発注)")</f>
        <v/>
      </c>
      <c r="S1045">
        <f>IF(SUMIFS(T_PlannedOrders[EffectiveQty],T_PlannedOrders[Part Name],$A1039,T_PlannedOrders[WeekIndex],16)=0,"",SUMIFS(T_PlannedOrders[EffectiveQty],T_PlannedOrders[Part Name],$A1039,T_PlannedOrders[WeekIndex],16)&amp;" ("&amp;TEXT(SUMPRODUCT(MAX((T_PlannedOrders[Part Name]=$A1039)*(T_PlannedOrders[WeekIndex]=16)*(T_PlannedOrders[EffectiveQty]&gt;0)*T_PlannedOrders[Order_Month])),"m月")&amp;"発注)")</f>
        <v/>
      </c>
      <c r="T1045">
        <f>IF(SUMIFS(T_PlannedOrders[EffectiveQty],T_PlannedOrders[Part Name],$A1039,T_PlannedOrders[WeekIndex],17)=0,"",SUMIFS(T_PlannedOrders[EffectiveQty],T_PlannedOrders[Part Name],$A1039,T_PlannedOrders[WeekIndex],17)&amp;" ("&amp;TEXT(SUMPRODUCT(MAX((T_PlannedOrders[Part Name]=$A1039)*(T_PlannedOrders[WeekIndex]=17)*(T_PlannedOrders[EffectiveQty]&gt;0)*T_PlannedOrders[Order_Month])),"m月")&amp;"発注)")</f>
        <v/>
      </c>
      <c r="U1045">
        <f>IF(SUMIFS(T_PlannedOrders[EffectiveQty],T_PlannedOrders[Part Name],$A1039,T_PlannedOrders[WeekIndex],18)=0,"",SUMIFS(T_PlannedOrders[EffectiveQty],T_PlannedOrders[Part Name],$A1039,T_PlannedOrders[WeekIndex],18)&amp;" ("&amp;TEXT(SUMPRODUCT(MAX((T_PlannedOrders[Part Name]=$A1039)*(T_PlannedOrders[WeekIndex]=18)*(T_PlannedOrders[EffectiveQty]&gt;0)*T_PlannedOrders[Order_Month])),"m月")&amp;"発注)")</f>
        <v/>
      </c>
      <c r="V1045">
        <f>IF(SUMIFS(T_PlannedOrders[EffectiveQty],T_PlannedOrders[Part Name],$A1039,T_PlannedOrders[WeekIndex],19)=0,"",SUMIFS(T_PlannedOrders[EffectiveQty],T_PlannedOrders[Part Name],$A1039,T_PlannedOrders[WeekIndex],19)&amp;" ("&amp;TEXT(SUMPRODUCT(MAX((T_PlannedOrders[Part Name]=$A1039)*(T_PlannedOrders[WeekIndex]=19)*(T_PlannedOrders[EffectiveQty]&gt;0)*T_PlannedOrders[Order_Month])),"m月")&amp;"発注)")</f>
        <v/>
      </c>
      <c r="W1045">
        <f>IF(SUMIFS(T_PlannedOrders[EffectiveQty],T_PlannedOrders[Part Name],$A1039,T_PlannedOrders[WeekIndex],20)=0,"",SUMIFS(T_PlannedOrders[EffectiveQty],T_PlannedOrders[Part Name],$A1039,T_PlannedOrders[WeekIndex],20)&amp;" ("&amp;TEXT(SUMPRODUCT(MAX((T_PlannedOrders[Part Name]=$A1039)*(T_PlannedOrders[WeekIndex]=20)*(T_PlannedOrders[EffectiveQty]&gt;0)*T_PlannedOrders[Order_Month])),"m月")&amp;"発注)")</f>
        <v/>
      </c>
      <c r="X1045">
        <f>IF(SUMIFS(T_PlannedOrders[EffectiveQty],T_PlannedOrders[Part Name],$A1039,T_PlannedOrders[WeekIndex],21)=0,"",SUMIFS(T_PlannedOrders[EffectiveQty],T_PlannedOrders[Part Name],$A1039,T_PlannedOrders[WeekIndex],21)&amp;" ("&amp;TEXT(SUMPRODUCT(MAX((T_PlannedOrders[Part Name]=$A1039)*(T_PlannedOrders[WeekIndex]=21)*(T_PlannedOrders[EffectiveQty]&gt;0)*T_PlannedOrders[Order_Month])),"m月")&amp;"発注)")</f>
        <v/>
      </c>
      <c r="Y1045">
        <f>IF(SUMIFS(T_PlannedOrders[EffectiveQty],T_PlannedOrders[Part Name],$A1039,T_PlannedOrders[WeekIndex],22)=0,"",SUMIFS(T_PlannedOrders[EffectiveQty],T_PlannedOrders[Part Name],$A1039,T_PlannedOrders[WeekIndex],22)&amp;" ("&amp;TEXT(SUMPRODUCT(MAX((T_PlannedOrders[Part Name]=$A1039)*(T_PlannedOrders[WeekIndex]=22)*(T_PlannedOrders[EffectiveQty]&gt;0)*T_PlannedOrders[Order_Month])),"m月")&amp;"発注)")</f>
        <v/>
      </c>
      <c r="Z1045">
        <f>IF(SUMIFS(T_PlannedOrders[EffectiveQty],T_PlannedOrders[Part Name],$A1039,T_PlannedOrders[WeekIndex],23)=0,"",SUMIFS(T_PlannedOrders[EffectiveQty],T_PlannedOrders[Part Name],$A1039,T_PlannedOrders[WeekIndex],23)&amp;" ("&amp;TEXT(SUMPRODUCT(MAX((T_PlannedOrders[Part Name]=$A1039)*(T_PlannedOrders[WeekIndex]=23)*(T_PlannedOrders[EffectiveQty]&gt;0)*T_PlannedOrders[Order_Month])),"m月")&amp;"発注)")</f>
        <v/>
      </c>
      <c r="AA1045">
        <f>IF(SUMIFS(T_PlannedOrders[EffectiveQty],T_PlannedOrders[Part Name],$A1039,T_PlannedOrders[WeekIndex],24)=0,"",SUMIFS(T_PlannedOrders[EffectiveQty],T_PlannedOrders[Part Name],$A1039,T_PlannedOrders[WeekIndex],24)&amp;" ("&amp;TEXT(SUMPRODUCT(MAX((T_PlannedOrders[Part Name]=$A1039)*(T_PlannedOrders[WeekIndex]=24)*(T_PlannedOrders[EffectiveQty]&gt;0)*T_PlannedOrders[Order_Month])),"m月")&amp;"発注)")</f>
        <v/>
      </c>
      <c r="AB1045">
        <f>IF(SUMIFS(T_PlannedOrders[EffectiveQty],T_PlannedOrders[Part Name],$A1039,T_PlannedOrders[WeekIndex],25)=0,"",SUMIFS(T_PlannedOrders[EffectiveQty],T_PlannedOrders[Part Name],$A1039,T_PlannedOrders[WeekIndex],25)&amp;" ("&amp;TEXT(SUMPRODUCT(MAX((T_PlannedOrders[Part Name]=$A1039)*(T_PlannedOrders[WeekIndex]=25)*(T_PlannedOrders[EffectiveQty]&gt;0)*T_PlannedOrders[Order_Month])),"m月")&amp;"発注)")</f>
        <v/>
      </c>
      <c r="AC1045">
        <f>IF(SUMIFS(T_PlannedOrders[EffectiveQty],T_PlannedOrders[Part Name],$A1039,T_PlannedOrders[WeekIndex],26)=0,"",SUMIFS(T_PlannedOrders[EffectiveQty],T_PlannedOrders[Part Name],$A1039,T_PlannedOrders[WeekIndex],26)&amp;" ("&amp;TEXT(SUMPRODUCT(MAX((T_PlannedOrders[Part Name]=$A1039)*(T_PlannedOrders[WeekIndex]=26)*(T_PlannedOrders[EffectiveQty]&gt;0)*T_PlannedOrders[Order_Month])),"m月")&amp;"発注)")</f>
        <v/>
      </c>
      <c r="AD1045">
        <f>IF(SUMIFS(T_PlannedOrders[EffectiveQty],T_PlannedOrders[Part Name],$A1039,T_PlannedOrders[WeekIndex],27)=0,"",SUMIFS(T_PlannedOrders[EffectiveQty],T_PlannedOrders[Part Name],$A1039,T_PlannedOrders[WeekIndex],27)&amp;" ("&amp;TEXT(SUMPRODUCT(MAX((T_PlannedOrders[Part Name]=$A1039)*(T_PlannedOrders[WeekIndex]=27)*(T_PlannedOrders[EffectiveQty]&gt;0)*T_PlannedOrders[Order_Month])),"m月")&amp;"発注)")</f>
        <v/>
      </c>
      <c r="AE1045">
        <f>IF(SUMIFS(T_PlannedOrders[EffectiveQty],T_PlannedOrders[Part Name],$A1039,T_PlannedOrders[WeekIndex],28)=0,"",SUMIFS(T_PlannedOrders[EffectiveQty],T_PlannedOrders[Part Name],$A1039,T_PlannedOrders[WeekIndex],28)&amp;" ("&amp;TEXT(SUMPRODUCT(MAX((T_PlannedOrders[Part Name]=$A1039)*(T_PlannedOrders[WeekIndex]=28)*(T_PlannedOrders[EffectiveQty]&gt;0)*T_PlannedOrders[Order_Month])),"m月")&amp;"発注)")</f>
        <v/>
      </c>
      <c r="AF1045">
        <f>IF(SUMIFS(T_PlannedOrders[EffectiveQty],T_PlannedOrders[Part Name],$A1039,T_PlannedOrders[WeekIndex],29)=0,"",SUMIFS(T_PlannedOrders[EffectiveQty],T_PlannedOrders[Part Name],$A1039,T_PlannedOrders[WeekIndex],29)&amp;" ("&amp;TEXT(SUMPRODUCT(MAX((T_PlannedOrders[Part Name]=$A1039)*(T_PlannedOrders[WeekIndex]=29)*(T_PlannedOrders[EffectiveQty]&gt;0)*T_PlannedOrders[Order_Month])),"m月")&amp;"発注)")</f>
        <v/>
      </c>
      <c r="AG1045">
        <f>IF(SUMIFS(T_PlannedOrders[EffectiveQty],T_PlannedOrders[Part Name],$A1039,T_PlannedOrders[WeekIndex],30)=0,"",SUMIFS(T_PlannedOrders[EffectiveQty],T_PlannedOrders[Part Name],$A1039,T_PlannedOrders[WeekIndex],30)&amp;" ("&amp;TEXT(SUMPRODUCT(MAX((T_PlannedOrders[Part Name]=$A1039)*(T_PlannedOrders[WeekIndex]=30)*(T_PlannedOrders[EffectiveQty]&gt;0)*T_PlannedOrders[Order_Month])),"m月")&amp;"発注)")</f>
        <v/>
      </c>
      <c r="AH1045">
        <f>IF(SUMIFS(T_PlannedOrders[EffectiveQty],T_PlannedOrders[Part Name],$A1039,T_PlannedOrders[WeekIndex],31)=0,"",SUMIFS(T_PlannedOrders[EffectiveQty],T_PlannedOrders[Part Name],$A1039,T_PlannedOrders[WeekIndex],31)&amp;" ("&amp;TEXT(SUMPRODUCT(MAX((T_PlannedOrders[Part Name]=$A1039)*(T_PlannedOrders[WeekIndex]=31)*(T_PlannedOrders[EffectiveQty]&gt;0)*T_PlannedOrders[Order_Month])),"m月")&amp;"発注)")</f>
        <v/>
      </c>
      <c r="AI1045">
        <f>IF(SUMIFS(T_PlannedOrders[EffectiveQty],T_PlannedOrders[Part Name],$A1039,T_PlannedOrders[WeekIndex],32)=0,"",SUMIFS(T_PlannedOrders[EffectiveQty],T_PlannedOrders[Part Name],$A1039,T_PlannedOrders[WeekIndex],32)&amp;" ("&amp;TEXT(SUMPRODUCT(MAX((T_PlannedOrders[Part Name]=$A1039)*(T_PlannedOrders[WeekIndex]=32)*(T_PlannedOrders[EffectiveQty]&gt;0)*T_PlannedOrders[Order_Month])),"m月")&amp;"発注)")</f>
        <v/>
      </c>
      <c r="AJ1045">
        <f>IF(SUMIFS(T_PlannedOrders[EffectiveQty],T_PlannedOrders[Part Name],$A1039,T_PlannedOrders[WeekIndex],33)=0,"",SUMIFS(T_PlannedOrders[EffectiveQty],T_PlannedOrders[Part Name],$A1039,T_PlannedOrders[WeekIndex],33)&amp;" ("&amp;TEXT(SUMPRODUCT(MAX((T_PlannedOrders[Part Name]=$A1039)*(T_PlannedOrders[WeekIndex]=33)*(T_PlannedOrders[EffectiveQty]&gt;0)*T_PlannedOrders[Order_Month])),"m月")&amp;"発注)")</f>
        <v/>
      </c>
      <c r="AK1045">
        <f>IF(SUMIFS(T_PlannedOrders[EffectiveQty],T_PlannedOrders[Part Name],$A1039,T_PlannedOrders[WeekIndex],34)=0,"",SUMIFS(T_PlannedOrders[EffectiveQty],T_PlannedOrders[Part Name],$A1039,T_PlannedOrders[WeekIndex],34)&amp;" ("&amp;TEXT(SUMPRODUCT(MAX((T_PlannedOrders[Part Name]=$A1039)*(T_PlannedOrders[WeekIndex]=34)*(T_PlannedOrders[EffectiveQty]&gt;0)*T_PlannedOrders[Order_Month])),"m月")&amp;"発注)")</f>
        <v/>
      </c>
      <c r="AL1045">
        <f>IF(SUMIFS(T_PlannedOrders[EffectiveQty],T_PlannedOrders[Part Name],$A1039,T_PlannedOrders[WeekIndex],35)=0,"",SUMIFS(T_PlannedOrders[EffectiveQty],T_PlannedOrders[Part Name],$A1039,T_PlannedOrders[WeekIndex],35)&amp;" ("&amp;TEXT(SUMPRODUCT(MAX((T_PlannedOrders[Part Name]=$A1039)*(T_PlannedOrders[WeekIndex]=35)*(T_PlannedOrders[EffectiveQty]&gt;0)*T_PlannedOrders[Order_Month])),"m月")&amp;"発注)")</f>
        <v/>
      </c>
      <c r="AM1045">
        <f>IF(SUMIFS(T_PlannedOrders[EffectiveQty],T_PlannedOrders[Part Name],$A1039,T_PlannedOrders[WeekIndex],36)=0,"",SUMIFS(T_PlannedOrders[EffectiveQty],T_PlannedOrders[Part Name],$A1039,T_PlannedOrders[WeekIndex],36)&amp;" ("&amp;TEXT(SUMPRODUCT(MAX((T_PlannedOrders[Part Name]=$A1039)*(T_PlannedOrders[WeekIndex]=36)*(T_PlannedOrders[EffectiveQty]&gt;0)*T_PlannedOrders[Order_Month])),"m月")&amp;"発注)")</f>
        <v/>
      </c>
      <c r="AN1045">
        <f>IF(SUMIFS(T_PlannedOrders[EffectiveQty],T_PlannedOrders[Part Name],$A1039,T_PlannedOrders[WeekIndex],37)=0,"",SUMIFS(T_PlannedOrders[EffectiveQty],T_PlannedOrders[Part Name],$A1039,T_PlannedOrders[WeekIndex],37)&amp;" ("&amp;TEXT(SUMPRODUCT(MAX((T_PlannedOrders[Part Name]=$A1039)*(T_PlannedOrders[WeekIndex]=37)*(T_PlannedOrders[EffectiveQty]&gt;0)*T_PlannedOrders[Order_Month])),"m月")&amp;"発注)")</f>
        <v/>
      </c>
      <c r="AO1045">
        <f>IF(SUMIFS(T_PlannedOrders[EffectiveQty],T_PlannedOrders[Part Name],$A1039,T_PlannedOrders[WeekIndex],38)=0,"",SUMIFS(T_PlannedOrders[EffectiveQty],T_PlannedOrders[Part Name],$A1039,T_PlannedOrders[WeekIndex],38)&amp;" ("&amp;TEXT(SUMPRODUCT(MAX((T_PlannedOrders[Part Name]=$A1039)*(T_PlannedOrders[WeekIndex]=38)*(T_PlannedOrders[EffectiveQty]&gt;0)*T_PlannedOrders[Order_Month])),"m月")&amp;"発注)")</f>
        <v/>
      </c>
      <c r="AP1045">
        <f>IF(SUMIFS(T_PlannedOrders[EffectiveQty],T_PlannedOrders[Part Name],$A1039,T_PlannedOrders[WeekIndex],39)=0,"",SUMIFS(T_PlannedOrders[EffectiveQty],T_PlannedOrders[Part Name],$A1039,T_PlannedOrders[WeekIndex],39)&amp;" ("&amp;TEXT(SUMPRODUCT(MAX((T_PlannedOrders[Part Name]=$A1039)*(T_PlannedOrders[WeekIndex]=39)*(T_PlannedOrders[EffectiveQty]&gt;0)*T_PlannedOrders[Order_Month])),"m月")&amp;"発注)")</f>
        <v/>
      </c>
      <c r="AQ1045">
        <f>IF(SUMIFS(T_PlannedOrders[EffectiveQty],T_PlannedOrders[Part Name],$A1039,T_PlannedOrders[WeekIndex],40)=0,"",SUMIFS(T_PlannedOrders[EffectiveQty],T_PlannedOrders[Part Name],$A1039,T_PlannedOrders[WeekIndex],40)&amp;" ("&amp;TEXT(SUMPRODUCT(MAX((T_PlannedOrders[Part Name]=$A1039)*(T_PlannedOrders[WeekIndex]=40)*(T_PlannedOrders[EffectiveQty]&gt;0)*T_PlannedOrders[Order_Month])),"m月")&amp;"発注)")</f>
        <v/>
      </c>
      <c r="AR1045">
        <f>IF(SUMIFS(T_PlannedOrders[EffectiveQty],T_PlannedOrders[Part Name],$A1039,T_PlannedOrders[WeekIndex],41)=0,"",SUMIFS(T_PlannedOrders[EffectiveQty],T_PlannedOrders[Part Name],$A1039,T_PlannedOrders[WeekIndex],41)&amp;" ("&amp;TEXT(SUMPRODUCT(MAX((T_PlannedOrders[Part Name]=$A1039)*(T_PlannedOrders[WeekIndex]=41)*(T_PlannedOrders[EffectiveQty]&gt;0)*T_PlannedOrders[Order_Month])),"m月")&amp;"発注)")</f>
        <v/>
      </c>
      <c r="AS1045">
        <f>IF(SUMIFS(T_PlannedOrders[EffectiveQty],T_PlannedOrders[Part Name],$A1039,T_PlannedOrders[WeekIndex],42)=0,"",SUMIFS(T_PlannedOrders[EffectiveQty],T_PlannedOrders[Part Name],$A1039,T_PlannedOrders[WeekIndex],42)&amp;" ("&amp;TEXT(SUMPRODUCT(MAX((T_PlannedOrders[Part Name]=$A1039)*(T_PlannedOrders[WeekIndex]=42)*(T_PlannedOrders[EffectiveQty]&gt;0)*T_PlannedOrders[Order_Month])),"m月")&amp;"発注)")</f>
        <v/>
      </c>
      <c r="AT1045">
        <f>IF(SUMIFS(T_PlannedOrders[EffectiveQty],T_PlannedOrders[Part Name],$A1039,T_PlannedOrders[WeekIndex],43)=0,"",SUMIFS(T_PlannedOrders[EffectiveQty],T_PlannedOrders[Part Name],$A1039,T_PlannedOrders[WeekIndex],43)&amp;" ("&amp;TEXT(SUMPRODUCT(MAX((T_PlannedOrders[Part Name]=$A1039)*(T_PlannedOrders[WeekIndex]=43)*(T_PlannedOrders[EffectiveQty]&gt;0)*T_PlannedOrders[Order_Month])),"m月")&amp;"発注)")</f>
        <v/>
      </c>
      <c r="AU1045">
        <f>IF(SUMIFS(T_PlannedOrders[EffectiveQty],T_PlannedOrders[Part Name],$A1039,T_PlannedOrders[WeekIndex],44)=0,"",SUMIFS(T_PlannedOrders[EffectiveQty],T_PlannedOrders[Part Name],$A1039,T_PlannedOrders[WeekIndex],44)&amp;" ("&amp;TEXT(SUMPRODUCT(MAX((T_PlannedOrders[Part Name]=$A1039)*(T_PlannedOrders[WeekIndex]=44)*(T_PlannedOrders[EffectiveQty]&gt;0)*T_PlannedOrders[Order_Month])),"m月")&amp;"発注)")</f>
        <v/>
      </c>
      <c r="AV1045">
        <f>IF(SUMIFS(T_PlannedOrders[EffectiveQty],T_PlannedOrders[Part Name],$A1039,T_PlannedOrders[WeekIndex],45)=0,"",SUMIFS(T_PlannedOrders[EffectiveQty],T_PlannedOrders[Part Name],$A1039,T_PlannedOrders[WeekIndex],45)&amp;" ("&amp;TEXT(SUMPRODUCT(MAX((T_PlannedOrders[Part Name]=$A1039)*(T_PlannedOrders[WeekIndex]=45)*(T_PlannedOrders[EffectiveQty]&gt;0)*T_PlannedOrders[Order_Month])),"m月")&amp;"発注)")</f>
        <v/>
      </c>
      <c r="AW1045">
        <f>IF(SUMIFS(T_PlannedOrders[EffectiveQty],T_PlannedOrders[Part Name],$A1039,T_PlannedOrders[WeekIndex],46)=0,"",SUMIFS(T_PlannedOrders[EffectiveQty],T_PlannedOrders[Part Name],$A1039,T_PlannedOrders[WeekIndex],46)&amp;" ("&amp;TEXT(SUMPRODUCT(MAX((T_PlannedOrders[Part Name]=$A1039)*(T_PlannedOrders[WeekIndex]=46)*(T_PlannedOrders[EffectiveQty]&gt;0)*T_PlannedOrders[Order_Month])),"m月")&amp;"発注)")</f>
        <v/>
      </c>
      <c r="AX1045">
        <f>IF(SUMIFS(T_PlannedOrders[EffectiveQty],T_PlannedOrders[Part Name],$A1039,T_PlannedOrders[WeekIndex],47)=0,"",SUMIFS(T_PlannedOrders[EffectiveQty],T_PlannedOrders[Part Name],$A1039,T_PlannedOrders[WeekIndex],47)&amp;" ("&amp;TEXT(SUMPRODUCT(MAX((T_PlannedOrders[Part Name]=$A1039)*(T_PlannedOrders[WeekIndex]=47)*(T_PlannedOrders[EffectiveQty]&gt;0)*T_PlannedOrders[Order_Month])),"m月")&amp;"発注)")</f>
        <v/>
      </c>
      <c r="AY1045">
        <f>IF(SUMIFS(T_PlannedOrders[EffectiveQty],T_PlannedOrders[Part Name],$A1039,T_PlannedOrders[WeekIndex],48)=0,"",SUMIFS(T_PlannedOrders[EffectiveQty],T_PlannedOrders[Part Name],$A1039,T_PlannedOrders[WeekIndex],48)&amp;" ("&amp;TEXT(SUMPRODUCT(MAX((T_PlannedOrders[Part Name]=$A1039)*(T_PlannedOrders[WeekIndex]=48)*(T_PlannedOrders[EffectiveQty]&gt;0)*T_PlannedOrders[Order_Month])),"m月")&amp;"発注)")</f>
        <v/>
      </c>
      <c r="AZ1045">
        <f>IF(SUMIFS(T_PlannedOrders[EffectiveQty],T_PlannedOrders[Part Name],$A1039,T_PlannedOrders[WeekIndex],49)=0,"",SUMIFS(T_PlannedOrders[EffectiveQty],T_PlannedOrders[Part Name],$A1039,T_PlannedOrders[WeekIndex],49)&amp;" ("&amp;TEXT(SUMPRODUCT(MAX((T_PlannedOrders[Part Name]=$A1039)*(T_PlannedOrders[WeekIndex]=49)*(T_PlannedOrders[EffectiveQty]&gt;0)*T_PlannedOrders[Order_Month])),"m月")&amp;"発注)")</f>
        <v/>
      </c>
      <c r="BA1045">
        <f>IF(SUMIFS(T_PlannedOrders[EffectiveQty],T_PlannedOrders[Part Name],$A1039,T_PlannedOrders[WeekIndex],50)=0,"",SUMIFS(T_PlannedOrders[EffectiveQty],T_PlannedOrders[Part Name],$A1039,T_PlannedOrders[WeekIndex],50)&amp;" ("&amp;TEXT(SUMPRODUCT(MAX((T_PlannedOrders[Part Name]=$A1039)*(T_PlannedOrders[WeekIndex]=50)*(T_PlannedOrders[EffectiveQty]&gt;0)*T_PlannedOrders[Order_Month])),"m月")&amp;"発注)")</f>
        <v/>
      </c>
      <c r="BB1045">
        <f>IF(SUMIFS(T_PlannedOrders[EffectiveQty],T_PlannedOrders[Part Name],$A1039,T_PlannedOrders[WeekIndex],51)=0,"",SUMIFS(T_PlannedOrders[EffectiveQty],T_PlannedOrders[Part Name],$A1039,T_PlannedOrders[WeekIndex],51)&amp;" ("&amp;TEXT(SUMPRODUCT(MAX((T_PlannedOrders[Part Name]=$A1039)*(T_PlannedOrders[WeekIndex]=51)*(T_PlannedOrders[EffectiveQty]&gt;0)*T_PlannedOrders[Order_Month])),"m月")&amp;"発注)")</f>
        <v/>
      </c>
      <c r="BC1045">
        <f>IF(SUMIFS(T_PlannedOrders[EffectiveQty],T_PlannedOrders[Part Name],$A1039,T_PlannedOrders[WeekIndex],52)=0,"",SUMIFS(T_PlannedOrders[EffectiveQty],T_PlannedOrders[Part Name],$A1039,T_PlannedOrders[WeekIndex],52)&amp;" ("&amp;TEXT(SUMPRODUCT(MAX((T_PlannedOrders[Part Name]=$A1039)*(T_PlannedOrders[WeekIndex]=52)*(T_PlannedOrders[EffectiveQty]&gt;0)*T_PlannedOrders[Order_Month])),"m月")&amp;"発注)")</f>
        <v/>
      </c>
      <c r="BD1045">
        <f>IF(SUMIFS(T_PlannedOrders[EffectiveQty],T_PlannedOrders[Part Name],$A1039,T_PlannedOrders[WeekIndex],53)=0,"",SUMIFS(T_PlannedOrders[EffectiveQty],T_PlannedOrders[Part Name],$A1039,T_PlannedOrders[WeekIndex],53)&amp;" ("&amp;TEXT(SUMPRODUCT(MAX((T_PlannedOrders[Part Name]=$A1039)*(T_PlannedOrders[WeekIndex]=53)*(T_PlannedOrders[EffectiveQty]&gt;0)*T_PlannedOrders[Order_Month])),"m月")&amp;"発注)")</f>
        <v/>
      </c>
      <c r="BE1045">
        <f>IF(SUMIFS(T_PlannedOrders[EffectiveQty],T_PlannedOrders[Part Name],$A1039,T_PlannedOrders[WeekIndex],54)=0,"",SUMIFS(T_PlannedOrders[EffectiveQty],T_PlannedOrders[Part Name],$A1039,T_PlannedOrders[WeekIndex],54)&amp;" ("&amp;TEXT(SUMPRODUCT(MAX((T_PlannedOrders[Part Name]=$A1039)*(T_PlannedOrders[WeekIndex]=54)*(T_PlannedOrders[EffectiveQty]&gt;0)*T_PlannedOrders[Order_Month])),"m月")&amp;"発注)")</f>
        <v/>
      </c>
      <c r="BF1045">
        <f>IF(SUMIFS(T_PlannedOrders[EffectiveQty],T_PlannedOrders[Part Name],$A1039,T_PlannedOrders[WeekIndex],55)=0,"",SUMIFS(T_PlannedOrders[EffectiveQty],T_PlannedOrders[Part Name],$A1039,T_PlannedOrders[WeekIndex],55)&amp;" ("&amp;TEXT(SUMPRODUCT(MAX((T_PlannedOrders[Part Name]=$A1039)*(T_PlannedOrders[WeekIndex]=55)*(T_PlannedOrders[EffectiveQty]&gt;0)*T_PlannedOrders[Order_Month])),"m月")&amp;"発注)")</f>
        <v/>
      </c>
      <c r="BG1045">
        <f>IF(SUMIFS(T_PlannedOrders[EffectiveQty],T_PlannedOrders[Part Name],$A1039,T_PlannedOrders[WeekIndex],56)=0,"",SUMIFS(T_PlannedOrders[EffectiveQty],T_PlannedOrders[Part Name],$A1039,T_PlannedOrders[WeekIndex],56)&amp;" ("&amp;TEXT(SUMPRODUCT(MAX((T_PlannedOrders[Part Name]=$A1039)*(T_PlannedOrders[WeekIndex]=56)*(T_PlannedOrders[EffectiveQty]&gt;0)*T_PlannedOrders[Order_Month])),"m月")&amp;"発注)")</f>
        <v/>
      </c>
      <c r="BH1045">
        <f>IF(SUMIFS(T_PlannedOrders[EffectiveQty],T_PlannedOrders[Part Name],$A1039,T_PlannedOrders[WeekIndex],57)=0,"",SUMIFS(T_PlannedOrders[EffectiveQty],T_PlannedOrders[Part Name],$A1039,T_PlannedOrders[WeekIndex],57)&amp;" ("&amp;TEXT(SUMPRODUCT(MAX((T_PlannedOrders[Part Name]=$A1039)*(T_PlannedOrders[WeekIndex]=57)*(T_PlannedOrders[EffectiveQty]&gt;0)*T_PlannedOrders[Order_Month])),"m月")&amp;"発注)")</f>
        <v/>
      </c>
      <c r="BI1045">
        <f>IF(SUMIFS(T_PlannedOrders[EffectiveQty],T_PlannedOrders[Part Name],$A1039,T_PlannedOrders[WeekIndex],58)=0,"",SUMIFS(T_PlannedOrders[EffectiveQty],T_PlannedOrders[Part Name],$A1039,T_PlannedOrders[WeekIndex],58)&amp;" ("&amp;TEXT(SUMPRODUCT(MAX((T_PlannedOrders[Part Name]=$A1039)*(T_PlannedOrders[WeekIndex]=58)*(T_PlannedOrders[EffectiveQty]&gt;0)*T_PlannedOrders[Order_Month])),"m月")&amp;"発注)")</f>
        <v/>
      </c>
      <c r="BJ1045">
        <f>IF(SUMIFS(T_PlannedOrders[EffectiveQty],T_PlannedOrders[Part Name],$A1039,T_PlannedOrders[WeekIndex],59)=0,"",SUMIFS(T_PlannedOrders[EffectiveQty],T_PlannedOrders[Part Name],$A1039,T_PlannedOrders[WeekIndex],59)&amp;" ("&amp;TEXT(SUMPRODUCT(MAX((T_PlannedOrders[Part Name]=$A1039)*(T_PlannedOrders[WeekIndex]=59)*(T_PlannedOrders[EffectiveQty]&gt;0)*T_PlannedOrders[Order_Month])),"m月")&amp;"発注)")</f>
        <v/>
      </c>
      <c r="BK1045">
        <f>IF(SUMIFS(T_PlannedOrders[EffectiveQty],T_PlannedOrders[Part Name],$A1039,T_PlannedOrders[WeekIndex],60)=0,"",SUMIFS(T_PlannedOrders[EffectiveQty],T_PlannedOrders[Part Name],$A1039,T_PlannedOrders[WeekIndex],60)&amp;" ("&amp;TEXT(SUMPRODUCT(MAX((T_PlannedOrders[Part Name]=$A1039)*(T_PlannedOrders[WeekIndex]=60)*(T_PlannedOrders[EffectiveQty]&gt;0)*T_PlannedOrders[Order_Month])),"m月")&amp;"発注)")</f>
        <v/>
      </c>
      <c r="BL1045">
        <f>IF(SUMIFS(T_PlannedOrders[EffectiveQty],T_PlannedOrders[Part Name],$A1039,T_PlannedOrders[WeekIndex],61)=0,"",SUMIFS(T_PlannedOrders[EffectiveQty],T_PlannedOrders[Part Name],$A1039,T_PlannedOrders[WeekIndex],61)&amp;" ("&amp;TEXT(SUMPRODUCT(MAX((T_PlannedOrders[Part Name]=$A1039)*(T_PlannedOrders[WeekIndex]=61)*(T_PlannedOrders[EffectiveQty]&gt;0)*T_PlannedOrders[Order_Month])),"m月")&amp;"発注)")</f>
        <v/>
      </c>
      <c r="BM1045">
        <f>IF(SUMIFS(T_PlannedOrders[EffectiveQty],T_PlannedOrders[Part Name],$A1039,T_PlannedOrders[WeekIndex],62)=0,"",SUMIFS(T_PlannedOrders[EffectiveQty],T_PlannedOrders[Part Name],$A1039,T_PlannedOrders[WeekIndex],62)&amp;" ("&amp;TEXT(SUMPRODUCT(MAX((T_PlannedOrders[Part Name]=$A1039)*(T_PlannedOrders[WeekIndex]=62)*(T_PlannedOrders[EffectiveQty]&gt;0)*T_PlannedOrders[Order_Month])),"m月")&amp;"発注)")</f>
        <v/>
      </c>
      <c r="BN1045">
        <f>IF(SUMIFS(T_PlannedOrders[EffectiveQty],T_PlannedOrders[Part Name],$A1039,T_PlannedOrders[WeekIndex],63)=0,"",SUMIFS(T_PlannedOrders[EffectiveQty],T_PlannedOrders[Part Name],$A1039,T_PlannedOrders[WeekIndex],63)&amp;" ("&amp;TEXT(SUMPRODUCT(MAX((T_PlannedOrders[Part Name]=$A1039)*(T_PlannedOrders[WeekIndex]=63)*(T_PlannedOrders[EffectiveQty]&gt;0)*T_PlannedOrders[Order_Month])),"m月")&amp;"発注)")</f>
        <v/>
      </c>
      <c r="BO1045">
        <f>IF(SUMIFS(T_PlannedOrders[EffectiveQty],T_PlannedOrders[Part Name],$A1039,T_PlannedOrders[WeekIndex],64)=0,"",SUMIFS(T_PlannedOrders[EffectiveQty],T_PlannedOrders[Part Name],$A1039,T_PlannedOrders[WeekIndex],64)&amp;" ("&amp;TEXT(SUMPRODUCT(MAX((T_PlannedOrders[Part Name]=$A1039)*(T_PlannedOrders[WeekIndex]=64)*(T_PlannedOrders[EffectiveQty]&gt;0)*T_PlannedOrders[Order_Month])),"m月")&amp;"発注)")</f>
        <v/>
      </c>
      <c r="BP1045">
        <f>IF(SUMIFS(T_PlannedOrders[EffectiveQty],T_PlannedOrders[Part Name],$A1039,T_PlannedOrders[WeekIndex],65)=0,"",SUMIFS(T_PlannedOrders[EffectiveQty],T_PlannedOrders[Part Name],$A1039,T_PlannedOrders[WeekIndex],65)&amp;" ("&amp;TEXT(SUMPRODUCT(MAX((T_PlannedOrders[Part Name]=$A1039)*(T_PlannedOrders[WeekIndex]=65)*(T_PlannedOrders[EffectiveQty]&gt;0)*T_PlannedOrders[Order_Month])),"m月")&amp;"発注)")</f>
        <v/>
      </c>
      <c r="BQ1045">
        <f>IF(SUMIFS(T_PlannedOrders[EffectiveQty],T_PlannedOrders[Part Name],$A1039,T_PlannedOrders[WeekIndex],66)=0,"",SUMIFS(T_PlannedOrders[EffectiveQty],T_PlannedOrders[Part Name],$A1039,T_PlannedOrders[WeekIndex],66)&amp;" ("&amp;TEXT(SUMPRODUCT(MAX((T_PlannedOrders[Part Name]=$A1039)*(T_PlannedOrders[WeekIndex]=66)*(T_PlannedOrders[EffectiveQty]&gt;0)*T_PlannedOrders[Order_Month])),"m月")&amp;"発注)")</f>
        <v/>
      </c>
      <c r="BR1045">
        <f>IF(SUMIFS(T_PlannedOrders[EffectiveQty],T_PlannedOrders[Part Name],$A1039,T_PlannedOrders[WeekIndex],67)=0,"",SUMIFS(T_PlannedOrders[EffectiveQty],T_PlannedOrders[Part Name],$A1039,T_PlannedOrders[WeekIndex],67)&amp;" ("&amp;TEXT(SUMPRODUCT(MAX((T_PlannedOrders[Part Name]=$A1039)*(T_PlannedOrders[WeekIndex]=67)*(T_PlannedOrders[EffectiveQty]&gt;0)*T_PlannedOrders[Order_Month])),"m月")&amp;"発注)")</f>
        <v/>
      </c>
      <c r="BS1045">
        <f>IF(SUMIFS(T_PlannedOrders[EffectiveQty],T_PlannedOrders[Part Name],$A1039,T_PlannedOrders[WeekIndex],68)=0,"",SUMIFS(T_PlannedOrders[EffectiveQty],T_PlannedOrders[Part Name],$A1039,T_PlannedOrders[WeekIndex],68)&amp;" ("&amp;TEXT(SUMPRODUCT(MAX((T_PlannedOrders[Part Name]=$A1039)*(T_PlannedOrders[WeekIndex]=68)*(T_PlannedOrders[EffectiveQty]&gt;0)*T_PlannedOrders[Order_Month])),"m月")&amp;"発注)")</f>
        <v/>
      </c>
      <c r="BT1045">
        <f>IF(SUMIFS(T_PlannedOrders[EffectiveQty],T_PlannedOrders[Part Name],$A1039,T_PlannedOrders[WeekIndex],69)=0,"",SUMIFS(T_PlannedOrders[EffectiveQty],T_PlannedOrders[Part Name],$A1039,T_PlannedOrders[WeekIndex],69)&amp;" ("&amp;TEXT(SUMPRODUCT(MAX((T_PlannedOrders[Part Name]=$A1039)*(T_PlannedOrders[WeekIndex]=69)*(T_PlannedOrders[EffectiveQty]&gt;0)*T_PlannedOrders[Order_Month])),"m月")&amp;"発注)")</f>
        <v/>
      </c>
      <c r="BU1045">
        <f>IF(SUMIFS(T_PlannedOrders[EffectiveQty],T_PlannedOrders[Part Name],$A1039,T_PlannedOrders[WeekIndex],70)=0,"",SUMIFS(T_PlannedOrders[EffectiveQty],T_PlannedOrders[Part Name],$A1039,T_PlannedOrders[WeekIndex],70)&amp;" ("&amp;TEXT(SUMPRODUCT(MAX((T_PlannedOrders[Part Name]=$A1039)*(T_PlannedOrders[WeekIndex]=70)*(T_PlannedOrders[EffectiveQty]&gt;0)*T_PlannedOrders[Order_Month])),"m月")&amp;"発注)")</f>
        <v/>
      </c>
      <c r="BV1045">
        <f>IF(SUMIFS(T_PlannedOrders[EffectiveQty],T_PlannedOrders[Part Name],$A1039,T_PlannedOrders[WeekIndex],71)=0,"",SUMIFS(T_PlannedOrders[EffectiveQty],T_PlannedOrders[Part Name],$A1039,T_PlannedOrders[WeekIndex],71)&amp;" ("&amp;TEXT(SUMPRODUCT(MAX((T_PlannedOrders[Part Name]=$A1039)*(T_PlannedOrders[WeekIndex]=71)*(T_PlannedOrders[EffectiveQty]&gt;0)*T_PlannedOrders[Order_Month])),"m月")&amp;"発注)")</f>
        <v/>
      </c>
      <c r="BW1045">
        <f>IF(SUMIFS(T_PlannedOrders[EffectiveQty],T_PlannedOrders[Part Name],$A1039,T_PlannedOrders[WeekIndex],72)=0,"",SUMIFS(T_PlannedOrders[EffectiveQty],T_PlannedOrders[Part Name],$A1039,T_PlannedOrders[WeekIndex],72)&amp;" ("&amp;TEXT(SUMPRODUCT(MAX((T_PlannedOrders[Part Name]=$A1039)*(T_PlannedOrders[WeekIndex]=72)*(T_PlannedOrders[EffectiveQty]&gt;0)*T_PlannedOrders[Order_Month])),"m月")&amp;"発注)")</f>
        <v/>
      </c>
      <c r="BX1045">
        <f>IF(SUMIFS(T_PlannedOrders[EffectiveQty],T_PlannedOrders[Part Name],$A1039,T_PlannedOrders[WeekIndex],73)=0,"",SUMIFS(T_PlannedOrders[EffectiveQty],T_PlannedOrders[Part Name],$A1039,T_PlannedOrders[WeekIndex],73)&amp;" ("&amp;TEXT(SUMPRODUCT(MAX((T_PlannedOrders[Part Name]=$A1039)*(T_PlannedOrders[WeekIndex]=73)*(T_PlannedOrders[EffectiveQty]&gt;0)*T_PlannedOrders[Order_Month])),"m月")&amp;"発注)")</f>
        <v/>
      </c>
      <c r="BY1045">
        <f>IF(SUMIFS(T_PlannedOrders[EffectiveQty],T_PlannedOrders[Part Name],$A1039,T_PlannedOrders[WeekIndex],74)=0,"",SUMIFS(T_PlannedOrders[EffectiveQty],T_PlannedOrders[Part Name],$A1039,T_PlannedOrders[WeekIndex],74)&amp;" ("&amp;TEXT(SUMPRODUCT(MAX((T_PlannedOrders[Part Name]=$A1039)*(T_PlannedOrders[WeekIndex]=74)*(T_PlannedOrders[EffectiveQty]&gt;0)*T_PlannedOrders[Order_Month])),"m月")&amp;"発注)")</f>
        <v/>
      </c>
      <c r="BZ1045">
        <f>IF(SUMIFS(T_PlannedOrders[EffectiveQty],T_PlannedOrders[Part Name],$A1039,T_PlannedOrders[WeekIndex],75)=0,"",SUMIFS(T_PlannedOrders[EffectiveQty],T_PlannedOrders[Part Name],$A1039,T_PlannedOrders[WeekIndex],75)&amp;" ("&amp;TEXT(SUMPRODUCT(MAX((T_PlannedOrders[Part Name]=$A1039)*(T_PlannedOrders[WeekIndex]=75)*(T_PlannedOrders[EffectiveQty]&gt;0)*T_PlannedOrders[Order_Month])),"m月")&amp;"発注)")</f>
        <v/>
      </c>
      <c r="CA1045">
        <f>IF(SUMIFS(T_PlannedOrders[EffectiveQty],T_PlannedOrders[Part Name],$A1039,T_PlannedOrders[WeekIndex],76)=0,"",SUMIFS(T_PlannedOrders[EffectiveQty],T_PlannedOrders[Part Name],$A1039,T_PlannedOrders[WeekIndex],76)&amp;" ("&amp;TEXT(SUMPRODUCT(MAX((T_PlannedOrders[Part Name]=$A1039)*(T_PlannedOrders[WeekIndex]=76)*(T_PlannedOrders[EffectiveQty]&gt;0)*T_PlannedOrders[Order_Month])),"m月")&amp;"発注)")</f>
        <v/>
      </c>
      <c r="CB1045">
        <f>IF(SUMIFS(T_PlannedOrders[EffectiveQty],T_PlannedOrders[Part Name],$A1039,T_PlannedOrders[WeekIndex],77)=0,"",SUMIFS(T_PlannedOrders[EffectiveQty],T_PlannedOrders[Part Name],$A1039,T_PlannedOrders[WeekIndex],77)&amp;" ("&amp;TEXT(SUMPRODUCT(MAX((T_PlannedOrders[Part Name]=$A1039)*(T_PlannedOrders[WeekIndex]=77)*(T_PlannedOrders[EffectiveQty]&gt;0)*T_PlannedOrders[Order_Month])),"m月")&amp;"発注)")</f>
        <v/>
      </c>
      <c r="CC1045">
        <f>IF(SUMIFS(T_PlannedOrders[EffectiveQty],T_PlannedOrders[Part Name],$A1039,T_PlannedOrders[WeekIndex],78)=0,"",SUMIFS(T_PlannedOrders[EffectiveQty],T_PlannedOrders[Part Name],$A1039,T_PlannedOrders[WeekIndex],78)&amp;" ("&amp;TEXT(SUMPRODUCT(MAX((T_PlannedOrders[Part Name]=$A1039)*(T_PlannedOrders[WeekIndex]=78)*(T_PlannedOrders[EffectiveQty]&gt;0)*T_PlannedOrders[Order_Month])),"m月")&amp;"発注)")</f>
        <v/>
      </c>
      <c r="CD1045">
        <f>IF(SUMIFS(T_PlannedOrders[EffectiveQty],T_PlannedOrders[Part Name],$A1039,T_PlannedOrders[WeekIndex],79)=0,"",SUMIFS(T_PlannedOrders[EffectiveQty],T_PlannedOrders[Part Name],$A1039,T_PlannedOrders[WeekIndex],79)&amp;" ("&amp;TEXT(SUMPRODUCT(MAX((T_PlannedOrders[Part Name]=$A1039)*(T_PlannedOrders[WeekIndex]=79)*(T_PlannedOrders[EffectiveQty]&gt;0)*T_PlannedOrders[Order_Month])),"m月")&amp;"発注)")</f>
        <v/>
      </c>
      <c r="CE1045">
        <f>IF(SUMIFS(T_PlannedOrders[EffectiveQty],T_PlannedOrders[Part Name],$A1039,T_PlannedOrders[WeekIndex],80)=0,"",SUMIFS(T_PlannedOrders[EffectiveQty],T_PlannedOrders[Part Name],$A1039,T_PlannedOrders[WeekIndex],80)&amp;" ("&amp;TEXT(SUMPRODUCT(MAX((T_PlannedOrders[Part Name]=$A1039)*(T_PlannedOrders[WeekIndex]=80)*(T_PlannedOrders[EffectiveQty]&gt;0)*T_PlannedOrders[Order_Month])),"m月")&amp;"発注)")</f>
        <v/>
      </c>
      <c r="CF1045">
        <f>IF(SUMIFS(T_PlannedOrders[EffectiveQty],T_PlannedOrders[Part Name],$A1039,T_PlannedOrders[WeekIndex],81)=0,"",SUMIFS(T_PlannedOrders[EffectiveQty],T_PlannedOrders[Part Name],$A1039,T_PlannedOrders[WeekIndex],81)&amp;" ("&amp;TEXT(SUMPRODUCT(MAX((T_PlannedOrders[Part Name]=$A1039)*(T_PlannedOrders[WeekIndex]=81)*(T_PlannedOrders[EffectiveQty]&gt;0)*T_PlannedOrders[Order_Month])),"m月")&amp;"発注)")</f>
        <v/>
      </c>
      <c r="CG1045">
        <f>IF(SUMIFS(T_PlannedOrders[EffectiveQty],T_PlannedOrders[Part Name],$A1039,T_PlannedOrders[WeekIndex],82)=0,"",SUMIFS(T_PlannedOrders[EffectiveQty],T_PlannedOrders[Part Name],$A1039,T_PlannedOrders[WeekIndex],82)&amp;" ("&amp;TEXT(SUMPRODUCT(MAX((T_PlannedOrders[Part Name]=$A1039)*(T_PlannedOrders[WeekIndex]=82)*(T_PlannedOrders[EffectiveQty]&gt;0)*T_PlannedOrders[Order_Month])),"m月")&amp;"発注)")</f>
        <v/>
      </c>
      <c r="CH1045">
        <f>IF(SUMIFS(T_PlannedOrders[EffectiveQty],T_PlannedOrders[Part Name],$A1039,T_PlannedOrders[WeekIndex],83)=0,"",SUMIFS(T_PlannedOrders[EffectiveQty],T_PlannedOrders[Part Name],$A1039,T_PlannedOrders[WeekIndex],83)&amp;" ("&amp;TEXT(SUMPRODUCT(MAX((T_PlannedOrders[Part Name]=$A1039)*(T_PlannedOrders[WeekIndex]=83)*(T_PlannedOrders[EffectiveQty]&gt;0)*T_PlannedOrders[Order_Month])),"m月")&amp;"発注)")</f>
        <v/>
      </c>
      <c r="CI1045">
        <f>IF(SUMIFS(T_PlannedOrders[EffectiveQty],T_PlannedOrders[Part Name],$A1039,T_PlannedOrders[WeekIndex],84)=0,"",SUMIFS(T_PlannedOrders[EffectiveQty],T_PlannedOrders[Part Name],$A1039,T_PlannedOrders[WeekIndex],84)&amp;" ("&amp;TEXT(SUMPRODUCT(MAX((T_PlannedOrders[Part Name]=$A1039)*(T_PlannedOrders[WeekIndex]=84)*(T_PlannedOrders[EffectiveQty]&gt;0)*T_PlannedOrders[Order_Month])),"m月")&amp;"発注)")</f>
        <v/>
      </c>
      <c r="CJ1045">
        <f>IF(SUMIFS(T_PlannedOrders[EffectiveQty],T_PlannedOrders[Part Name],$A1039,T_PlannedOrders[WeekIndex],85)=0,"",SUMIFS(T_PlannedOrders[EffectiveQty],T_PlannedOrders[Part Name],$A1039,T_PlannedOrders[WeekIndex],85)&amp;" ("&amp;TEXT(SUMPRODUCT(MAX((T_PlannedOrders[Part Name]=$A1039)*(T_PlannedOrders[WeekIndex]=85)*(T_PlannedOrders[EffectiveQty]&gt;0)*T_PlannedOrders[Order_Month])),"m月")&amp;"発注)")</f>
        <v/>
      </c>
      <c r="CK1045">
        <f>IF(SUMIFS(T_PlannedOrders[EffectiveQty],T_PlannedOrders[Part Name],$A1039,T_PlannedOrders[WeekIndex],86)=0,"",SUMIFS(T_PlannedOrders[EffectiveQty],T_PlannedOrders[Part Name],$A1039,T_PlannedOrders[WeekIndex],86)&amp;" ("&amp;TEXT(SUMPRODUCT(MAX((T_PlannedOrders[Part Name]=$A1039)*(T_PlannedOrders[WeekIndex]=86)*(T_PlannedOrders[EffectiveQty]&gt;0)*T_PlannedOrders[Order_Month])),"m月")&amp;"発注)")</f>
        <v/>
      </c>
      <c r="CL1045">
        <f>IF(SUMIFS(T_PlannedOrders[EffectiveQty],T_PlannedOrders[Part Name],$A1039,T_PlannedOrders[WeekIndex],87)=0,"",SUMIFS(T_PlannedOrders[EffectiveQty],T_PlannedOrders[Part Name],$A1039,T_PlannedOrders[WeekIndex],87)&amp;" ("&amp;TEXT(SUMPRODUCT(MAX((T_PlannedOrders[Part Name]=$A1039)*(T_PlannedOrders[WeekIndex]=87)*(T_PlannedOrders[EffectiveQty]&gt;0)*T_PlannedOrders[Order_Month])),"m月")&amp;"発注)")</f>
        <v/>
      </c>
      <c r="CM1045">
        <f>IF(SUMIFS(T_PlannedOrders[EffectiveQty],T_PlannedOrders[Part Name],$A1039,T_PlannedOrders[WeekIndex],88)=0,"",SUMIFS(T_PlannedOrders[EffectiveQty],T_PlannedOrders[Part Name],$A1039,T_PlannedOrders[WeekIndex],88)&amp;" ("&amp;TEXT(SUMPRODUCT(MAX((T_PlannedOrders[Part Name]=$A1039)*(T_PlannedOrders[WeekIndex]=88)*(T_PlannedOrders[EffectiveQty]&gt;0)*T_PlannedOrders[Order_Month])),"m月")&amp;"発注)")</f>
        <v/>
      </c>
      <c r="CN1045">
        <f>IF(SUMIFS(T_PlannedOrders[EffectiveQty],T_PlannedOrders[Part Name],$A1039,T_PlannedOrders[WeekIndex],89)=0,"",SUMIFS(T_PlannedOrders[EffectiveQty],T_PlannedOrders[Part Name],$A1039,T_PlannedOrders[WeekIndex],89)&amp;" ("&amp;TEXT(SUMPRODUCT(MAX((T_PlannedOrders[Part Name]=$A1039)*(T_PlannedOrders[WeekIndex]=89)*(T_PlannedOrders[EffectiveQty]&gt;0)*T_PlannedOrders[Order_Month])),"m月")&amp;"発注)")</f>
        <v/>
      </c>
      <c r="CO1045">
        <f>IF(SUMIFS(T_PlannedOrders[EffectiveQty],T_PlannedOrders[Part Name],$A1039,T_PlannedOrders[WeekIndex],90)=0,"",SUMIFS(T_PlannedOrders[EffectiveQty],T_PlannedOrders[Part Name],$A1039,T_PlannedOrders[WeekIndex],90)&amp;" ("&amp;TEXT(SUMPRODUCT(MAX((T_PlannedOrders[Part Name]=$A1039)*(T_PlannedOrders[WeekIndex]=90)*(T_PlannedOrders[EffectiveQty]&gt;0)*T_PlannedOrders[Order_Month])),"m月")&amp;"発注)")</f>
        <v/>
      </c>
      <c r="CP1045">
        <f>IF(SUMIFS(T_PlannedOrders[EffectiveQty],T_PlannedOrders[Part Name],$A1039,T_PlannedOrders[WeekIndex],91)=0,"",SUMIFS(T_PlannedOrders[EffectiveQty],T_PlannedOrders[Part Name],$A1039,T_PlannedOrders[WeekIndex],91)&amp;" ("&amp;TEXT(SUMPRODUCT(MAX((T_PlannedOrders[Part Name]=$A1039)*(T_PlannedOrders[WeekIndex]=91)*(T_PlannedOrders[EffectiveQty]&gt;0)*T_PlannedOrders[Order_Month])),"m月")&amp;"発注)")</f>
        <v/>
      </c>
      <c r="CQ1045">
        <f>IF(SUMIFS(T_PlannedOrders[EffectiveQty],T_PlannedOrders[Part Name],$A1039,T_PlannedOrders[WeekIndex],92)=0,"",SUMIFS(T_PlannedOrders[EffectiveQty],T_PlannedOrders[Part Name],$A1039,T_PlannedOrders[WeekIndex],92)&amp;" ("&amp;TEXT(SUMPRODUCT(MAX((T_PlannedOrders[Part Name]=$A1039)*(T_PlannedOrders[WeekIndex]=92)*(T_PlannedOrders[EffectiveQty]&gt;0)*T_PlannedOrders[Order_Month])),"m月")&amp;"発注)")</f>
        <v/>
      </c>
      <c r="CR1045">
        <f>IF(SUMIFS(T_PlannedOrders[EffectiveQty],T_PlannedOrders[Part Name],$A1039,T_PlannedOrders[WeekIndex],93)=0,"",SUMIFS(T_PlannedOrders[EffectiveQty],T_PlannedOrders[Part Name],$A1039,T_PlannedOrders[WeekIndex],93)&amp;" ("&amp;TEXT(SUMPRODUCT(MAX((T_PlannedOrders[Part Name]=$A1039)*(T_PlannedOrders[WeekIndex]=93)*(T_PlannedOrders[EffectiveQty]&gt;0)*T_PlannedOrders[Order_Month])),"m月")&amp;"発注)")</f>
        <v/>
      </c>
      <c r="CS1045">
        <f>IF(SUMIFS(T_PlannedOrders[EffectiveQty],T_PlannedOrders[Part Name],$A1039,T_PlannedOrders[WeekIndex],94)=0,"",SUMIFS(T_PlannedOrders[EffectiveQty],T_PlannedOrders[Part Name],$A1039,T_PlannedOrders[WeekIndex],94)&amp;" ("&amp;TEXT(SUMPRODUCT(MAX((T_PlannedOrders[Part Name]=$A1039)*(T_PlannedOrders[WeekIndex]=94)*(T_PlannedOrders[EffectiveQty]&gt;0)*T_PlannedOrders[Order_Month])),"m月")&amp;"発注)")</f>
        <v/>
      </c>
      <c r="CT1045">
        <f>IF(SUMIFS(T_PlannedOrders[EffectiveQty],T_PlannedOrders[Part Name],$A1039,T_PlannedOrders[WeekIndex],95)=0,"",SUMIFS(T_PlannedOrders[EffectiveQty],T_PlannedOrders[Part Name],$A1039,T_PlannedOrders[WeekIndex],95)&amp;" ("&amp;TEXT(SUMPRODUCT(MAX((T_PlannedOrders[Part Name]=$A1039)*(T_PlannedOrders[WeekIndex]=95)*(T_PlannedOrders[EffectiveQty]&gt;0)*T_PlannedOrders[Order_Month])),"m月")&amp;"発注)")</f>
        <v/>
      </c>
      <c r="CU1045">
        <f>IF(SUMIFS(T_PlannedOrders[EffectiveQty],T_PlannedOrders[Part Name],$A1039,T_PlannedOrders[WeekIndex],96)=0,"",SUMIFS(T_PlannedOrders[EffectiveQty],T_PlannedOrders[Part Name],$A1039,T_PlannedOrders[WeekIndex],96)&amp;" ("&amp;TEXT(SUMPRODUCT(MAX((T_PlannedOrders[Part Name]=$A1039)*(T_PlannedOrders[WeekIndex]=96)*(T_PlannedOrders[EffectiveQty]&gt;0)*T_PlannedOrders[Order_Month])),"m月")&amp;"発注)")</f>
        <v/>
      </c>
      <c r="CV1045">
        <f>IF(SUMIFS(T_PlannedOrders[EffectiveQty],T_PlannedOrders[Part Name],$A1039,T_PlannedOrders[WeekIndex],97)=0,"",SUMIFS(T_PlannedOrders[EffectiveQty],T_PlannedOrders[Part Name],$A1039,T_PlannedOrders[WeekIndex],97)&amp;" ("&amp;TEXT(SUMPRODUCT(MAX((T_PlannedOrders[Part Name]=$A1039)*(T_PlannedOrders[WeekIndex]=97)*(T_PlannedOrders[EffectiveQty]&gt;0)*T_PlannedOrders[Order_Month])),"m月")&amp;"発注)")</f>
        <v/>
      </c>
      <c r="CW1045">
        <f>IF(SUMIFS(T_PlannedOrders[EffectiveQty],T_PlannedOrders[Part Name],$A1039,T_PlannedOrders[WeekIndex],98)=0,"",SUMIFS(T_PlannedOrders[EffectiveQty],T_PlannedOrders[Part Name],$A1039,T_PlannedOrders[WeekIndex],98)&amp;" ("&amp;TEXT(SUMPRODUCT(MAX((T_PlannedOrders[Part Name]=$A1039)*(T_PlannedOrders[WeekIndex]=98)*(T_PlannedOrders[EffectiveQty]&gt;0)*T_PlannedOrders[Order_Month])),"m月")&amp;"発注)")</f>
        <v/>
      </c>
      <c r="CX1045">
        <f>IF(SUMIFS(T_PlannedOrders[EffectiveQty],T_PlannedOrders[Part Name],$A1039,T_PlannedOrders[WeekIndex],99)=0,"",SUMIFS(T_PlannedOrders[EffectiveQty],T_PlannedOrders[Part Name],$A1039,T_PlannedOrders[WeekIndex],99)&amp;" ("&amp;TEXT(SUMPRODUCT(MAX((T_PlannedOrders[Part Name]=$A1039)*(T_PlannedOrders[WeekIndex]=99)*(T_PlannedOrders[EffectiveQty]&gt;0)*T_PlannedOrders[Order_Month])),"m月")&amp;"発注)")</f>
        <v/>
      </c>
      <c r="CY1045">
        <f>IF(SUMIFS(T_PlannedOrders[EffectiveQty],T_PlannedOrders[Part Name],$A1039,T_PlannedOrders[WeekIndex],100)=0,"",SUMIFS(T_PlannedOrders[EffectiveQty],T_PlannedOrders[Part Name],$A1039,T_PlannedOrders[WeekIndex],100)&amp;" ("&amp;TEXT(SUMPRODUCT(MAX((T_PlannedOrders[Part Name]=$A1039)*(T_PlannedOrders[WeekIndex]=100)*(T_PlannedOrders[EffectiveQty]&gt;0)*T_PlannedOrders[Order_Month])),"m月")&amp;"発注)")</f>
        <v/>
      </c>
      <c r="CZ1045">
        <f>IF(SUMIFS(T_PlannedOrders[EffectiveQty],T_PlannedOrders[Part Name],$A1039,T_PlannedOrders[WeekIndex],101)=0,"",SUMIFS(T_PlannedOrders[EffectiveQty],T_PlannedOrders[Part Name],$A1039,T_PlannedOrders[WeekIndex],101)&amp;" ("&amp;TEXT(SUMPRODUCT(MAX((T_PlannedOrders[Part Name]=$A1039)*(T_PlannedOrders[WeekIndex]=101)*(T_PlannedOrders[EffectiveQty]&gt;0)*T_PlannedOrders[Order_Month])),"m月")&amp;"発注)")</f>
        <v/>
      </c>
      <c r="DA1045">
        <f>IF(SUMIFS(T_PlannedOrders[EffectiveQty],T_PlannedOrders[Part Name],$A1039,T_PlannedOrders[WeekIndex],102)=0,"",SUMIFS(T_PlannedOrders[EffectiveQty],T_PlannedOrders[Part Name],$A1039,T_PlannedOrders[WeekIndex],102)&amp;" ("&amp;TEXT(SUMPRODUCT(MAX((T_PlannedOrders[Part Name]=$A1039)*(T_PlannedOrders[WeekIndex]=102)*(T_PlannedOrders[EffectiveQty]&gt;0)*T_PlannedOrders[Order_Month])),"m月")&amp;"発注)")</f>
        <v/>
      </c>
      <c r="DB1045">
        <f>IF(SUMIFS(T_PlannedOrders[EffectiveQty],T_PlannedOrders[Part Name],$A1039,T_PlannedOrders[WeekIndex],103)=0,"",SUMIFS(T_PlannedOrders[EffectiveQty],T_PlannedOrders[Part Name],$A1039,T_PlannedOrders[WeekIndex],103)&amp;" ("&amp;TEXT(SUMPRODUCT(MAX((T_PlannedOrders[Part Name]=$A1039)*(T_PlannedOrders[WeekIndex]=103)*(T_PlannedOrders[EffectiveQty]&gt;0)*T_PlannedOrders[Order_Month])),"m月")&amp;"発注)")</f>
        <v/>
      </c>
      <c r="DC1045">
        <f>IF(SUMIFS(T_PlannedOrders[EffectiveQty],T_PlannedOrders[Part Name],$A1039,T_PlannedOrders[WeekIndex],104)=0,"",SUMIFS(T_PlannedOrders[EffectiveQty],T_PlannedOrders[Part Name],$A1039,T_PlannedOrders[WeekIndex],104)&amp;" ("&amp;TEXT(SUMPRODUCT(MAX((T_PlannedOrders[Part Name]=$A1039)*(T_PlannedOrders[WeekIndex]=104)*(T_PlannedOrders[EffectiveQty]&gt;0)*T_PlannedOrders[Order_Month])),"m月")&amp;"発注)")</f>
        <v/>
      </c>
    </row>
    <row r="1046">
      <c r="B1046" s="4" t="inlineStr">
        <is>
          <t>合計在庫(週末時点,kg)</t>
        </is>
      </c>
      <c r="D1046">
        <f>'Grid_Stock'!B30</f>
        <v/>
      </c>
      <c r="E1046">
        <f>'Grid_Stock'!C30</f>
        <v/>
      </c>
      <c r="F1046">
        <f>'Grid_Stock'!D30</f>
        <v/>
      </c>
      <c r="G1046">
        <f>'Grid_Stock'!E30</f>
        <v/>
      </c>
      <c r="H1046">
        <f>'Grid_Stock'!F30</f>
        <v/>
      </c>
      <c r="I1046">
        <f>'Grid_Stock'!G30</f>
        <v/>
      </c>
      <c r="J1046">
        <f>'Grid_Stock'!H30</f>
        <v/>
      </c>
      <c r="K1046">
        <f>'Grid_Stock'!I30</f>
        <v/>
      </c>
      <c r="L1046">
        <f>'Grid_Stock'!J30</f>
        <v/>
      </c>
      <c r="M1046">
        <f>'Grid_Stock'!K30</f>
        <v/>
      </c>
      <c r="N1046">
        <f>'Grid_Stock'!L30</f>
        <v/>
      </c>
      <c r="O1046">
        <f>'Grid_Stock'!M30</f>
        <v/>
      </c>
      <c r="P1046">
        <f>'Grid_Stock'!N30</f>
        <v/>
      </c>
      <c r="Q1046">
        <f>'Grid_Stock'!O30</f>
        <v/>
      </c>
      <c r="R1046">
        <f>'Grid_Stock'!P30</f>
        <v/>
      </c>
      <c r="S1046">
        <f>'Grid_Stock'!Q30</f>
        <v/>
      </c>
      <c r="T1046">
        <f>'Grid_Stock'!R30</f>
        <v/>
      </c>
      <c r="U1046">
        <f>'Grid_Stock'!S30</f>
        <v/>
      </c>
      <c r="V1046">
        <f>'Grid_Stock'!T30</f>
        <v/>
      </c>
      <c r="W1046">
        <f>'Grid_Stock'!U30</f>
        <v/>
      </c>
      <c r="X1046">
        <f>'Grid_Stock'!V30</f>
        <v/>
      </c>
      <c r="Y1046">
        <f>'Grid_Stock'!W30</f>
        <v/>
      </c>
      <c r="Z1046">
        <f>'Grid_Stock'!X30</f>
        <v/>
      </c>
      <c r="AA1046">
        <f>'Grid_Stock'!Y30</f>
        <v/>
      </c>
      <c r="AB1046">
        <f>'Grid_Stock'!Z30</f>
        <v/>
      </c>
      <c r="AC1046">
        <f>'Grid_Stock'!AA30</f>
        <v/>
      </c>
      <c r="AD1046">
        <f>'Grid_Stock'!AB30</f>
        <v/>
      </c>
      <c r="AE1046">
        <f>'Grid_Stock'!AC30</f>
        <v/>
      </c>
      <c r="AF1046">
        <f>'Grid_Stock'!AD30</f>
        <v/>
      </c>
      <c r="AG1046">
        <f>'Grid_Stock'!AE30</f>
        <v/>
      </c>
      <c r="AH1046">
        <f>'Grid_Stock'!AF30</f>
        <v/>
      </c>
      <c r="AI1046">
        <f>'Grid_Stock'!AG30</f>
        <v/>
      </c>
      <c r="AJ1046">
        <f>'Grid_Stock'!AH30</f>
        <v/>
      </c>
      <c r="AK1046">
        <f>'Grid_Stock'!AI30</f>
        <v/>
      </c>
      <c r="AL1046">
        <f>'Grid_Stock'!AJ30</f>
        <v/>
      </c>
      <c r="AM1046">
        <f>'Grid_Stock'!AK30</f>
        <v/>
      </c>
      <c r="AN1046">
        <f>'Grid_Stock'!AL30</f>
        <v/>
      </c>
      <c r="AO1046">
        <f>'Grid_Stock'!AM30</f>
        <v/>
      </c>
      <c r="AP1046">
        <f>'Grid_Stock'!AN30</f>
        <v/>
      </c>
      <c r="AQ1046">
        <f>'Grid_Stock'!AO30</f>
        <v/>
      </c>
      <c r="AR1046">
        <f>'Grid_Stock'!AP30</f>
        <v/>
      </c>
      <c r="AS1046">
        <f>'Grid_Stock'!AQ30</f>
        <v/>
      </c>
      <c r="AT1046">
        <f>'Grid_Stock'!AR30</f>
        <v/>
      </c>
      <c r="AU1046">
        <f>'Grid_Stock'!AS30</f>
        <v/>
      </c>
      <c r="AV1046">
        <f>'Grid_Stock'!AT30</f>
        <v/>
      </c>
      <c r="AW1046">
        <f>'Grid_Stock'!AU30</f>
        <v/>
      </c>
      <c r="AX1046">
        <f>'Grid_Stock'!AV30</f>
        <v/>
      </c>
      <c r="AY1046">
        <f>'Grid_Stock'!AW30</f>
        <v/>
      </c>
      <c r="AZ1046">
        <f>'Grid_Stock'!AX30</f>
        <v/>
      </c>
      <c r="BA1046">
        <f>'Grid_Stock'!AY30</f>
        <v/>
      </c>
      <c r="BB1046">
        <f>'Grid_Stock'!AZ30</f>
        <v/>
      </c>
      <c r="BC1046">
        <f>'Grid_Stock'!BA30</f>
        <v/>
      </c>
      <c r="BD1046">
        <f>'Grid_Stock'!BB30</f>
        <v/>
      </c>
      <c r="BE1046">
        <f>'Grid_Stock'!BC30</f>
        <v/>
      </c>
      <c r="BF1046">
        <f>'Grid_Stock'!BD30</f>
        <v/>
      </c>
      <c r="BG1046">
        <f>'Grid_Stock'!BE30</f>
        <v/>
      </c>
      <c r="BH1046">
        <f>'Grid_Stock'!BF30</f>
        <v/>
      </c>
      <c r="BI1046">
        <f>'Grid_Stock'!BG30</f>
        <v/>
      </c>
      <c r="BJ1046">
        <f>'Grid_Stock'!BH30</f>
        <v/>
      </c>
      <c r="BK1046">
        <f>'Grid_Stock'!BI30</f>
        <v/>
      </c>
      <c r="BL1046">
        <f>'Grid_Stock'!BJ30</f>
        <v/>
      </c>
      <c r="BM1046">
        <f>'Grid_Stock'!BK30</f>
        <v/>
      </c>
      <c r="BN1046">
        <f>'Grid_Stock'!BL30</f>
        <v/>
      </c>
      <c r="BO1046">
        <f>'Grid_Stock'!BM30</f>
        <v/>
      </c>
      <c r="BP1046">
        <f>'Grid_Stock'!BN30</f>
        <v/>
      </c>
      <c r="BQ1046">
        <f>'Grid_Stock'!BO30</f>
        <v/>
      </c>
      <c r="BR1046">
        <f>'Grid_Stock'!BP30</f>
        <v/>
      </c>
      <c r="BS1046">
        <f>'Grid_Stock'!BQ30</f>
        <v/>
      </c>
      <c r="BT1046">
        <f>'Grid_Stock'!BR30</f>
        <v/>
      </c>
      <c r="BU1046">
        <f>'Grid_Stock'!BS30</f>
        <v/>
      </c>
      <c r="BV1046">
        <f>'Grid_Stock'!BT30</f>
        <v/>
      </c>
      <c r="BW1046">
        <f>'Grid_Stock'!BU30</f>
        <v/>
      </c>
      <c r="BX1046">
        <f>'Grid_Stock'!BV30</f>
        <v/>
      </c>
      <c r="BY1046">
        <f>'Grid_Stock'!BW30</f>
        <v/>
      </c>
      <c r="BZ1046">
        <f>'Grid_Stock'!BX30</f>
        <v/>
      </c>
      <c r="CA1046">
        <f>'Grid_Stock'!BY30</f>
        <v/>
      </c>
      <c r="CB1046">
        <f>'Grid_Stock'!BZ30</f>
        <v/>
      </c>
      <c r="CC1046">
        <f>'Grid_Stock'!CA30</f>
        <v/>
      </c>
      <c r="CD1046">
        <f>'Grid_Stock'!CB30</f>
        <v/>
      </c>
      <c r="CE1046">
        <f>'Grid_Stock'!CC30</f>
        <v/>
      </c>
      <c r="CF1046">
        <f>'Grid_Stock'!CD30</f>
        <v/>
      </c>
      <c r="CG1046">
        <f>'Grid_Stock'!CE30</f>
        <v/>
      </c>
      <c r="CH1046">
        <f>'Grid_Stock'!CF30</f>
        <v/>
      </c>
      <c r="CI1046">
        <f>'Grid_Stock'!CG30</f>
        <v/>
      </c>
      <c r="CJ1046">
        <f>'Grid_Stock'!CH30</f>
        <v/>
      </c>
      <c r="CK1046">
        <f>'Grid_Stock'!CI30</f>
        <v/>
      </c>
      <c r="CL1046">
        <f>'Grid_Stock'!CJ30</f>
        <v/>
      </c>
      <c r="CM1046">
        <f>'Grid_Stock'!CK30</f>
        <v/>
      </c>
      <c r="CN1046">
        <f>'Grid_Stock'!CL30</f>
        <v/>
      </c>
      <c r="CO1046">
        <f>'Grid_Stock'!CM30</f>
        <v/>
      </c>
      <c r="CP1046">
        <f>'Grid_Stock'!CN30</f>
        <v/>
      </c>
      <c r="CQ1046">
        <f>'Grid_Stock'!CO30</f>
        <v/>
      </c>
      <c r="CR1046">
        <f>'Grid_Stock'!CP30</f>
        <v/>
      </c>
      <c r="CS1046">
        <f>'Grid_Stock'!CQ30</f>
        <v/>
      </c>
      <c r="CT1046">
        <f>'Grid_Stock'!CR30</f>
        <v/>
      </c>
      <c r="CU1046">
        <f>'Grid_Stock'!CS30</f>
        <v/>
      </c>
      <c r="CV1046">
        <f>'Grid_Stock'!CT30</f>
        <v/>
      </c>
      <c r="CW1046">
        <f>'Grid_Stock'!CU30</f>
        <v/>
      </c>
      <c r="CX1046">
        <f>'Grid_Stock'!CV30</f>
        <v/>
      </c>
      <c r="CY1046">
        <f>'Grid_Stock'!CW30</f>
        <v/>
      </c>
      <c r="CZ1046">
        <f>'Grid_Stock'!CX30</f>
        <v/>
      </c>
      <c r="DA1046">
        <f>'Grid_Stock'!CY30</f>
        <v/>
      </c>
      <c r="DB1046">
        <f>'Grid_Stock'!CZ30</f>
        <v/>
      </c>
      <c r="DC1046">
        <f>'Grid_Stock'!DA30</f>
        <v/>
      </c>
    </row>
    <row r="1047">
      <c r="B1047" s="16" t="inlineStr">
        <is>
          <t>（発注の目安はDashboardの基準在庫[下限/上限]と色分けを参照）</t>
        </is>
      </c>
    </row>
    <row r="1049">
      <c r="A1049" s="14" t="inlineStr">
        <is>
          <t>CHEM-1020</t>
        </is>
      </c>
      <c r="B1049" s="14" t="inlineStr">
        <is>
          <t>Sodium Nitrite</t>
        </is>
      </c>
      <c r="C1049" s="15" t="n"/>
      <c r="D1049" s="14" t="n"/>
      <c r="E1049" s="14" t="n"/>
      <c r="F1049" s="14" t="n"/>
      <c r="G1049" s="14" t="n"/>
      <c r="H1049" s="14" t="n"/>
      <c r="I1049" s="14" t="n"/>
      <c r="J1049" s="14" t="n"/>
      <c r="K1049" s="14" t="n"/>
      <c r="L1049" s="14" t="n"/>
      <c r="M1049" s="14" t="n"/>
      <c r="N1049" s="14" t="n"/>
      <c r="O1049" s="14" t="n"/>
      <c r="P1049" s="14" t="n"/>
      <c r="Q1049" s="14" t="n"/>
      <c r="R1049" s="14" t="n"/>
      <c r="S1049" s="14" t="n"/>
      <c r="T1049" s="14" t="n"/>
      <c r="U1049" s="14" t="n"/>
      <c r="V1049" s="14" t="n"/>
      <c r="W1049" s="14" t="n"/>
      <c r="X1049" s="14" t="n"/>
      <c r="Y1049" s="14" t="n"/>
      <c r="Z1049" s="14" t="n"/>
      <c r="AA1049" s="14" t="n"/>
      <c r="AB1049" s="14" t="n"/>
      <c r="AC1049" s="14" t="n"/>
      <c r="AD1049" s="14" t="n"/>
      <c r="AE1049" s="14" t="n"/>
      <c r="AF1049" s="14" t="n"/>
      <c r="AG1049" s="14" t="n"/>
      <c r="AH1049" s="14" t="n"/>
      <c r="AI1049" s="14" t="n"/>
      <c r="AJ1049" s="14" t="n"/>
      <c r="AK1049" s="14" t="n"/>
      <c r="AL1049" s="14" t="n"/>
      <c r="AM1049" s="14" t="n"/>
      <c r="AN1049" s="14" t="n"/>
      <c r="AO1049" s="14" t="n"/>
      <c r="AP1049" s="14" t="n"/>
      <c r="AQ1049" s="14" t="n"/>
      <c r="AR1049" s="14" t="n"/>
      <c r="AS1049" s="14" t="n"/>
      <c r="AT1049" s="14" t="n"/>
      <c r="AU1049" s="14" t="n"/>
      <c r="AV1049" s="14" t="n"/>
      <c r="AW1049" s="14" t="n"/>
      <c r="AX1049" s="14" t="n"/>
      <c r="AY1049" s="14" t="n"/>
      <c r="AZ1049" s="14" t="n"/>
      <c r="BA1049" s="14" t="n"/>
      <c r="BB1049" s="14" t="n"/>
      <c r="BC1049" s="14" t="n"/>
      <c r="BD1049" s="14" t="n"/>
      <c r="BE1049" s="14" t="n"/>
      <c r="BF1049" s="14" t="n"/>
      <c r="BG1049" s="14" t="n"/>
      <c r="BH1049" s="14" t="n"/>
      <c r="BI1049" s="14" t="n"/>
      <c r="BJ1049" s="14" t="n"/>
      <c r="BK1049" s="14" t="n"/>
      <c r="BL1049" s="14" t="n"/>
      <c r="BM1049" s="14" t="n"/>
      <c r="BN1049" s="14" t="n"/>
      <c r="BO1049" s="14" t="n"/>
      <c r="BP1049" s="14" t="n"/>
      <c r="BQ1049" s="14" t="n"/>
      <c r="BR1049" s="14" t="n"/>
      <c r="BS1049" s="14" t="n"/>
      <c r="BT1049" s="14" t="n"/>
      <c r="BU1049" s="14" t="n"/>
      <c r="BV1049" s="14" t="n"/>
      <c r="BW1049" s="14" t="n"/>
      <c r="BX1049" s="14" t="n"/>
      <c r="BY1049" s="14" t="n"/>
      <c r="BZ1049" s="14" t="n"/>
      <c r="CA1049" s="14" t="n"/>
      <c r="CB1049" s="14" t="n"/>
      <c r="CC1049" s="14" t="n"/>
      <c r="CD1049" s="14" t="n"/>
      <c r="CE1049" s="14" t="n"/>
      <c r="CF1049" s="14" t="n"/>
      <c r="CG1049" s="14" t="n"/>
      <c r="CH1049" s="14" t="n"/>
      <c r="CI1049" s="14" t="n"/>
      <c r="CJ1049" s="14" t="n"/>
      <c r="CK1049" s="14" t="n"/>
      <c r="CL1049" s="14" t="n"/>
      <c r="CM1049" s="14" t="n"/>
      <c r="CN1049" s="14" t="n"/>
      <c r="CO1049" s="14" t="n"/>
      <c r="CP1049" s="14" t="n"/>
      <c r="CQ1049" s="14" t="n"/>
      <c r="CR1049" s="14" t="n"/>
      <c r="CS1049" s="14" t="n"/>
      <c r="CT1049" s="14" t="n"/>
      <c r="CU1049" s="14" t="n"/>
      <c r="CV1049" s="14" t="n"/>
      <c r="CW1049" s="14" t="n"/>
      <c r="CX1049" s="14" t="n"/>
      <c r="CY1049" s="14" t="n"/>
      <c r="CZ1049" s="14" t="n"/>
      <c r="DA1049" s="14" t="n"/>
      <c r="DB1049" s="14" t="n"/>
      <c r="DC1049" s="14" t="n"/>
    </row>
    <row r="1050">
      <c r="B1050" t="inlineStr">
        <is>
          <t>20p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7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Name],$A1049)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s="4" t="inlineStr">
        <is>
          <t>合計使用量(kg)/週</t>
        </is>
      </c>
      <c r="D1052">
        <f>'Grid_Requirement'!B37</f>
        <v/>
      </c>
      <c r="E1052">
        <f>'Grid_Requirement'!C37</f>
        <v/>
      </c>
      <c r="F1052">
        <f>'Grid_Requirement'!D37</f>
        <v/>
      </c>
      <c r="G1052">
        <f>'Grid_Requirement'!E37</f>
        <v/>
      </c>
      <c r="H1052">
        <f>'Grid_Requirement'!F37</f>
        <v/>
      </c>
      <c r="I1052">
        <f>'Grid_Requirement'!G37</f>
        <v/>
      </c>
      <c r="J1052">
        <f>'Grid_Requirement'!H37</f>
        <v/>
      </c>
      <c r="K1052">
        <f>'Grid_Requirement'!I37</f>
        <v/>
      </c>
      <c r="L1052">
        <f>'Grid_Requirement'!J37</f>
        <v/>
      </c>
      <c r="M1052">
        <f>'Grid_Requirement'!K37</f>
        <v/>
      </c>
      <c r="N1052">
        <f>'Grid_Requirement'!L37</f>
        <v/>
      </c>
      <c r="O1052">
        <f>'Grid_Requirement'!M37</f>
        <v/>
      </c>
      <c r="P1052">
        <f>'Grid_Requirement'!N37</f>
        <v/>
      </c>
      <c r="Q1052">
        <f>'Grid_Requirement'!O37</f>
        <v/>
      </c>
      <c r="R1052">
        <f>'Grid_Requirement'!P37</f>
        <v/>
      </c>
      <c r="S1052">
        <f>'Grid_Requirement'!Q37</f>
        <v/>
      </c>
      <c r="T1052">
        <f>'Grid_Requirement'!R37</f>
        <v/>
      </c>
      <c r="U1052">
        <f>'Grid_Requirement'!S37</f>
        <v/>
      </c>
      <c r="V1052">
        <f>'Grid_Requirement'!T37</f>
        <v/>
      </c>
      <c r="W1052">
        <f>'Grid_Requirement'!U37</f>
        <v/>
      </c>
      <c r="X1052">
        <f>'Grid_Requirement'!V37</f>
        <v/>
      </c>
      <c r="Y1052">
        <f>'Grid_Requirement'!W37</f>
        <v/>
      </c>
      <c r="Z1052">
        <f>'Grid_Requirement'!X37</f>
        <v/>
      </c>
      <c r="AA1052">
        <f>'Grid_Requirement'!Y37</f>
        <v/>
      </c>
      <c r="AB1052">
        <f>'Grid_Requirement'!Z37</f>
        <v/>
      </c>
      <c r="AC1052">
        <f>'Grid_Requirement'!AA37</f>
        <v/>
      </c>
      <c r="AD1052">
        <f>'Grid_Requirement'!AB37</f>
        <v/>
      </c>
      <c r="AE1052">
        <f>'Grid_Requirement'!AC37</f>
        <v/>
      </c>
      <c r="AF1052">
        <f>'Grid_Requirement'!AD37</f>
        <v/>
      </c>
      <c r="AG1052">
        <f>'Grid_Requirement'!AE37</f>
        <v/>
      </c>
      <c r="AH1052">
        <f>'Grid_Requirement'!AF37</f>
        <v/>
      </c>
      <c r="AI1052">
        <f>'Grid_Requirement'!AG37</f>
        <v/>
      </c>
      <c r="AJ1052">
        <f>'Grid_Requirement'!AH37</f>
        <v/>
      </c>
      <c r="AK1052">
        <f>'Grid_Requirement'!AI37</f>
        <v/>
      </c>
      <c r="AL1052">
        <f>'Grid_Requirement'!AJ37</f>
        <v/>
      </c>
      <c r="AM1052">
        <f>'Grid_Requirement'!AK37</f>
        <v/>
      </c>
      <c r="AN1052">
        <f>'Grid_Requirement'!AL37</f>
        <v/>
      </c>
      <c r="AO1052">
        <f>'Grid_Requirement'!AM37</f>
        <v/>
      </c>
      <c r="AP1052">
        <f>'Grid_Requirement'!AN37</f>
        <v/>
      </c>
      <c r="AQ1052">
        <f>'Grid_Requirement'!AO37</f>
        <v/>
      </c>
      <c r="AR1052">
        <f>'Grid_Requirement'!AP37</f>
        <v/>
      </c>
      <c r="AS1052">
        <f>'Grid_Requirement'!AQ37</f>
        <v/>
      </c>
      <c r="AT1052">
        <f>'Grid_Requirement'!AR37</f>
        <v/>
      </c>
      <c r="AU1052">
        <f>'Grid_Requirement'!AS37</f>
        <v/>
      </c>
      <c r="AV1052">
        <f>'Grid_Requirement'!AT37</f>
        <v/>
      </c>
      <c r="AW1052">
        <f>'Grid_Requirement'!AU37</f>
        <v/>
      </c>
      <c r="AX1052">
        <f>'Grid_Requirement'!AV37</f>
        <v/>
      </c>
      <c r="AY1052">
        <f>'Grid_Requirement'!AW37</f>
        <v/>
      </c>
      <c r="AZ1052">
        <f>'Grid_Requirement'!AX37</f>
        <v/>
      </c>
      <c r="BA1052">
        <f>'Grid_Requirement'!AY37</f>
        <v/>
      </c>
      <c r="BB1052">
        <f>'Grid_Requirement'!AZ37</f>
        <v/>
      </c>
      <c r="BC1052">
        <f>'Grid_Requirement'!BA37</f>
        <v/>
      </c>
      <c r="BD1052">
        <f>'Grid_Requirement'!BB37</f>
        <v/>
      </c>
      <c r="BE1052">
        <f>'Grid_Requirement'!BC37</f>
        <v/>
      </c>
      <c r="BF1052">
        <f>'Grid_Requirement'!BD37</f>
        <v/>
      </c>
      <c r="BG1052">
        <f>'Grid_Requirement'!BE37</f>
        <v/>
      </c>
      <c r="BH1052">
        <f>'Grid_Requirement'!BF37</f>
        <v/>
      </c>
      <c r="BI1052">
        <f>'Grid_Requirement'!BG37</f>
        <v/>
      </c>
      <c r="BJ1052">
        <f>'Grid_Requirement'!BH37</f>
        <v/>
      </c>
      <c r="BK1052">
        <f>'Grid_Requirement'!BI37</f>
        <v/>
      </c>
      <c r="BL1052">
        <f>'Grid_Requirement'!BJ37</f>
        <v/>
      </c>
      <c r="BM1052">
        <f>'Grid_Requirement'!BK37</f>
        <v/>
      </c>
      <c r="BN1052">
        <f>'Grid_Requirement'!BL37</f>
        <v/>
      </c>
      <c r="BO1052">
        <f>'Grid_Requirement'!BM37</f>
        <v/>
      </c>
      <c r="BP1052">
        <f>'Grid_Requirement'!BN37</f>
        <v/>
      </c>
      <c r="BQ1052">
        <f>'Grid_Requirement'!BO37</f>
        <v/>
      </c>
      <c r="BR1052">
        <f>'Grid_Requirement'!BP37</f>
        <v/>
      </c>
      <c r="BS1052">
        <f>'Grid_Requirement'!BQ37</f>
        <v/>
      </c>
      <c r="BT1052">
        <f>'Grid_Requirement'!BR37</f>
        <v/>
      </c>
      <c r="BU1052">
        <f>'Grid_Requirement'!BS37</f>
        <v/>
      </c>
      <c r="BV1052">
        <f>'Grid_Requirement'!BT37</f>
        <v/>
      </c>
      <c r="BW1052">
        <f>'Grid_Requirement'!BU37</f>
        <v/>
      </c>
      <c r="BX1052">
        <f>'Grid_Requirement'!BV37</f>
        <v/>
      </c>
      <c r="BY1052">
        <f>'Grid_Requirement'!BW37</f>
        <v/>
      </c>
      <c r="BZ1052">
        <f>'Grid_Requirement'!BX37</f>
        <v/>
      </c>
      <c r="CA1052">
        <f>'Grid_Requirement'!BY37</f>
        <v/>
      </c>
      <c r="CB1052">
        <f>'Grid_Requirement'!BZ37</f>
        <v/>
      </c>
      <c r="CC1052">
        <f>'Grid_Requirement'!CA37</f>
        <v/>
      </c>
      <c r="CD1052">
        <f>'Grid_Requirement'!CB37</f>
        <v/>
      </c>
      <c r="CE1052">
        <f>'Grid_Requirement'!CC37</f>
        <v/>
      </c>
      <c r="CF1052">
        <f>'Grid_Requirement'!CD37</f>
        <v/>
      </c>
      <c r="CG1052">
        <f>'Grid_Requirement'!CE37</f>
        <v/>
      </c>
      <c r="CH1052">
        <f>'Grid_Requirement'!CF37</f>
        <v/>
      </c>
      <c r="CI1052">
        <f>'Grid_Requirement'!CG37</f>
        <v/>
      </c>
      <c r="CJ1052">
        <f>'Grid_Requirement'!CH37</f>
        <v/>
      </c>
      <c r="CK1052">
        <f>'Grid_Requirement'!CI37</f>
        <v/>
      </c>
      <c r="CL1052">
        <f>'Grid_Requirement'!CJ37</f>
        <v/>
      </c>
      <c r="CM1052">
        <f>'Grid_Requirement'!CK37</f>
        <v/>
      </c>
      <c r="CN1052">
        <f>'Grid_Requirement'!CL37</f>
        <v/>
      </c>
      <c r="CO1052">
        <f>'Grid_Requirement'!CM37</f>
        <v/>
      </c>
      <c r="CP1052">
        <f>'Grid_Requirement'!CN37</f>
        <v/>
      </c>
      <c r="CQ1052">
        <f>'Grid_Requirement'!CO37</f>
        <v/>
      </c>
      <c r="CR1052">
        <f>'Grid_Requirement'!CP37</f>
        <v/>
      </c>
      <c r="CS1052">
        <f>'Grid_Requirement'!CQ37</f>
        <v/>
      </c>
      <c r="CT1052">
        <f>'Grid_Requirement'!CR37</f>
        <v/>
      </c>
      <c r="CU1052">
        <f>'Grid_Requirement'!CS37</f>
        <v/>
      </c>
      <c r="CV1052">
        <f>'Grid_Requirement'!CT37</f>
        <v/>
      </c>
      <c r="CW1052">
        <f>'Grid_Requirement'!CU37</f>
        <v/>
      </c>
      <c r="CX1052">
        <f>'Grid_Requirement'!CV37</f>
        <v/>
      </c>
      <c r="CY1052">
        <f>'Grid_Requirement'!CW37</f>
        <v/>
      </c>
      <c r="CZ1052">
        <f>'Grid_Requirement'!CX37</f>
        <v/>
      </c>
      <c r="DA1052">
        <f>'Grid_Requirement'!CY37</f>
        <v/>
      </c>
      <c r="DB1052">
        <f>'Grid_Requirement'!CZ37</f>
        <v/>
      </c>
      <c r="DC1052">
        <f>'Grid_Requirement'!DA37</f>
        <v/>
      </c>
    </row>
    <row r="1053">
      <c r="B1053" t="inlineStr">
        <is>
          <t>TTAF在庫(実績,kg)</t>
        </is>
      </c>
      <c r="D1053">
        <f>'T_TTAFStock'!B41</f>
        <v/>
      </c>
      <c r="E1053">
        <f>'T_TTAFStock'!C41</f>
        <v/>
      </c>
      <c r="F1053">
        <f>'T_TTAFStock'!D41</f>
        <v/>
      </c>
      <c r="G1053">
        <f>'T_TTAFStock'!E41</f>
        <v/>
      </c>
      <c r="H1053">
        <f>'T_TTAFStock'!F41</f>
        <v/>
      </c>
      <c r="I1053">
        <f>'T_TTAFStock'!G41</f>
        <v/>
      </c>
      <c r="J1053">
        <f>'T_TTAFStock'!H41</f>
        <v/>
      </c>
      <c r="K1053">
        <f>'T_TTAFStock'!I41</f>
        <v/>
      </c>
      <c r="L1053">
        <f>'T_TTAFStock'!J41</f>
        <v/>
      </c>
      <c r="M1053">
        <f>'T_TTAFStock'!K41</f>
        <v/>
      </c>
      <c r="N1053">
        <f>'T_TTAFStock'!L41</f>
        <v/>
      </c>
      <c r="O1053">
        <f>'T_TTAFStock'!M41</f>
        <v/>
      </c>
      <c r="P1053">
        <f>'T_TTAFStock'!N41</f>
        <v/>
      </c>
      <c r="Q1053">
        <f>'T_TTAFStock'!O41</f>
        <v/>
      </c>
      <c r="R1053">
        <f>'T_TTAFStock'!P41</f>
        <v/>
      </c>
      <c r="S1053">
        <f>'T_TTAFStock'!Q41</f>
        <v/>
      </c>
      <c r="T1053">
        <f>'T_TTAFStock'!R41</f>
        <v/>
      </c>
      <c r="U1053">
        <f>'T_TTAFStock'!S41</f>
        <v/>
      </c>
      <c r="V1053">
        <f>'T_TTAFStock'!T41</f>
        <v/>
      </c>
      <c r="W1053">
        <f>'T_TTAFStock'!U41</f>
        <v/>
      </c>
      <c r="X1053">
        <f>'T_TTAFStock'!V41</f>
        <v/>
      </c>
      <c r="Y1053">
        <f>'T_TTAFStock'!W41</f>
        <v/>
      </c>
      <c r="Z1053">
        <f>'T_TTAFStock'!X41</f>
        <v/>
      </c>
      <c r="AA1053">
        <f>'T_TTAFStock'!Y41</f>
        <v/>
      </c>
      <c r="AB1053">
        <f>'T_TTAFStock'!Z41</f>
        <v/>
      </c>
      <c r="AC1053">
        <f>'T_TTAFStock'!AA41</f>
        <v/>
      </c>
      <c r="AD1053">
        <f>'T_TTAFStock'!AB41</f>
        <v/>
      </c>
      <c r="AE1053">
        <f>'T_TTAFStock'!AC41</f>
        <v/>
      </c>
      <c r="AF1053">
        <f>'T_TTAFStock'!AD41</f>
        <v/>
      </c>
      <c r="AG1053">
        <f>'T_TTAFStock'!AE41</f>
        <v/>
      </c>
      <c r="AH1053">
        <f>'T_TTAFStock'!AF41</f>
        <v/>
      </c>
      <c r="AI1053">
        <f>'T_TTAFStock'!AG41</f>
        <v/>
      </c>
      <c r="AJ1053">
        <f>'T_TTAFStock'!AH41</f>
        <v/>
      </c>
      <c r="AK1053">
        <f>'T_TTAFStock'!AI41</f>
        <v/>
      </c>
      <c r="AL1053">
        <f>'T_TTAFStock'!AJ41</f>
        <v/>
      </c>
      <c r="AM1053">
        <f>'T_TTAFStock'!AK41</f>
        <v/>
      </c>
      <c r="AN1053">
        <f>'T_TTAFStock'!AL41</f>
        <v/>
      </c>
      <c r="AO1053">
        <f>'T_TTAFStock'!AM41</f>
        <v/>
      </c>
      <c r="AP1053">
        <f>'T_TTAFStock'!AN41</f>
        <v/>
      </c>
      <c r="AQ1053">
        <f>'T_TTAFStock'!AO41</f>
        <v/>
      </c>
      <c r="AR1053">
        <f>'T_TTAFStock'!AP41</f>
        <v/>
      </c>
      <c r="AS1053">
        <f>'T_TTAFStock'!AQ41</f>
        <v/>
      </c>
      <c r="AT1053">
        <f>'T_TTAFStock'!AR41</f>
        <v/>
      </c>
      <c r="AU1053">
        <f>'T_TTAFStock'!AS41</f>
        <v/>
      </c>
      <c r="AV1053">
        <f>'T_TTAFStock'!AT41</f>
        <v/>
      </c>
      <c r="AW1053">
        <f>'T_TTAFStock'!AU41</f>
        <v/>
      </c>
      <c r="AX1053">
        <f>'T_TTAFStock'!AV41</f>
        <v/>
      </c>
      <c r="AY1053">
        <f>'T_TTAFStock'!AW41</f>
        <v/>
      </c>
      <c r="AZ1053">
        <f>'T_TTAFStock'!AX41</f>
        <v/>
      </c>
      <c r="BA1053">
        <f>'T_TTAFStock'!AY41</f>
        <v/>
      </c>
      <c r="BB1053">
        <f>'T_TTAFStock'!AZ41</f>
        <v/>
      </c>
      <c r="BC1053">
        <f>'T_TTAFStock'!BA41</f>
        <v/>
      </c>
      <c r="BD1053">
        <f>'T_TTAFStock'!BB41</f>
        <v/>
      </c>
      <c r="BE1053">
        <f>'T_TTAFStock'!BC41</f>
        <v/>
      </c>
      <c r="BF1053">
        <f>'T_TTAFStock'!BD41</f>
        <v/>
      </c>
      <c r="BG1053">
        <f>'T_TTAFStock'!BE41</f>
        <v/>
      </c>
      <c r="BH1053">
        <f>'T_TTAFStock'!BF41</f>
        <v/>
      </c>
      <c r="BI1053">
        <f>'T_TTAFStock'!BG41</f>
        <v/>
      </c>
      <c r="BJ1053">
        <f>'T_TTAFStock'!BH41</f>
        <v/>
      </c>
      <c r="BK1053">
        <f>'T_TTAFStock'!BI41</f>
        <v/>
      </c>
      <c r="BL1053">
        <f>'T_TTAFStock'!BJ41</f>
        <v/>
      </c>
      <c r="BM1053">
        <f>'T_TTAFStock'!BK41</f>
        <v/>
      </c>
      <c r="BN1053">
        <f>'T_TTAFStock'!BL41</f>
        <v/>
      </c>
      <c r="BO1053">
        <f>'T_TTAFStock'!BM41</f>
        <v/>
      </c>
      <c r="BP1053">
        <f>'T_TTAFStock'!BN41</f>
        <v/>
      </c>
      <c r="BQ1053">
        <f>'T_TTAFStock'!BO41</f>
        <v/>
      </c>
      <c r="BR1053">
        <f>'T_TTAFStock'!BP41</f>
        <v/>
      </c>
      <c r="BS1053">
        <f>'T_TTAFStock'!BQ41</f>
        <v/>
      </c>
      <c r="BT1053">
        <f>'T_TTAFStock'!BR41</f>
        <v/>
      </c>
      <c r="BU1053">
        <f>'T_TTAFStock'!BS41</f>
        <v/>
      </c>
      <c r="BV1053">
        <f>'T_TTAFStock'!BT41</f>
        <v/>
      </c>
      <c r="BW1053">
        <f>'T_TTAFStock'!BU41</f>
        <v/>
      </c>
      <c r="BX1053">
        <f>'T_TTAFStock'!BV41</f>
        <v/>
      </c>
      <c r="BY1053">
        <f>'T_TTAFStock'!BW41</f>
        <v/>
      </c>
      <c r="BZ1053">
        <f>'T_TTAFStock'!BX41</f>
        <v/>
      </c>
      <c r="CA1053">
        <f>'T_TTAFStock'!BY41</f>
        <v/>
      </c>
      <c r="CB1053">
        <f>'T_TTAFStock'!BZ41</f>
        <v/>
      </c>
      <c r="CC1053">
        <f>'T_TTAFStock'!CA41</f>
        <v/>
      </c>
      <c r="CD1053">
        <f>'T_TTAFStock'!CB41</f>
        <v/>
      </c>
      <c r="CE1053">
        <f>'T_TTAFStock'!CC41</f>
        <v/>
      </c>
      <c r="CF1053">
        <f>'T_TTAFStock'!CD41</f>
        <v/>
      </c>
      <c r="CG1053">
        <f>'T_TTAFStock'!CE41</f>
        <v/>
      </c>
      <c r="CH1053">
        <f>'T_TTAFStock'!CF41</f>
        <v/>
      </c>
      <c r="CI1053">
        <f>'T_TTAFStock'!CG41</f>
        <v/>
      </c>
      <c r="CJ1053">
        <f>'T_TTAFStock'!CH41</f>
        <v/>
      </c>
      <c r="CK1053">
        <f>'T_TTAFStock'!CI41</f>
        <v/>
      </c>
      <c r="CL1053">
        <f>'T_TTAFStock'!CJ41</f>
        <v/>
      </c>
      <c r="CM1053">
        <f>'T_TTAFStock'!CK41</f>
        <v/>
      </c>
      <c r="CN1053">
        <f>'T_TTAFStock'!CL41</f>
        <v/>
      </c>
      <c r="CO1053">
        <f>'T_TTAFStock'!CM41</f>
        <v/>
      </c>
      <c r="CP1053">
        <f>'T_TTAFStock'!CN41</f>
        <v/>
      </c>
      <c r="CQ1053">
        <f>'T_TTAFStock'!CO41</f>
        <v/>
      </c>
      <c r="CR1053">
        <f>'T_TTAFStock'!CP41</f>
        <v/>
      </c>
      <c r="CS1053">
        <f>'T_TTAFStock'!CQ41</f>
        <v/>
      </c>
      <c r="CT1053">
        <f>'T_TTAFStock'!CR41</f>
        <v/>
      </c>
      <c r="CU1053">
        <f>'T_TTAFStock'!CS41</f>
        <v/>
      </c>
      <c r="CV1053">
        <f>'T_TTAFStock'!CT41</f>
        <v/>
      </c>
      <c r="CW1053">
        <f>'T_TTAFStock'!CU41</f>
        <v/>
      </c>
      <c r="CX1053">
        <f>'T_TTAFStock'!CV41</f>
        <v/>
      </c>
      <c r="CY1053">
        <f>'T_TTAFStock'!CW41</f>
        <v/>
      </c>
      <c r="CZ1053">
        <f>'T_TTAFStock'!CX41</f>
        <v/>
      </c>
      <c r="DA1053">
        <f>'T_TTAFStock'!CY41</f>
        <v/>
      </c>
      <c r="DB1053">
        <f>'T_TTAFStock'!CZ41</f>
        <v/>
      </c>
      <c r="DC1053">
        <f>'T_TTAFStock'!DA41</f>
        <v/>
      </c>
    </row>
    <row r="1054">
      <c r="B1054" t="inlineStr">
        <is>
          <t>自社在庫(実績,kg)</t>
        </is>
      </c>
      <c r="D1054">
        <f>'T_SelfStock'!B41</f>
        <v/>
      </c>
      <c r="E1054">
        <f>'T_SelfStock'!C41</f>
        <v/>
      </c>
      <c r="F1054">
        <f>'T_SelfStock'!D41</f>
        <v/>
      </c>
      <c r="G1054">
        <f>'T_SelfStock'!E41</f>
        <v/>
      </c>
      <c r="H1054">
        <f>'T_SelfStock'!F41</f>
        <v/>
      </c>
      <c r="I1054">
        <f>'T_SelfStock'!G41</f>
        <v/>
      </c>
      <c r="J1054">
        <f>'T_SelfStock'!H41</f>
        <v/>
      </c>
      <c r="K1054">
        <f>'T_SelfStock'!I41</f>
        <v/>
      </c>
      <c r="L1054">
        <f>'T_SelfStock'!J41</f>
        <v/>
      </c>
      <c r="M1054">
        <f>'T_SelfStock'!K41</f>
        <v/>
      </c>
      <c r="N1054">
        <f>'T_SelfStock'!L41</f>
        <v/>
      </c>
      <c r="O1054">
        <f>'T_SelfStock'!M41</f>
        <v/>
      </c>
      <c r="P1054">
        <f>'T_SelfStock'!N41</f>
        <v/>
      </c>
      <c r="Q1054">
        <f>'T_SelfStock'!O41</f>
        <v/>
      </c>
      <c r="R1054">
        <f>'T_SelfStock'!P41</f>
        <v/>
      </c>
      <c r="S1054">
        <f>'T_SelfStock'!Q41</f>
        <v/>
      </c>
      <c r="T1054">
        <f>'T_SelfStock'!R41</f>
        <v/>
      </c>
      <c r="U1054">
        <f>'T_SelfStock'!S41</f>
        <v/>
      </c>
      <c r="V1054">
        <f>'T_SelfStock'!T41</f>
        <v/>
      </c>
      <c r="W1054">
        <f>'T_SelfStock'!U41</f>
        <v/>
      </c>
      <c r="X1054">
        <f>'T_SelfStock'!V41</f>
        <v/>
      </c>
      <c r="Y1054">
        <f>'T_SelfStock'!W41</f>
        <v/>
      </c>
      <c r="Z1054">
        <f>'T_SelfStock'!X41</f>
        <v/>
      </c>
      <c r="AA1054">
        <f>'T_SelfStock'!Y41</f>
        <v/>
      </c>
      <c r="AB1054">
        <f>'T_SelfStock'!Z41</f>
        <v/>
      </c>
      <c r="AC1054">
        <f>'T_SelfStock'!AA41</f>
        <v/>
      </c>
      <c r="AD1054">
        <f>'T_SelfStock'!AB41</f>
        <v/>
      </c>
      <c r="AE1054">
        <f>'T_SelfStock'!AC41</f>
        <v/>
      </c>
      <c r="AF1054">
        <f>'T_SelfStock'!AD41</f>
        <v/>
      </c>
      <c r="AG1054">
        <f>'T_SelfStock'!AE41</f>
        <v/>
      </c>
      <c r="AH1054">
        <f>'T_SelfStock'!AF41</f>
        <v/>
      </c>
      <c r="AI1054">
        <f>'T_SelfStock'!AG41</f>
        <v/>
      </c>
      <c r="AJ1054">
        <f>'T_SelfStock'!AH41</f>
        <v/>
      </c>
      <c r="AK1054">
        <f>'T_SelfStock'!AI41</f>
        <v/>
      </c>
      <c r="AL1054">
        <f>'T_SelfStock'!AJ41</f>
        <v/>
      </c>
      <c r="AM1054">
        <f>'T_SelfStock'!AK41</f>
        <v/>
      </c>
      <c r="AN1054">
        <f>'T_SelfStock'!AL41</f>
        <v/>
      </c>
      <c r="AO1054">
        <f>'T_SelfStock'!AM41</f>
        <v/>
      </c>
      <c r="AP1054">
        <f>'T_SelfStock'!AN41</f>
        <v/>
      </c>
      <c r="AQ1054">
        <f>'T_SelfStock'!AO41</f>
        <v/>
      </c>
      <c r="AR1054">
        <f>'T_SelfStock'!AP41</f>
        <v/>
      </c>
      <c r="AS1054">
        <f>'T_SelfStock'!AQ41</f>
        <v/>
      </c>
      <c r="AT1054">
        <f>'T_SelfStock'!AR41</f>
        <v/>
      </c>
      <c r="AU1054">
        <f>'T_SelfStock'!AS41</f>
        <v/>
      </c>
      <c r="AV1054">
        <f>'T_SelfStock'!AT41</f>
        <v/>
      </c>
      <c r="AW1054">
        <f>'T_SelfStock'!AU41</f>
        <v/>
      </c>
      <c r="AX1054">
        <f>'T_SelfStock'!AV41</f>
        <v/>
      </c>
      <c r="AY1054">
        <f>'T_SelfStock'!AW41</f>
        <v/>
      </c>
      <c r="AZ1054">
        <f>'T_SelfStock'!AX41</f>
        <v/>
      </c>
      <c r="BA1054">
        <f>'T_SelfStock'!AY41</f>
        <v/>
      </c>
      <c r="BB1054">
        <f>'T_SelfStock'!AZ41</f>
        <v/>
      </c>
      <c r="BC1054">
        <f>'T_SelfStock'!BA41</f>
        <v/>
      </c>
      <c r="BD1054">
        <f>'T_SelfStock'!BB41</f>
        <v/>
      </c>
      <c r="BE1054">
        <f>'T_SelfStock'!BC41</f>
        <v/>
      </c>
      <c r="BF1054">
        <f>'T_SelfStock'!BD41</f>
        <v/>
      </c>
      <c r="BG1054">
        <f>'T_SelfStock'!BE41</f>
        <v/>
      </c>
      <c r="BH1054">
        <f>'T_SelfStock'!BF41</f>
        <v/>
      </c>
      <c r="BI1054">
        <f>'T_SelfStock'!BG41</f>
        <v/>
      </c>
      <c r="BJ1054">
        <f>'T_SelfStock'!BH41</f>
        <v/>
      </c>
      <c r="BK1054">
        <f>'T_SelfStock'!BI41</f>
        <v/>
      </c>
      <c r="BL1054">
        <f>'T_SelfStock'!BJ41</f>
        <v/>
      </c>
      <c r="BM1054">
        <f>'T_SelfStock'!BK41</f>
        <v/>
      </c>
      <c r="BN1054">
        <f>'T_SelfStock'!BL41</f>
        <v/>
      </c>
      <c r="BO1054">
        <f>'T_SelfStock'!BM41</f>
        <v/>
      </c>
      <c r="BP1054">
        <f>'T_SelfStock'!BN41</f>
        <v/>
      </c>
      <c r="BQ1054">
        <f>'T_SelfStock'!BO41</f>
        <v/>
      </c>
      <c r="BR1054">
        <f>'T_SelfStock'!BP41</f>
        <v/>
      </c>
      <c r="BS1054">
        <f>'T_SelfStock'!BQ41</f>
        <v/>
      </c>
      <c r="BT1054">
        <f>'T_SelfStock'!BR41</f>
        <v/>
      </c>
      <c r="BU1054">
        <f>'T_SelfStock'!BS41</f>
        <v/>
      </c>
      <c r="BV1054">
        <f>'T_SelfStock'!BT41</f>
        <v/>
      </c>
      <c r="BW1054">
        <f>'T_SelfStock'!BU41</f>
        <v/>
      </c>
      <c r="BX1054">
        <f>'T_SelfStock'!BV41</f>
        <v/>
      </c>
      <c r="BY1054">
        <f>'T_SelfStock'!BW41</f>
        <v/>
      </c>
      <c r="BZ1054">
        <f>'T_SelfStock'!BX41</f>
        <v/>
      </c>
      <c r="CA1054">
        <f>'T_SelfStock'!BY41</f>
        <v/>
      </c>
      <c r="CB1054">
        <f>'T_SelfStock'!BZ41</f>
        <v/>
      </c>
      <c r="CC1054">
        <f>'T_SelfStock'!CA41</f>
        <v/>
      </c>
      <c r="CD1054">
        <f>'T_SelfStock'!CB41</f>
        <v/>
      </c>
      <c r="CE1054">
        <f>'T_SelfStock'!CC41</f>
        <v/>
      </c>
      <c r="CF1054">
        <f>'T_SelfStock'!CD41</f>
        <v/>
      </c>
      <c r="CG1054">
        <f>'T_SelfStock'!CE41</f>
        <v/>
      </c>
      <c r="CH1054">
        <f>'T_SelfStock'!CF41</f>
        <v/>
      </c>
      <c r="CI1054">
        <f>'T_SelfStock'!CG41</f>
        <v/>
      </c>
      <c r="CJ1054">
        <f>'T_SelfStock'!CH41</f>
        <v/>
      </c>
      <c r="CK1054">
        <f>'T_SelfStock'!CI41</f>
        <v/>
      </c>
      <c r="CL1054">
        <f>'T_SelfStock'!CJ41</f>
        <v/>
      </c>
      <c r="CM1054">
        <f>'T_SelfStock'!CK41</f>
        <v/>
      </c>
      <c r="CN1054">
        <f>'T_SelfStock'!CL41</f>
        <v/>
      </c>
      <c r="CO1054">
        <f>'T_SelfStock'!CM41</f>
        <v/>
      </c>
      <c r="CP1054">
        <f>'T_SelfStock'!CN41</f>
        <v/>
      </c>
      <c r="CQ1054">
        <f>'T_SelfStock'!CO41</f>
        <v/>
      </c>
      <c r="CR1054">
        <f>'T_SelfStock'!CP41</f>
        <v/>
      </c>
      <c r="CS1054">
        <f>'T_SelfStock'!CQ41</f>
        <v/>
      </c>
      <c r="CT1054">
        <f>'T_SelfStock'!CR41</f>
        <v/>
      </c>
      <c r="CU1054">
        <f>'T_SelfStock'!CS41</f>
        <v/>
      </c>
      <c r="CV1054">
        <f>'T_SelfStock'!CT41</f>
        <v/>
      </c>
      <c r="CW1054">
        <f>'T_SelfStock'!CU41</f>
        <v/>
      </c>
      <c r="CX1054">
        <f>'T_SelfStock'!CV41</f>
        <v/>
      </c>
      <c r="CY1054">
        <f>'T_SelfStock'!CW41</f>
        <v/>
      </c>
      <c r="CZ1054">
        <f>'T_SelfStock'!CX41</f>
        <v/>
      </c>
      <c r="DA1054">
        <f>'T_SelfStock'!CY41</f>
        <v/>
      </c>
      <c r="DB1054">
        <f>'T_SelfStock'!CZ41</f>
        <v/>
      </c>
      <c r="DC1054">
        <f>'T_SelfStock'!DA41</f>
        <v/>
      </c>
    </row>
    <row r="1055">
      <c r="B1055" t="inlineStr">
        <is>
          <t>Order(発注予定,kg)</t>
        </is>
      </c>
      <c r="D1055">
        <f>IF(SUMIFS(T_PlannedOrders[EffectiveQty],T_PlannedOrders[Part Name],$A1049,T_PlannedOrders[WeekIndex],1)=0,"",SUMIFS(T_PlannedOrders[EffectiveQty],T_PlannedOrders[Part Name],$A1049,T_PlannedOrders[WeekIndex],1)&amp;" ("&amp;TEXT(SUMPRODUCT(MAX((T_PlannedOrders[Part Name]=$A1049)*(T_PlannedOrders[WeekIndex]=1)*(T_PlannedOrders[EffectiveQty]&gt;0)*T_PlannedOrders[Order_Month])),"m月")&amp;"発注)")</f>
        <v/>
      </c>
      <c r="E1055">
        <f>IF(SUMIFS(T_PlannedOrders[EffectiveQty],T_PlannedOrders[Part Name],$A1049,T_PlannedOrders[WeekIndex],2)=0,"",SUMIFS(T_PlannedOrders[EffectiveQty],T_PlannedOrders[Part Name],$A1049,T_PlannedOrders[WeekIndex],2)&amp;" ("&amp;TEXT(SUMPRODUCT(MAX((T_PlannedOrders[Part Name]=$A1049)*(T_PlannedOrders[WeekIndex]=2)*(T_PlannedOrders[EffectiveQty]&gt;0)*T_PlannedOrders[Order_Month])),"m月")&amp;"発注)")</f>
        <v/>
      </c>
      <c r="F1055">
        <f>IF(SUMIFS(T_PlannedOrders[EffectiveQty],T_PlannedOrders[Part Name],$A1049,T_PlannedOrders[WeekIndex],3)=0,"",SUMIFS(T_PlannedOrders[EffectiveQty],T_PlannedOrders[Part Name],$A1049,T_PlannedOrders[WeekIndex],3)&amp;" ("&amp;TEXT(SUMPRODUCT(MAX((T_PlannedOrders[Part Name]=$A1049)*(T_PlannedOrders[WeekIndex]=3)*(T_PlannedOrders[EffectiveQty]&gt;0)*T_PlannedOrders[Order_Month])),"m月")&amp;"発注)")</f>
        <v/>
      </c>
      <c r="G1055">
        <f>IF(SUMIFS(T_PlannedOrders[EffectiveQty],T_PlannedOrders[Part Name],$A1049,T_PlannedOrders[WeekIndex],4)=0,"",SUMIFS(T_PlannedOrders[EffectiveQty],T_PlannedOrders[Part Name],$A1049,T_PlannedOrders[WeekIndex],4)&amp;" ("&amp;TEXT(SUMPRODUCT(MAX((T_PlannedOrders[Part Name]=$A1049)*(T_PlannedOrders[WeekIndex]=4)*(T_PlannedOrders[EffectiveQty]&gt;0)*T_PlannedOrders[Order_Month])),"m月")&amp;"発注)")</f>
        <v/>
      </c>
      <c r="H1055">
        <f>IF(SUMIFS(T_PlannedOrders[EffectiveQty],T_PlannedOrders[Part Name],$A1049,T_PlannedOrders[WeekIndex],5)=0,"",SUMIFS(T_PlannedOrders[EffectiveQty],T_PlannedOrders[Part Name],$A1049,T_PlannedOrders[WeekIndex],5)&amp;" ("&amp;TEXT(SUMPRODUCT(MAX((T_PlannedOrders[Part Name]=$A1049)*(T_PlannedOrders[WeekIndex]=5)*(T_PlannedOrders[EffectiveQty]&gt;0)*T_PlannedOrders[Order_Month])),"m月")&amp;"発注)")</f>
        <v/>
      </c>
      <c r="I1055">
        <f>IF(SUMIFS(T_PlannedOrders[EffectiveQty],T_PlannedOrders[Part Name],$A1049,T_PlannedOrders[WeekIndex],6)=0,"",SUMIFS(T_PlannedOrders[EffectiveQty],T_PlannedOrders[Part Name],$A1049,T_PlannedOrders[WeekIndex],6)&amp;" ("&amp;TEXT(SUMPRODUCT(MAX((T_PlannedOrders[Part Name]=$A1049)*(T_PlannedOrders[WeekIndex]=6)*(T_PlannedOrders[EffectiveQty]&gt;0)*T_PlannedOrders[Order_Month])),"m月")&amp;"発注)")</f>
        <v/>
      </c>
      <c r="J1055">
        <f>IF(SUMIFS(T_PlannedOrders[EffectiveQty],T_PlannedOrders[Part Name],$A1049,T_PlannedOrders[WeekIndex],7)=0,"",SUMIFS(T_PlannedOrders[EffectiveQty],T_PlannedOrders[Part Name],$A1049,T_PlannedOrders[WeekIndex],7)&amp;" ("&amp;TEXT(SUMPRODUCT(MAX((T_PlannedOrders[Part Name]=$A1049)*(T_PlannedOrders[WeekIndex]=7)*(T_PlannedOrders[EffectiveQty]&gt;0)*T_PlannedOrders[Order_Month])),"m月")&amp;"発注)")</f>
        <v/>
      </c>
      <c r="K1055">
        <f>IF(SUMIFS(T_PlannedOrders[EffectiveQty],T_PlannedOrders[Part Name],$A1049,T_PlannedOrders[WeekIndex],8)=0,"",SUMIFS(T_PlannedOrders[EffectiveQty],T_PlannedOrders[Part Name],$A1049,T_PlannedOrders[WeekIndex],8)&amp;" ("&amp;TEXT(SUMPRODUCT(MAX((T_PlannedOrders[Part Name]=$A1049)*(T_PlannedOrders[WeekIndex]=8)*(T_PlannedOrders[EffectiveQty]&gt;0)*T_PlannedOrders[Order_Month])),"m月")&amp;"発注)")</f>
        <v/>
      </c>
      <c r="L1055">
        <f>IF(SUMIFS(T_PlannedOrders[EffectiveQty],T_PlannedOrders[Part Name],$A1049,T_PlannedOrders[WeekIndex],9)=0,"",SUMIFS(T_PlannedOrders[EffectiveQty],T_PlannedOrders[Part Name],$A1049,T_PlannedOrders[WeekIndex],9)&amp;" ("&amp;TEXT(SUMPRODUCT(MAX((T_PlannedOrders[Part Name]=$A1049)*(T_PlannedOrders[WeekIndex]=9)*(T_PlannedOrders[EffectiveQty]&gt;0)*T_PlannedOrders[Order_Month])),"m月")&amp;"発注)")</f>
        <v/>
      </c>
      <c r="M1055">
        <f>IF(SUMIFS(T_PlannedOrders[EffectiveQty],T_PlannedOrders[Part Name],$A1049,T_PlannedOrders[WeekIndex],10)=0,"",SUMIFS(T_PlannedOrders[EffectiveQty],T_PlannedOrders[Part Name],$A1049,T_PlannedOrders[WeekIndex],10)&amp;" ("&amp;TEXT(SUMPRODUCT(MAX((T_PlannedOrders[Part Name]=$A1049)*(T_PlannedOrders[WeekIndex]=10)*(T_PlannedOrders[EffectiveQty]&gt;0)*T_PlannedOrders[Order_Month])),"m月")&amp;"発注)")</f>
        <v/>
      </c>
      <c r="N1055">
        <f>IF(SUMIFS(T_PlannedOrders[EffectiveQty],T_PlannedOrders[Part Name],$A1049,T_PlannedOrders[WeekIndex],11)=0,"",SUMIFS(T_PlannedOrders[EffectiveQty],T_PlannedOrders[Part Name],$A1049,T_PlannedOrders[WeekIndex],11)&amp;" ("&amp;TEXT(SUMPRODUCT(MAX((T_PlannedOrders[Part Name]=$A1049)*(T_PlannedOrders[WeekIndex]=11)*(T_PlannedOrders[EffectiveQty]&gt;0)*T_PlannedOrders[Order_Month])),"m月")&amp;"発注)")</f>
        <v/>
      </c>
      <c r="O1055">
        <f>IF(SUMIFS(T_PlannedOrders[EffectiveQty],T_PlannedOrders[Part Name],$A1049,T_PlannedOrders[WeekIndex],12)=0,"",SUMIFS(T_PlannedOrders[EffectiveQty],T_PlannedOrders[Part Name],$A1049,T_PlannedOrders[WeekIndex],12)&amp;" ("&amp;TEXT(SUMPRODUCT(MAX((T_PlannedOrders[Part Name]=$A1049)*(T_PlannedOrders[WeekIndex]=12)*(T_PlannedOrders[EffectiveQty]&gt;0)*T_PlannedOrders[Order_Month])),"m月")&amp;"発注)")</f>
        <v/>
      </c>
      <c r="P1055">
        <f>IF(SUMIFS(T_PlannedOrders[EffectiveQty],T_PlannedOrders[Part Name],$A1049,T_PlannedOrders[WeekIndex],13)=0,"",SUMIFS(T_PlannedOrders[EffectiveQty],T_PlannedOrders[Part Name],$A1049,T_PlannedOrders[WeekIndex],13)&amp;" ("&amp;TEXT(SUMPRODUCT(MAX((T_PlannedOrders[Part Name]=$A1049)*(T_PlannedOrders[WeekIndex]=13)*(T_PlannedOrders[EffectiveQty]&gt;0)*T_PlannedOrders[Order_Month])),"m月")&amp;"発注)")</f>
        <v/>
      </c>
      <c r="Q1055">
        <f>IF(SUMIFS(T_PlannedOrders[EffectiveQty],T_PlannedOrders[Part Name],$A1049,T_PlannedOrders[WeekIndex],14)=0,"",SUMIFS(T_PlannedOrders[EffectiveQty],T_PlannedOrders[Part Name],$A1049,T_PlannedOrders[WeekIndex],14)&amp;" ("&amp;TEXT(SUMPRODUCT(MAX((T_PlannedOrders[Part Name]=$A1049)*(T_PlannedOrders[WeekIndex]=14)*(T_PlannedOrders[EffectiveQty]&gt;0)*T_PlannedOrders[Order_Month])),"m月")&amp;"発注)")</f>
        <v/>
      </c>
      <c r="R1055">
        <f>IF(SUMIFS(T_PlannedOrders[EffectiveQty],T_PlannedOrders[Part Name],$A1049,T_PlannedOrders[WeekIndex],15)=0,"",SUMIFS(T_PlannedOrders[EffectiveQty],T_PlannedOrders[Part Name],$A1049,T_PlannedOrders[WeekIndex],15)&amp;" ("&amp;TEXT(SUMPRODUCT(MAX((T_PlannedOrders[Part Name]=$A1049)*(T_PlannedOrders[WeekIndex]=15)*(T_PlannedOrders[EffectiveQty]&gt;0)*T_PlannedOrders[Order_Month])),"m月")&amp;"発注)")</f>
        <v/>
      </c>
      <c r="S1055">
        <f>IF(SUMIFS(T_PlannedOrders[EffectiveQty],T_PlannedOrders[Part Name],$A1049,T_PlannedOrders[WeekIndex],16)=0,"",SUMIFS(T_PlannedOrders[EffectiveQty],T_PlannedOrders[Part Name],$A1049,T_PlannedOrders[WeekIndex],16)&amp;" ("&amp;TEXT(SUMPRODUCT(MAX((T_PlannedOrders[Part Name]=$A1049)*(T_PlannedOrders[WeekIndex]=16)*(T_PlannedOrders[EffectiveQty]&gt;0)*T_PlannedOrders[Order_Month])),"m月")&amp;"発注)")</f>
        <v/>
      </c>
      <c r="T1055">
        <f>IF(SUMIFS(T_PlannedOrders[EffectiveQty],T_PlannedOrders[Part Name],$A1049,T_PlannedOrders[WeekIndex],17)=0,"",SUMIFS(T_PlannedOrders[EffectiveQty],T_PlannedOrders[Part Name],$A1049,T_PlannedOrders[WeekIndex],17)&amp;" ("&amp;TEXT(SUMPRODUCT(MAX((T_PlannedOrders[Part Name]=$A1049)*(T_PlannedOrders[WeekIndex]=17)*(T_PlannedOrders[EffectiveQty]&gt;0)*T_PlannedOrders[Order_Month])),"m月")&amp;"発注)")</f>
        <v/>
      </c>
      <c r="U1055">
        <f>IF(SUMIFS(T_PlannedOrders[EffectiveQty],T_PlannedOrders[Part Name],$A1049,T_PlannedOrders[WeekIndex],18)=0,"",SUMIFS(T_PlannedOrders[EffectiveQty],T_PlannedOrders[Part Name],$A1049,T_PlannedOrders[WeekIndex],18)&amp;" ("&amp;TEXT(SUMPRODUCT(MAX((T_PlannedOrders[Part Name]=$A1049)*(T_PlannedOrders[WeekIndex]=18)*(T_PlannedOrders[EffectiveQty]&gt;0)*T_PlannedOrders[Order_Month])),"m月")&amp;"発注)")</f>
        <v/>
      </c>
      <c r="V1055">
        <f>IF(SUMIFS(T_PlannedOrders[EffectiveQty],T_PlannedOrders[Part Name],$A1049,T_PlannedOrders[WeekIndex],19)=0,"",SUMIFS(T_PlannedOrders[EffectiveQty],T_PlannedOrders[Part Name],$A1049,T_PlannedOrders[WeekIndex],19)&amp;" ("&amp;TEXT(SUMPRODUCT(MAX((T_PlannedOrders[Part Name]=$A1049)*(T_PlannedOrders[WeekIndex]=19)*(T_PlannedOrders[EffectiveQty]&gt;0)*T_PlannedOrders[Order_Month])),"m月")&amp;"発注)")</f>
        <v/>
      </c>
      <c r="W1055">
        <f>IF(SUMIFS(T_PlannedOrders[EffectiveQty],T_PlannedOrders[Part Name],$A1049,T_PlannedOrders[WeekIndex],20)=0,"",SUMIFS(T_PlannedOrders[EffectiveQty],T_PlannedOrders[Part Name],$A1049,T_PlannedOrders[WeekIndex],20)&amp;" ("&amp;TEXT(SUMPRODUCT(MAX((T_PlannedOrders[Part Name]=$A1049)*(T_PlannedOrders[WeekIndex]=20)*(T_PlannedOrders[EffectiveQty]&gt;0)*T_PlannedOrders[Order_Month])),"m月")&amp;"発注)")</f>
        <v/>
      </c>
      <c r="X1055">
        <f>IF(SUMIFS(T_PlannedOrders[EffectiveQty],T_PlannedOrders[Part Name],$A1049,T_PlannedOrders[WeekIndex],21)=0,"",SUMIFS(T_PlannedOrders[EffectiveQty],T_PlannedOrders[Part Name],$A1049,T_PlannedOrders[WeekIndex],21)&amp;" ("&amp;TEXT(SUMPRODUCT(MAX((T_PlannedOrders[Part Name]=$A1049)*(T_PlannedOrders[WeekIndex]=21)*(T_PlannedOrders[EffectiveQty]&gt;0)*T_PlannedOrders[Order_Month])),"m月")&amp;"発注)")</f>
        <v/>
      </c>
      <c r="Y1055">
        <f>IF(SUMIFS(T_PlannedOrders[EffectiveQty],T_PlannedOrders[Part Name],$A1049,T_PlannedOrders[WeekIndex],22)=0,"",SUMIFS(T_PlannedOrders[EffectiveQty],T_PlannedOrders[Part Name],$A1049,T_PlannedOrders[WeekIndex],22)&amp;" ("&amp;TEXT(SUMPRODUCT(MAX((T_PlannedOrders[Part Name]=$A1049)*(T_PlannedOrders[WeekIndex]=22)*(T_PlannedOrders[EffectiveQty]&gt;0)*T_PlannedOrders[Order_Month])),"m月")&amp;"発注)")</f>
        <v/>
      </c>
      <c r="Z1055">
        <f>IF(SUMIFS(T_PlannedOrders[EffectiveQty],T_PlannedOrders[Part Name],$A1049,T_PlannedOrders[WeekIndex],23)=0,"",SUMIFS(T_PlannedOrders[EffectiveQty],T_PlannedOrders[Part Name],$A1049,T_PlannedOrders[WeekIndex],23)&amp;" ("&amp;TEXT(SUMPRODUCT(MAX((T_PlannedOrders[Part Name]=$A1049)*(T_PlannedOrders[WeekIndex]=23)*(T_PlannedOrders[EffectiveQty]&gt;0)*T_PlannedOrders[Order_Month])),"m月")&amp;"発注)")</f>
        <v/>
      </c>
      <c r="AA1055">
        <f>IF(SUMIFS(T_PlannedOrders[EffectiveQty],T_PlannedOrders[Part Name],$A1049,T_PlannedOrders[WeekIndex],24)=0,"",SUMIFS(T_PlannedOrders[EffectiveQty],T_PlannedOrders[Part Name],$A1049,T_PlannedOrders[WeekIndex],24)&amp;" ("&amp;TEXT(SUMPRODUCT(MAX((T_PlannedOrders[Part Name]=$A1049)*(T_PlannedOrders[WeekIndex]=24)*(T_PlannedOrders[EffectiveQty]&gt;0)*T_PlannedOrders[Order_Month])),"m月")&amp;"発注)")</f>
        <v/>
      </c>
      <c r="AB1055">
        <f>IF(SUMIFS(T_PlannedOrders[EffectiveQty],T_PlannedOrders[Part Name],$A1049,T_PlannedOrders[WeekIndex],25)=0,"",SUMIFS(T_PlannedOrders[EffectiveQty],T_PlannedOrders[Part Name],$A1049,T_PlannedOrders[WeekIndex],25)&amp;" ("&amp;TEXT(SUMPRODUCT(MAX((T_PlannedOrders[Part Name]=$A1049)*(T_PlannedOrders[WeekIndex]=25)*(T_PlannedOrders[EffectiveQty]&gt;0)*T_PlannedOrders[Order_Month])),"m月")&amp;"発注)")</f>
        <v/>
      </c>
      <c r="AC1055">
        <f>IF(SUMIFS(T_PlannedOrders[EffectiveQty],T_PlannedOrders[Part Name],$A1049,T_PlannedOrders[WeekIndex],26)=0,"",SUMIFS(T_PlannedOrders[EffectiveQty],T_PlannedOrders[Part Name],$A1049,T_PlannedOrders[WeekIndex],26)&amp;" ("&amp;TEXT(SUMPRODUCT(MAX((T_PlannedOrders[Part Name]=$A1049)*(T_PlannedOrders[WeekIndex]=26)*(T_PlannedOrders[EffectiveQty]&gt;0)*T_PlannedOrders[Order_Month])),"m月")&amp;"発注)")</f>
        <v/>
      </c>
      <c r="AD1055">
        <f>IF(SUMIFS(T_PlannedOrders[EffectiveQty],T_PlannedOrders[Part Name],$A1049,T_PlannedOrders[WeekIndex],27)=0,"",SUMIFS(T_PlannedOrders[EffectiveQty],T_PlannedOrders[Part Name],$A1049,T_PlannedOrders[WeekIndex],27)&amp;" ("&amp;TEXT(SUMPRODUCT(MAX((T_PlannedOrders[Part Name]=$A1049)*(T_PlannedOrders[WeekIndex]=27)*(T_PlannedOrders[EffectiveQty]&gt;0)*T_PlannedOrders[Order_Month])),"m月")&amp;"発注)")</f>
        <v/>
      </c>
      <c r="AE1055">
        <f>IF(SUMIFS(T_PlannedOrders[EffectiveQty],T_PlannedOrders[Part Name],$A1049,T_PlannedOrders[WeekIndex],28)=0,"",SUMIFS(T_PlannedOrders[EffectiveQty],T_PlannedOrders[Part Name],$A1049,T_PlannedOrders[WeekIndex],28)&amp;" ("&amp;TEXT(SUMPRODUCT(MAX((T_PlannedOrders[Part Name]=$A1049)*(T_PlannedOrders[WeekIndex]=28)*(T_PlannedOrders[EffectiveQty]&gt;0)*T_PlannedOrders[Order_Month])),"m月")&amp;"発注)")</f>
        <v/>
      </c>
      <c r="AF1055">
        <f>IF(SUMIFS(T_PlannedOrders[EffectiveQty],T_PlannedOrders[Part Name],$A1049,T_PlannedOrders[WeekIndex],29)=0,"",SUMIFS(T_PlannedOrders[EffectiveQty],T_PlannedOrders[Part Name],$A1049,T_PlannedOrders[WeekIndex],29)&amp;" ("&amp;TEXT(SUMPRODUCT(MAX((T_PlannedOrders[Part Name]=$A1049)*(T_PlannedOrders[WeekIndex]=29)*(T_PlannedOrders[EffectiveQty]&gt;0)*T_PlannedOrders[Order_Month])),"m月")&amp;"発注)")</f>
        <v/>
      </c>
      <c r="AG1055">
        <f>IF(SUMIFS(T_PlannedOrders[EffectiveQty],T_PlannedOrders[Part Name],$A1049,T_PlannedOrders[WeekIndex],30)=0,"",SUMIFS(T_PlannedOrders[EffectiveQty],T_PlannedOrders[Part Name],$A1049,T_PlannedOrders[WeekIndex],30)&amp;" ("&amp;TEXT(SUMPRODUCT(MAX((T_PlannedOrders[Part Name]=$A1049)*(T_PlannedOrders[WeekIndex]=30)*(T_PlannedOrders[EffectiveQty]&gt;0)*T_PlannedOrders[Order_Month])),"m月")&amp;"発注)")</f>
        <v/>
      </c>
      <c r="AH1055">
        <f>IF(SUMIFS(T_PlannedOrders[EffectiveQty],T_PlannedOrders[Part Name],$A1049,T_PlannedOrders[WeekIndex],31)=0,"",SUMIFS(T_PlannedOrders[EffectiveQty],T_PlannedOrders[Part Name],$A1049,T_PlannedOrders[WeekIndex],31)&amp;" ("&amp;TEXT(SUMPRODUCT(MAX((T_PlannedOrders[Part Name]=$A1049)*(T_PlannedOrders[WeekIndex]=31)*(T_PlannedOrders[EffectiveQty]&gt;0)*T_PlannedOrders[Order_Month])),"m月")&amp;"発注)")</f>
        <v/>
      </c>
      <c r="AI1055">
        <f>IF(SUMIFS(T_PlannedOrders[EffectiveQty],T_PlannedOrders[Part Name],$A1049,T_PlannedOrders[WeekIndex],32)=0,"",SUMIFS(T_PlannedOrders[EffectiveQty],T_PlannedOrders[Part Name],$A1049,T_PlannedOrders[WeekIndex],32)&amp;" ("&amp;TEXT(SUMPRODUCT(MAX((T_PlannedOrders[Part Name]=$A1049)*(T_PlannedOrders[WeekIndex]=32)*(T_PlannedOrders[EffectiveQty]&gt;0)*T_PlannedOrders[Order_Month])),"m月")&amp;"発注)")</f>
        <v/>
      </c>
      <c r="AJ1055">
        <f>IF(SUMIFS(T_PlannedOrders[EffectiveQty],T_PlannedOrders[Part Name],$A1049,T_PlannedOrders[WeekIndex],33)=0,"",SUMIFS(T_PlannedOrders[EffectiveQty],T_PlannedOrders[Part Name],$A1049,T_PlannedOrders[WeekIndex],33)&amp;" ("&amp;TEXT(SUMPRODUCT(MAX((T_PlannedOrders[Part Name]=$A1049)*(T_PlannedOrders[WeekIndex]=33)*(T_PlannedOrders[EffectiveQty]&gt;0)*T_PlannedOrders[Order_Month])),"m月")&amp;"発注)")</f>
        <v/>
      </c>
      <c r="AK1055">
        <f>IF(SUMIFS(T_PlannedOrders[EffectiveQty],T_PlannedOrders[Part Name],$A1049,T_PlannedOrders[WeekIndex],34)=0,"",SUMIFS(T_PlannedOrders[EffectiveQty],T_PlannedOrders[Part Name],$A1049,T_PlannedOrders[WeekIndex],34)&amp;" ("&amp;TEXT(SUMPRODUCT(MAX((T_PlannedOrders[Part Name]=$A1049)*(T_PlannedOrders[WeekIndex]=34)*(T_PlannedOrders[EffectiveQty]&gt;0)*T_PlannedOrders[Order_Month])),"m月")&amp;"発注)")</f>
        <v/>
      </c>
      <c r="AL1055">
        <f>IF(SUMIFS(T_PlannedOrders[EffectiveQty],T_PlannedOrders[Part Name],$A1049,T_PlannedOrders[WeekIndex],35)=0,"",SUMIFS(T_PlannedOrders[EffectiveQty],T_PlannedOrders[Part Name],$A1049,T_PlannedOrders[WeekIndex],35)&amp;" ("&amp;TEXT(SUMPRODUCT(MAX((T_PlannedOrders[Part Name]=$A1049)*(T_PlannedOrders[WeekIndex]=35)*(T_PlannedOrders[EffectiveQty]&gt;0)*T_PlannedOrders[Order_Month])),"m月")&amp;"発注)")</f>
        <v/>
      </c>
      <c r="AM1055">
        <f>IF(SUMIFS(T_PlannedOrders[EffectiveQty],T_PlannedOrders[Part Name],$A1049,T_PlannedOrders[WeekIndex],36)=0,"",SUMIFS(T_PlannedOrders[EffectiveQty],T_PlannedOrders[Part Name],$A1049,T_PlannedOrders[WeekIndex],36)&amp;" ("&amp;TEXT(SUMPRODUCT(MAX((T_PlannedOrders[Part Name]=$A1049)*(T_PlannedOrders[WeekIndex]=36)*(T_PlannedOrders[EffectiveQty]&gt;0)*T_PlannedOrders[Order_Month])),"m月")&amp;"発注)")</f>
        <v/>
      </c>
      <c r="AN1055">
        <f>IF(SUMIFS(T_PlannedOrders[EffectiveQty],T_PlannedOrders[Part Name],$A1049,T_PlannedOrders[WeekIndex],37)=0,"",SUMIFS(T_PlannedOrders[EffectiveQty],T_PlannedOrders[Part Name],$A1049,T_PlannedOrders[WeekIndex],37)&amp;" ("&amp;TEXT(SUMPRODUCT(MAX((T_PlannedOrders[Part Name]=$A1049)*(T_PlannedOrders[WeekIndex]=37)*(T_PlannedOrders[EffectiveQty]&gt;0)*T_PlannedOrders[Order_Month])),"m月")&amp;"発注)")</f>
        <v/>
      </c>
      <c r="AO1055">
        <f>IF(SUMIFS(T_PlannedOrders[EffectiveQty],T_PlannedOrders[Part Name],$A1049,T_PlannedOrders[WeekIndex],38)=0,"",SUMIFS(T_PlannedOrders[EffectiveQty],T_PlannedOrders[Part Name],$A1049,T_PlannedOrders[WeekIndex],38)&amp;" ("&amp;TEXT(SUMPRODUCT(MAX((T_PlannedOrders[Part Name]=$A1049)*(T_PlannedOrders[WeekIndex]=38)*(T_PlannedOrders[EffectiveQty]&gt;0)*T_PlannedOrders[Order_Month])),"m月")&amp;"発注)")</f>
        <v/>
      </c>
      <c r="AP1055">
        <f>IF(SUMIFS(T_PlannedOrders[EffectiveQty],T_PlannedOrders[Part Name],$A1049,T_PlannedOrders[WeekIndex],39)=0,"",SUMIFS(T_PlannedOrders[EffectiveQty],T_PlannedOrders[Part Name],$A1049,T_PlannedOrders[WeekIndex],39)&amp;" ("&amp;TEXT(SUMPRODUCT(MAX((T_PlannedOrders[Part Name]=$A1049)*(T_PlannedOrders[WeekIndex]=39)*(T_PlannedOrders[EffectiveQty]&gt;0)*T_PlannedOrders[Order_Month])),"m月")&amp;"発注)")</f>
        <v/>
      </c>
      <c r="AQ1055">
        <f>IF(SUMIFS(T_PlannedOrders[EffectiveQty],T_PlannedOrders[Part Name],$A1049,T_PlannedOrders[WeekIndex],40)=0,"",SUMIFS(T_PlannedOrders[EffectiveQty],T_PlannedOrders[Part Name],$A1049,T_PlannedOrders[WeekIndex],40)&amp;" ("&amp;TEXT(SUMPRODUCT(MAX((T_PlannedOrders[Part Name]=$A1049)*(T_PlannedOrders[WeekIndex]=40)*(T_PlannedOrders[EffectiveQty]&gt;0)*T_PlannedOrders[Order_Month])),"m月")&amp;"発注)")</f>
        <v/>
      </c>
      <c r="AR1055">
        <f>IF(SUMIFS(T_PlannedOrders[EffectiveQty],T_PlannedOrders[Part Name],$A1049,T_PlannedOrders[WeekIndex],41)=0,"",SUMIFS(T_PlannedOrders[EffectiveQty],T_PlannedOrders[Part Name],$A1049,T_PlannedOrders[WeekIndex],41)&amp;" ("&amp;TEXT(SUMPRODUCT(MAX((T_PlannedOrders[Part Name]=$A1049)*(T_PlannedOrders[WeekIndex]=41)*(T_PlannedOrders[EffectiveQty]&gt;0)*T_PlannedOrders[Order_Month])),"m月")&amp;"発注)")</f>
        <v/>
      </c>
      <c r="AS1055">
        <f>IF(SUMIFS(T_PlannedOrders[EffectiveQty],T_PlannedOrders[Part Name],$A1049,T_PlannedOrders[WeekIndex],42)=0,"",SUMIFS(T_PlannedOrders[EffectiveQty],T_PlannedOrders[Part Name],$A1049,T_PlannedOrders[WeekIndex],42)&amp;" ("&amp;TEXT(SUMPRODUCT(MAX((T_PlannedOrders[Part Name]=$A1049)*(T_PlannedOrders[WeekIndex]=42)*(T_PlannedOrders[EffectiveQty]&gt;0)*T_PlannedOrders[Order_Month])),"m月")&amp;"発注)")</f>
        <v/>
      </c>
      <c r="AT1055">
        <f>IF(SUMIFS(T_PlannedOrders[EffectiveQty],T_PlannedOrders[Part Name],$A1049,T_PlannedOrders[WeekIndex],43)=0,"",SUMIFS(T_PlannedOrders[EffectiveQty],T_PlannedOrders[Part Name],$A1049,T_PlannedOrders[WeekIndex],43)&amp;" ("&amp;TEXT(SUMPRODUCT(MAX((T_PlannedOrders[Part Name]=$A1049)*(T_PlannedOrders[WeekIndex]=43)*(T_PlannedOrders[EffectiveQty]&gt;0)*T_PlannedOrders[Order_Month])),"m月")&amp;"発注)")</f>
        <v/>
      </c>
      <c r="AU1055">
        <f>IF(SUMIFS(T_PlannedOrders[EffectiveQty],T_PlannedOrders[Part Name],$A1049,T_PlannedOrders[WeekIndex],44)=0,"",SUMIFS(T_PlannedOrders[EffectiveQty],T_PlannedOrders[Part Name],$A1049,T_PlannedOrders[WeekIndex],44)&amp;" ("&amp;TEXT(SUMPRODUCT(MAX((T_PlannedOrders[Part Name]=$A1049)*(T_PlannedOrders[WeekIndex]=44)*(T_PlannedOrders[EffectiveQty]&gt;0)*T_PlannedOrders[Order_Month])),"m月")&amp;"発注)")</f>
        <v/>
      </c>
      <c r="AV1055">
        <f>IF(SUMIFS(T_PlannedOrders[EffectiveQty],T_PlannedOrders[Part Name],$A1049,T_PlannedOrders[WeekIndex],45)=0,"",SUMIFS(T_PlannedOrders[EffectiveQty],T_PlannedOrders[Part Name],$A1049,T_PlannedOrders[WeekIndex],45)&amp;" ("&amp;TEXT(SUMPRODUCT(MAX((T_PlannedOrders[Part Name]=$A1049)*(T_PlannedOrders[WeekIndex]=45)*(T_PlannedOrders[EffectiveQty]&gt;0)*T_PlannedOrders[Order_Month])),"m月")&amp;"発注)")</f>
        <v/>
      </c>
      <c r="AW1055">
        <f>IF(SUMIFS(T_PlannedOrders[EffectiveQty],T_PlannedOrders[Part Name],$A1049,T_PlannedOrders[WeekIndex],46)=0,"",SUMIFS(T_PlannedOrders[EffectiveQty],T_PlannedOrders[Part Name],$A1049,T_PlannedOrders[WeekIndex],46)&amp;" ("&amp;TEXT(SUMPRODUCT(MAX((T_PlannedOrders[Part Name]=$A1049)*(T_PlannedOrders[WeekIndex]=46)*(T_PlannedOrders[EffectiveQty]&gt;0)*T_PlannedOrders[Order_Month])),"m月")&amp;"発注)")</f>
        <v/>
      </c>
      <c r="AX1055">
        <f>IF(SUMIFS(T_PlannedOrders[EffectiveQty],T_PlannedOrders[Part Name],$A1049,T_PlannedOrders[WeekIndex],47)=0,"",SUMIFS(T_PlannedOrders[EffectiveQty],T_PlannedOrders[Part Name],$A1049,T_PlannedOrders[WeekIndex],47)&amp;" ("&amp;TEXT(SUMPRODUCT(MAX((T_PlannedOrders[Part Name]=$A1049)*(T_PlannedOrders[WeekIndex]=47)*(T_PlannedOrders[EffectiveQty]&gt;0)*T_PlannedOrders[Order_Month])),"m月")&amp;"発注)")</f>
        <v/>
      </c>
      <c r="AY1055">
        <f>IF(SUMIFS(T_PlannedOrders[EffectiveQty],T_PlannedOrders[Part Name],$A1049,T_PlannedOrders[WeekIndex],48)=0,"",SUMIFS(T_PlannedOrders[EffectiveQty],T_PlannedOrders[Part Name],$A1049,T_PlannedOrders[WeekIndex],48)&amp;" ("&amp;TEXT(SUMPRODUCT(MAX((T_PlannedOrders[Part Name]=$A1049)*(T_PlannedOrders[WeekIndex]=48)*(T_PlannedOrders[EffectiveQty]&gt;0)*T_PlannedOrders[Order_Month])),"m月")&amp;"発注)")</f>
        <v/>
      </c>
      <c r="AZ1055">
        <f>IF(SUMIFS(T_PlannedOrders[EffectiveQty],T_PlannedOrders[Part Name],$A1049,T_PlannedOrders[WeekIndex],49)=0,"",SUMIFS(T_PlannedOrders[EffectiveQty],T_PlannedOrders[Part Name],$A1049,T_PlannedOrders[WeekIndex],49)&amp;" ("&amp;TEXT(SUMPRODUCT(MAX((T_PlannedOrders[Part Name]=$A1049)*(T_PlannedOrders[WeekIndex]=49)*(T_PlannedOrders[EffectiveQty]&gt;0)*T_PlannedOrders[Order_Month])),"m月")&amp;"発注)")</f>
        <v/>
      </c>
      <c r="BA1055">
        <f>IF(SUMIFS(T_PlannedOrders[EffectiveQty],T_PlannedOrders[Part Name],$A1049,T_PlannedOrders[WeekIndex],50)=0,"",SUMIFS(T_PlannedOrders[EffectiveQty],T_PlannedOrders[Part Name],$A1049,T_PlannedOrders[WeekIndex],50)&amp;" ("&amp;TEXT(SUMPRODUCT(MAX((T_PlannedOrders[Part Name]=$A1049)*(T_PlannedOrders[WeekIndex]=50)*(T_PlannedOrders[EffectiveQty]&gt;0)*T_PlannedOrders[Order_Month])),"m月")&amp;"発注)")</f>
        <v/>
      </c>
      <c r="BB1055">
        <f>IF(SUMIFS(T_PlannedOrders[EffectiveQty],T_PlannedOrders[Part Name],$A1049,T_PlannedOrders[WeekIndex],51)=0,"",SUMIFS(T_PlannedOrders[EffectiveQty],T_PlannedOrders[Part Name],$A1049,T_PlannedOrders[WeekIndex],51)&amp;" ("&amp;TEXT(SUMPRODUCT(MAX((T_PlannedOrders[Part Name]=$A1049)*(T_PlannedOrders[WeekIndex]=51)*(T_PlannedOrders[EffectiveQty]&gt;0)*T_PlannedOrders[Order_Month])),"m月")&amp;"発注)")</f>
        <v/>
      </c>
      <c r="BC1055">
        <f>IF(SUMIFS(T_PlannedOrders[EffectiveQty],T_PlannedOrders[Part Name],$A1049,T_PlannedOrders[WeekIndex],52)=0,"",SUMIFS(T_PlannedOrders[EffectiveQty],T_PlannedOrders[Part Name],$A1049,T_PlannedOrders[WeekIndex],52)&amp;" ("&amp;TEXT(SUMPRODUCT(MAX((T_PlannedOrders[Part Name]=$A1049)*(T_PlannedOrders[WeekIndex]=52)*(T_PlannedOrders[EffectiveQty]&gt;0)*T_PlannedOrders[Order_Month])),"m月")&amp;"発注)")</f>
        <v/>
      </c>
      <c r="BD1055">
        <f>IF(SUMIFS(T_PlannedOrders[EffectiveQty],T_PlannedOrders[Part Name],$A1049,T_PlannedOrders[WeekIndex],53)=0,"",SUMIFS(T_PlannedOrders[EffectiveQty],T_PlannedOrders[Part Name],$A1049,T_PlannedOrders[WeekIndex],53)&amp;" ("&amp;TEXT(SUMPRODUCT(MAX((T_PlannedOrders[Part Name]=$A1049)*(T_PlannedOrders[WeekIndex]=53)*(T_PlannedOrders[EffectiveQty]&gt;0)*T_PlannedOrders[Order_Month])),"m月")&amp;"発注)")</f>
        <v/>
      </c>
      <c r="BE1055">
        <f>IF(SUMIFS(T_PlannedOrders[EffectiveQty],T_PlannedOrders[Part Name],$A1049,T_PlannedOrders[WeekIndex],54)=0,"",SUMIFS(T_PlannedOrders[EffectiveQty],T_PlannedOrders[Part Name],$A1049,T_PlannedOrders[WeekIndex],54)&amp;" ("&amp;TEXT(SUMPRODUCT(MAX((T_PlannedOrders[Part Name]=$A1049)*(T_PlannedOrders[WeekIndex]=54)*(T_PlannedOrders[EffectiveQty]&gt;0)*T_PlannedOrders[Order_Month])),"m月")&amp;"発注)")</f>
        <v/>
      </c>
      <c r="BF1055">
        <f>IF(SUMIFS(T_PlannedOrders[EffectiveQty],T_PlannedOrders[Part Name],$A1049,T_PlannedOrders[WeekIndex],55)=0,"",SUMIFS(T_PlannedOrders[EffectiveQty],T_PlannedOrders[Part Name],$A1049,T_PlannedOrders[WeekIndex],55)&amp;" ("&amp;TEXT(SUMPRODUCT(MAX((T_PlannedOrders[Part Name]=$A1049)*(T_PlannedOrders[WeekIndex]=55)*(T_PlannedOrders[EffectiveQty]&gt;0)*T_PlannedOrders[Order_Month])),"m月")&amp;"発注)")</f>
        <v/>
      </c>
      <c r="BG1055">
        <f>IF(SUMIFS(T_PlannedOrders[EffectiveQty],T_PlannedOrders[Part Name],$A1049,T_PlannedOrders[WeekIndex],56)=0,"",SUMIFS(T_PlannedOrders[EffectiveQty],T_PlannedOrders[Part Name],$A1049,T_PlannedOrders[WeekIndex],56)&amp;" ("&amp;TEXT(SUMPRODUCT(MAX((T_PlannedOrders[Part Name]=$A1049)*(T_PlannedOrders[WeekIndex]=56)*(T_PlannedOrders[EffectiveQty]&gt;0)*T_PlannedOrders[Order_Month])),"m月")&amp;"発注)")</f>
        <v/>
      </c>
      <c r="BH1055">
        <f>IF(SUMIFS(T_PlannedOrders[EffectiveQty],T_PlannedOrders[Part Name],$A1049,T_PlannedOrders[WeekIndex],57)=0,"",SUMIFS(T_PlannedOrders[EffectiveQty],T_PlannedOrders[Part Name],$A1049,T_PlannedOrders[WeekIndex],57)&amp;" ("&amp;TEXT(SUMPRODUCT(MAX((T_PlannedOrders[Part Name]=$A1049)*(T_PlannedOrders[WeekIndex]=57)*(T_PlannedOrders[EffectiveQty]&gt;0)*T_PlannedOrders[Order_Month])),"m月")&amp;"発注)")</f>
        <v/>
      </c>
      <c r="BI1055">
        <f>IF(SUMIFS(T_PlannedOrders[EffectiveQty],T_PlannedOrders[Part Name],$A1049,T_PlannedOrders[WeekIndex],58)=0,"",SUMIFS(T_PlannedOrders[EffectiveQty],T_PlannedOrders[Part Name],$A1049,T_PlannedOrders[WeekIndex],58)&amp;" ("&amp;TEXT(SUMPRODUCT(MAX((T_PlannedOrders[Part Name]=$A1049)*(T_PlannedOrders[WeekIndex]=58)*(T_PlannedOrders[EffectiveQty]&gt;0)*T_PlannedOrders[Order_Month])),"m月")&amp;"発注)")</f>
        <v/>
      </c>
      <c r="BJ1055">
        <f>IF(SUMIFS(T_PlannedOrders[EffectiveQty],T_PlannedOrders[Part Name],$A1049,T_PlannedOrders[WeekIndex],59)=0,"",SUMIFS(T_PlannedOrders[EffectiveQty],T_PlannedOrders[Part Name],$A1049,T_PlannedOrders[WeekIndex],59)&amp;" ("&amp;TEXT(SUMPRODUCT(MAX((T_PlannedOrders[Part Name]=$A1049)*(T_PlannedOrders[WeekIndex]=59)*(T_PlannedOrders[EffectiveQty]&gt;0)*T_PlannedOrders[Order_Month])),"m月")&amp;"発注)")</f>
        <v/>
      </c>
      <c r="BK1055">
        <f>IF(SUMIFS(T_PlannedOrders[EffectiveQty],T_PlannedOrders[Part Name],$A1049,T_PlannedOrders[WeekIndex],60)=0,"",SUMIFS(T_PlannedOrders[EffectiveQty],T_PlannedOrders[Part Name],$A1049,T_PlannedOrders[WeekIndex],60)&amp;" ("&amp;TEXT(SUMPRODUCT(MAX((T_PlannedOrders[Part Name]=$A1049)*(T_PlannedOrders[WeekIndex]=60)*(T_PlannedOrders[EffectiveQty]&gt;0)*T_PlannedOrders[Order_Month])),"m月")&amp;"発注)")</f>
        <v/>
      </c>
      <c r="BL1055">
        <f>IF(SUMIFS(T_PlannedOrders[EffectiveQty],T_PlannedOrders[Part Name],$A1049,T_PlannedOrders[WeekIndex],61)=0,"",SUMIFS(T_PlannedOrders[EffectiveQty],T_PlannedOrders[Part Name],$A1049,T_PlannedOrders[WeekIndex],61)&amp;" ("&amp;TEXT(SUMPRODUCT(MAX((T_PlannedOrders[Part Name]=$A1049)*(T_PlannedOrders[WeekIndex]=61)*(T_PlannedOrders[EffectiveQty]&gt;0)*T_PlannedOrders[Order_Month])),"m月")&amp;"発注)")</f>
        <v/>
      </c>
      <c r="BM1055">
        <f>IF(SUMIFS(T_PlannedOrders[EffectiveQty],T_PlannedOrders[Part Name],$A1049,T_PlannedOrders[WeekIndex],62)=0,"",SUMIFS(T_PlannedOrders[EffectiveQty],T_PlannedOrders[Part Name],$A1049,T_PlannedOrders[WeekIndex],62)&amp;" ("&amp;TEXT(SUMPRODUCT(MAX((T_PlannedOrders[Part Name]=$A1049)*(T_PlannedOrders[WeekIndex]=62)*(T_PlannedOrders[EffectiveQty]&gt;0)*T_PlannedOrders[Order_Month])),"m月")&amp;"発注)")</f>
        <v/>
      </c>
      <c r="BN1055">
        <f>IF(SUMIFS(T_PlannedOrders[EffectiveQty],T_PlannedOrders[Part Name],$A1049,T_PlannedOrders[WeekIndex],63)=0,"",SUMIFS(T_PlannedOrders[EffectiveQty],T_PlannedOrders[Part Name],$A1049,T_PlannedOrders[WeekIndex],63)&amp;" ("&amp;TEXT(SUMPRODUCT(MAX((T_PlannedOrders[Part Name]=$A1049)*(T_PlannedOrders[WeekIndex]=63)*(T_PlannedOrders[EffectiveQty]&gt;0)*T_PlannedOrders[Order_Month])),"m月")&amp;"発注)")</f>
        <v/>
      </c>
      <c r="BO1055">
        <f>IF(SUMIFS(T_PlannedOrders[EffectiveQty],T_PlannedOrders[Part Name],$A1049,T_PlannedOrders[WeekIndex],64)=0,"",SUMIFS(T_PlannedOrders[EffectiveQty],T_PlannedOrders[Part Name],$A1049,T_PlannedOrders[WeekIndex],64)&amp;" ("&amp;TEXT(SUMPRODUCT(MAX((T_PlannedOrders[Part Name]=$A1049)*(T_PlannedOrders[WeekIndex]=64)*(T_PlannedOrders[EffectiveQty]&gt;0)*T_PlannedOrders[Order_Month])),"m月")&amp;"発注)")</f>
        <v/>
      </c>
      <c r="BP1055">
        <f>IF(SUMIFS(T_PlannedOrders[EffectiveQty],T_PlannedOrders[Part Name],$A1049,T_PlannedOrders[WeekIndex],65)=0,"",SUMIFS(T_PlannedOrders[EffectiveQty],T_PlannedOrders[Part Name],$A1049,T_PlannedOrders[WeekIndex],65)&amp;" ("&amp;TEXT(SUMPRODUCT(MAX((T_PlannedOrders[Part Name]=$A1049)*(T_PlannedOrders[WeekIndex]=65)*(T_PlannedOrders[EffectiveQty]&gt;0)*T_PlannedOrders[Order_Month])),"m月")&amp;"発注)")</f>
        <v/>
      </c>
      <c r="BQ1055">
        <f>IF(SUMIFS(T_PlannedOrders[EffectiveQty],T_PlannedOrders[Part Name],$A1049,T_PlannedOrders[WeekIndex],66)=0,"",SUMIFS(T_PlannedOrders[EffectiveQty],T_PlannedOrders[Part Name],$A1049,T_PlannedOrders[WeekIndex],66)&amp;" ("&amp;TEXT(SUMPRODUCT(MAX((T_PlannedOrders[Part Name]=$A1049)*(T_PlannedOrders[WeekIndex]=66)*(T_PlannedOrders[EffectiveQty]&gt;0)*T_PlannedOrders[Order_Month])),"m月")&amp;"発注)")</f>
        <v/>
      </c>
      <c r="BR1055">
        <f>IF(SUMIFS(T_PlannedOrders[EffectiveQty],T_PlannedOrders[Part Name],$A1049,T_PlannedOrders[WeekIndex],67)=0,"",SUMIFS(T_PlannedOrders[EffectiveQty],T_PlannedOrders[Part Name],$A1049,T_PlannedOrders[WeekIndex],67)&amp;" ("&amp;TEXT(SUMPRODUCT(MAX((T_PlannedOrders[Part Name]=$A1049)*(T_PlannedOrders[WeekIndex]=67)*(T_PlannedOrders[EffectiveQty]&gt;0)*T_PlannedOrders[Order_Month])),"m月")&amp;"発注)")</f>
        <v/>
      </c>
      <c r="BS1055">
        <f>IF(SUMIFS(T_PlannedOrders[EffectiveQty],T_PlannedOrders[Part Name],$A1049,T_PlannedOrders[WeekIndex],68)=0,"",SUMIFS(T_PlannedOrders[EffectiveQty],T_PlannedOrders[Part Name],$A1049,T_PlannedOrders[WeekIndex],68)&amp;" ("&amp;TEXT(SUMPRODUCT(MAX((T_PlannedOrders[Part Name]=$A1049)*(T_PlannedOrders[WeekIndex]=68)*(T_PlannedOrders[EffectiveQty]&gt;0)*T_PlannedOrders[Order_Month])),"m月")&amp;"発注)")</f>
        <v/>
      </c>
      <c r="BT1055">
        <f>IF(SUMIFS(T_PlannedOrders[EffectiveQty],T_PlannedOrders[Part Name],$A1049,T_PlannedOrders[WeekIndex],69)=0,"",SUMIFS(T_PlannedOrders[EffectiveQty],T_PlannedOrders[Part Name],$A1049,T_PlannedOrders[WeekIndex],69)&amp;" ("&amp;TEXT(SUMPRODUCT(MAX((T_PlannedOrders[Part Name]=$A1049)*(T_PlannedOrders[WeekIndex]=69)*(T_PlannedOrders[EffectiveQty]&gt;0)*T_PlannedOrders[Order_Month])),"m月")&amp;"発注)")</f>
        <v/>
      </c>
      <c r="BU1055">
        <f>IF(SUMIFS(T_PlannedOrders[EffectiveQty],T_PlannedOrders[Part Name],$A1049,T_PlannedOrders[WeekIndex],70)=0,"",SUMIFS(T_PlannedOrders[EffectiveQty],T_PlannedOrders[Part Name],$A1049,T_PlannedOrders[WeekIndex],70)&amp;" ("&amp;TEXT(SUMPRODUCT(MAX((T_PlannedOrders[Part Name]=$A1049)*(T_PlannedOrders[WeekIndex]=70)*(T_PlannedOrders[EffectiveQty]&gt;0)*T_PlannedOrders[Order_Month])),"m月")&amp;"発注)")</f>
        <v/>
      </c>
      <c r="BV1055">
        <f>IF(SUMIFS(T_PlannedOrders[EffectiveQty],T_PlannedOrders[Part Name],$A1049,T_PlannedOrders[WeekIndex],71)=0,"",SUMIFS(T_PlannedOrders[EffectiveQty],T_PlannedOrders[Part Name],$A1049,T_PlannedOrders[WeekIndex],71)&amp;" ("&amp;TEXT(SUMPRODUCT(MAX((T_PlannedOrders[Part Name]=$A1049)*(T_PlannedOrders[WeekIndex]=71)*(T_PlannedOrders[EffectiveQty]&gt;0)*T_PlannedOrders[Order_Month])),"m月")&amp;"発注)")</f>
        <v/>
      </c>
      <c r="BW1055">
        <f>IF(SUMIFS(T_PlannedOrders[EffectiveQty],T_PlannedOrders[Part Name],$A1049,T_PlannedOrders[WeekIndex],72)=0,"",SUMIFS(T_PlannedOrders[EffectiveQty],T_PlannedOrders[Part Name],$A1049,T_PlannedOrders[WeekIndex],72)&amp;" ("&amp;TEXT(SUMPRODUCT(MAX((T_PlannedOrders[Part Name]=$A1049)*(T_PlannedOrders[WeekIndex]=72)*(T_PlannedOrders[EffectiveQty]&gt;0)*T_PlannedOrders[Order_Month])),"m月")&amp;"発注)")</f>
        <v/>
      </c>
      <c r="BX1055">
        <f>IF(SUMIFS(T_PlannedOrders[EffectiveQty],T_PlannedOrders[Part Name],$A1049,T_PlannedOrders[WeekIndex],73)=0,"",SUMIFS(T_PlannedOrders[EffectiveQty],T_PlannedOrders[Part Name],$A1049,T_PlannedOrders[WeekIndex],73)&amp;" ("&amp;TEXT(SUMPRODUCT(MAX((T_PlannedOrders[Part Name]=$A1049)*(T_PlannedOrders[WeekIndex]=73)*(T_PlannedOrders[EffectiveQty]&gt;0)*T_PlannedOrders[Order_Month])),"m月")&amp;"発注)")</f>
        <v/>
      </c>
      <c r="BY1055">
        <f>IF(SUMIFS(T_PlannedOrders[EffectiveQty],T_PlannedOrders[Part Name],$A1049,T_PlannedOrders[WeekIndex],74)=0,"",SUMIFS(T_PlannedOrders[EffectiveQty],T_PlannedOrders[Part Name],$A1049,T_PlannedOrders[WeekIndex],74)&amp;" ("&amp;TEXT(SUMPRODUCT(MAX((T_PlannedOrders[Part Name]=$A1049)*(T_PlannedOrders[WeekIndex]=74)*(T_PlannedOrders[EffectiveQty]&gt;0)*T_PlannedOrders[Order_Month])),"m月")&amp;"発注)")</f>
        <v/>
      </c>
      <c r="BZ1055">
        <f>IF(SUMIFS(T_PlannedOrders[EffectiveQty],T_PlannedOrders[Part Name],$A1049,T_PlannedOrders[WeekIndex],75)=0,"",SUMIFS(T_PlannedOrders[EffectiveQty],T_PlannedOrders[Part Name],$A1049,T_PlannedOrders[WeekIndex],75)&amp;" ("&amp;TEXT(SUMPRODUCT(MAX((T_PlannedOrders[Part Name]=$A1049)*(T_PlannedOrders[WeekIndex]=75)*(T_PlannedOrders[EffectiveQty]&gt;0)*T_PlannedOrders[Order_Month])),"m月")&amp;"発注)")</f>
        <v/>
      </c>
      <c r="CA1055">
        <f>IF(SUMIFS(T_PlannedOrders[EffectiveQty],T_PlannedOrders[Part Name],$A1049,T_PlannedOrders[WeekIndex],76)=0,"",SUMIFS(T_PlannedOrders[EffectiveQty],T_PlannedOrders[Part Name],$A1049,T_PlannedOrders[WeekIndex],76)&amp;" ("&amp;TEXT(SUMPRODUCT(MAX((T_PlannedOrders[Part Name]=$A1049)*(T_PlannedOrders[WeekIndex]=76)*(T_PlannedOrders[EffectiveQty]&gt;0)*T_PlannedOrders[Order_Month])),"m月")&amp;"発注)")</f>
        <v/>
      </c>
      <c r="CB1055">
        <f>IF(SUMIFS(T_PlannedOrders[EffectiveQty],T_PlannedOrders[Part Name],$A1049,T_PlannedOrders[WeekIndex],77)=0,"",SUMIFS(T_PlannedOrders[EffectiveQty],T_PlannedOrders[Part Name],$A1049,T_PlannedOrders[WeekIndex],77)&amp;" ("&amp;TEXT(SUMPRODUCT(MAX((T_PlannedOrders[Part Name]=$A1049)*(T_PlannedOrders[WeekIndex]=77)*(T_PlannedOrders[EffectiveQty]&gt;0)*T_PlannedOrders[Order_Month])),"m月")&amp;"発注)")</f>
        <v/>
      </c>
      <c r="CC1055">
        <f>IF(SUMIFS(T_PlannedOrders[EffectiveQty],T_PlannedOrders[Part Name],$A1049,T_PlannedOrders[WeekIndex],78)=0,"",SUMIFS(T_PlannedOrders[EffectiveQty],T_PlannedOrders[Part Name],$A1049,T_PlannedOrders[WeekIndex],78)&amp;" ("&amp;TEXT(SUMPRODUCT(MAX((T_PlannedOrders[Part Name]=$A1049)*(T_PlannedOrders[WeekIndex]=78)*(T_PlannedOrders[EffectiveQty]&gt;0)*T_PlannedOrders[Order_Month])),"m月")&amp;"発注)")</f>
        <v/>
      </c>
      <c r="CD1055">
        <f>IF(SUMIFS(T_PlannedOrders[EffectiveQty],T_PlannedOrders[Part Name],$A1049,T_PlannedOrders[WeekIndex],79)=0,"",SUMIFS(T_PlannedOrders[EffectiveQty],T_PlannedOrders[Part Name],$A1049,T_PlannedOrders[WeekIndex],79)&amp;" ("&amp;TEXT(SUMPRODUCT(MAX((T_PlannedOrders[Part Name]=$A1049)*(T_PlannedOrders[WeekIndex]=79)*(T_PlannedOrders[EffectiveQty]&gt;0)*T_PlannedOrders[Order_Month])),"m月")&amp;"発注)")</f>
        <v/>
      </c>
      <c r="CE1055">
        <f>IF(SUMIFS(T_PlannedOrders[EffectiveQty],T_PlannedOrders[Part Name],$A1049,T_PlannedOrders[WeekIndex],80)=0,"",SUMIFS(T_PlannedOrders[EffectiveQty],T_PlannedOrders[Part Name],$A1049,T_PlannedOrders[WeekIndex],80)&amp;" ("&amp;TEXT(SUMPRODUCT(MAX((T_PlannedOrders[Part Name]=$A1049)*(T_PlannedOrders[WeekIndex]=80)*(T_PlannedOrders[EffectiveQty]&gt;0)*T_PlannedOrders[Order_Month])),"m月")&amp;"発注)")</f>
        <v/>
      </c>
      <c r="CF1055">
        <f>IF(SUMIFS(T_PlannedOrders[EffectiveQty],T_PlannedOrders[Part Name],$A1049,T_PlannedOrders[WeekIndex],81)=0,"",SUMIFS(T_PlannedOrders[EffectiveQty],T_PlannedOrders[Part Name],$A1049,T_PlannedOrders[WeekIndex],81)&amp;" ("&amp;TEXT(SUMPRODUCT(MAX((T_PlannedOrders[Part Name]=$A1049)*(T_PlannedOrders[WeekIndex]=81)*(T_PlannedOrders[EffectiveQty]&gt;0)*T_PlannedOrders[Order_Month])),"m月")&amp;"発注)")</f>
        <v/>
      </c>
      <c r="CG1055">
        <f>IF(SUMIFS(T_PlannedOrders[EffectiveQty],T_PlannedOrders[Part Name],$A1049,T_PlannedOrders[WeekIndex],82)=0,"",SUMIFS(T_PlannedOrders[EffectiveQty],T_PlannedOrders[Part Name],$A1049,T_PlannedOrders[WeekIndex],82)&amp;" ("&amp;TEXT(SUMPRODUCT(MAX((T_PlannedOrders[Part Name]=$A1049)*(T_PlannedOrders[WeekIndex]=82)*(T_PlannedOrders[EffectiveQty]&gt;0)*T_PlannedOrders[Order_Month])),"m月")&amp;"発注)")</f>
        <v/>
      </c>
      <c r="CH1055">
        <f>IF(SUMIFS(T_PlannedOrders[EffectiveQty],T_PlannedOrders[Part Name],$A1049,T_PlannedOrders[WeekIndex],83)=0,"",SUMIFS(T_PlannedOrders[EffectiveQty],T_PlannedOrders[Part Name],$A1049,T_PlannedOrders[WeekIndex],83)&amp;" ("&amp;TEXT(SUMPRODUCT(MAX((T_PlannedOrders[Part Name]=$A1049)*(T_PlannedOrders[WeekIndex]=83)*(T_PlannedOrders[EffectiveQty]&gt;0)*T_PlannedOrders[Order_Month])),"m月")&amp;"発注)")</f>
        <v/>
      </c>
      <c r="CI1055">
        <f>IF(SUMIFS(T_PlannedOrders[EffectiveQty],T_PlannedOrders[Part Name],$A1049,T_PlannedOrders[WeekIndex],84)=0,"",SUMIFS(T_PlannedOrders[EffectiveQty],T_PlannedOrders[Part Name],$A1049,T_PlannedOrders[WeekIndex],84)&amp;" ("&amp;TEXT(SUMPRODUCT(MAX((T_PlannedOrders[Part Name]=$A1049)*(T_PlannedOrders[WeekIndex]=84)*(T_PlannedOrders[EffectiveQty]&gt;0)*T_PlannedOrders[Order_Month])),"m月")&amp;"発注)")</f>
        <v/>
      </c>
      <c r="CJ1055">
        <f>IF(SUMIFS(T_PlannedOrders[EffectiveQty],T_PlannedOrders[Part Name],$A1049,T_PlannedOrders[WeekIndex],85)=0,"",SUMIFS(T_PlannedOrders[EffectiveQty],T_PlannedOrders[Part Name],$A1049,T_PlannedOrders[WeekIndex],85)&amp;" ("&amp;TEXT(SUMPRODUCT(MAX((T_PlannedOrders[Part Name]=$A1049)*(T_PlannedOrders[WeekIndex]=85)*(T_PlannedOrders[EffectiveQty]&gt;0)*T_PlannedOrders[Order_Month])),"m月")&amp;"発注)")</f>
        <v/>
      </c>
      <c r="CK1055">
        <f>IF(SUMIFS(T_PlannedOrders[EffectiveQty],T_PlannedOrders[Part Name],$A1049,T_PlannedOrders[WeekIndex],86)=0,"",SUMIFS(T_PlannedOrders[EffectiveQty],T_PlannedOrders[Part Name],$A1049,T_PlannedOrders[WeekIndex],86)&amp;" ("&amp;TEXT(SUMPRODUCT(MAX((T_PlannedOrders[Part Name]=$A1049)*(T_PlannedOrders[WeekIndex]=86)*(T_PlannedOrders[EffectiveQty]&gt;0)*T_PlannedOrders[Order_Month])),"m月")&amp;"発注)")</f>
        <v/>
      </c>
      <c r="CL1055">
        <f>IF(SUMIFS(T_PlannedOrders[EffectiveQty],T_PlannedOrders[Part Name],$A1049,T_PlannedOrders[WeekIndex],87)=0,"",SUMIFS(T_PlannedOrders[EffectiveQty],T_PlannedOrders[Part Name],$A1049,T_PlannedOrders[WeekIndex],87)&amp;" ("&amp;TEXT(SUMPRODUCT(MAX((T_PlannedOrders[Part Name]=$A1049)*(T_PlannedOrders[WeekIndex]=87)*(T_PlannedOrders[EffectiveQty]&gt;0)*T_PlannedOrders[Order_Month])),"m月")&amp;"発注)")</f>
        <v/>
      </c>
      <c r="CM1055">
        <f>IF(SUMIFS(T_PlannedOrders[EffectiveQty],T_PlannedOrders[Part Name],$A1049,T_PlannedOrders[WeekIndex],88)=0,"",SUMIFS(T_PlannedOrders[EffectiveQty],T_PlannedOrders[Part Name],$A1049,T_PlannedOrders[WeekIndex],88)&amp;" ("&amp;TEXT(SUMPRODUCT(MAX((T_PlannedOrders[Part Name]=$A1049)*(T_PlannedOrders[WeekIndex]=88)*(T_PlannedOrders[EffectiveQty]&gt;0)*T_PlannedOrders[Order_Month])),"m月")&amp;"発注)")</f>
        <v/>
      </c>
      <c r="CN1055">
        <f>IF(SUMIFS(T_PlannedOrders[EffectiveQty],T_PlannedOrders[Part Name],$A1049,T_PlannedOrders[WeekIndex],89)=0,"",SUMIFS(T_PlannedOrders[EffectiveQty],T_PlannedOrders[Part Name],$A1049,T_PlannedOrders[WeekIndex],89)&amp;" ("&amp;TEXT(SUMPRODUCT(MAX((T_PlannedOrders[Part Name]=$A1049)*(T_PlannedOrders[WeekIndex]=89)*(T_PlannedOrders[EffectiveQty]&gt;0)*T_PlannedOrders[Order_Month])),"m月")&amp;"発注)")</f>
        <v/>
      </c>
      <c r="CO1055">
        <f>IF(SUMIFS(T_PlannedOrders[EffectiveQty],T_PlannedOrders[Part Name],$A1049,T_PlannedOrders[WeekIndex],90)=0,"",SUMIFS(T_PlannedOrders[EffectiveQty],T_PlannedOrders[Part Name],$A1049,T_PlannedOrders[WeekIndex],90)&amp;" ("&amp;TEXT(SUMPRODUCT(MAX((T_PlannedOrders[Part Name]=$A1049)*(T_PlannedOrders[WeekIndex]=90)*(T_PlannedOrders[EffectiveQty]&gt;0)*T_PlannedOrders[Order_Month])),"m月")&amp;"発注)")</f>
        <v/>
      </c>
      <c r="CP1055">
        <f>IF(SUMIFS(T_PlannedOrders[EffectiveQty],T_PlannedOrders[Part Name],$A1049,T_PlannedOrders[WeekIndex],91)=0,"",SUMIFS(T_PlannedOrders[EffectiveQty],T_PlannedOrders[Part Name],$A1049,T_PlannedOrders[WeekIndex],91)&amp;" ("&amp;TEXT(SUMPRODUCT(MAX((T_PlannedOrders[Part Name]=$A1049)*(T_PlannedOrders[WeekIndex]=91)*(T_PlannedOrders[EffectiveQty]&gt;0)*T_PlannedOrders[Order_Month])),"m月")&amp;"発注)")</f>
        <v/>
      </c>
      <c r="CQ1055">
        <f>IF(SUMIFS(T_PlannedOrders[EffectiveQty],T_PlannedOrders[Part Name],$A1049,T_PlannedOrders[WeekIndex],92)=0,"",SUMIFS(T_PlannedOrders[EffectiveQty],T_PlannedOrders[Part Name],$A1049,T_PlannedOrders[WeekIndex],92)&amp;" ("&amp;TEXT(SUMPRODUCT(MAX((T_PlannedOrders[Part Name]=$A1049)*(T_PlannedOrders[WeekIndex]=92)*(T_PlannedOrders[EffectiveQty]&gt;0)*T_PlannedOrders[Order_Month])),"m月")&amp;"発注)")</f>
        <v/>
      </c>
      <c r="CR1055">
        <f>IF(SUMIFS(T_PlannedOrders[EffectiveQty],T_PlannedOrders[Part Name],$A1049,T_PlannedOrders[WeekIndex],93)=0,"",SUMIFS(T_PlannedOrders[EffectiveQty],T_PlannedOrders[Part Name],$A1049,T_PlannedOrders[WeekIndex],93)&amp;" ("&amp;TEXT(SUMPRODUCT(MAX((T_PlannedOrders[Part Name]=$A1049)*(T_PlannedOrders[WeekIndex]=93)*(T_PlannedOrders[EffectiveQty]&gt;0)*T_PlannedOrders[Order_Month])),"m月")&amp;"発注)")</f>
        <v/>
      </c>
      <c r="CS1055">
        <f>IF(SUMIFS(T_PlannedOrders[EffectiveQty],T_PlannedOrders[Part Name],$A1049,T_PlannedOrders[WeekIndex],94)=0,"",SUMIFS(T_PlannedOrders[EffectiveQty],T_PlannedOrders[Part Name],$A1049,T_PlannedOrders[WeekIndex],94)&amp;" ("&amp;TEXT(SUMPRODUCT(MAX((T_PlannedOrders[Part Name]=$A1049)*(T_PlannedOrders[WeekIndex]=94)*(T_PlannedOrders[EffectiveQty]&gt;0)*T_PlannedOrders[Order_Month])),"m月")&amp;"発注)")</f>
        <v/>
      </c>
      <c r="CT1055">
        <f>IF(SUMIFS(T_PlannedOrders[EffectiveQty],T_PlannedOrders[Part Name],$A1049,T_PlannedOrders[WeekIndex],95)=0,"",SUMIFS(T_PlannedOrders[EffectiveQty],T_PlannedOrders[Part Name],$A1049,T_PlannedOrders[WeekIndex],95)&amp;" ("&amp;TEXT(SUMPRODUCT(MAX((T_PlannedOrders[Part Name]=$A1049)*(T_PlannedOrders[WeekIndex]=95)*(T_PlannedOrders[EffectiveQty]&gt;0)*T_PlannedOrders[Order_Month])),"m月")&amp;"発注)")</f>
        <v/>
      </c>
      <c r="CU1055">
        <f>IF(SUMIFS(T_PlannedOrders[EffectiveQty],T_PlannedOrders[Part Name],$A1049,T_PlannedOrders[WeekIndex],96)=0,"",SUMIFS(T_PlannedOrders[EffectiveQty],T_PlannedOrders[Part Name],$A1049,T_PlannedOrders[WeekIndex],96)&amp;" ("&amp;TEXT(SUMPRODUCT(MAX((T_PlannedOrders[Part Name]=$A1049)*(T_PlannedOrders[WeekIndex]=96)*(T_PlannedOrders[EffectiveQty]&gt;0)*T_PlannedOrders[Order_Month])),"m月")&amp;"発注)")</f>
        <v/>
      </c>
      <c r="CV1055">
        <f>IF(SUMIFS(T_PlannedOrders[EffectiveQty],T_PlannedOrders[Part Name],$A1049,T_PlannedOrders[WeekIndex],97)=0,"",SUMIFS(T_PlannedOrders[EffectiveQty],T_PlannedOrders[Part Name],$A1049,T_PlannedOrders[WeekIndex],97)&amp;" ("&amp;TEXT(SUMPRODUCT(MAX((T_PlannedOrders[Part Name]=$A1049)*(T_PlannedOrders[WeekIndex]=97)*(T_PlannedOrders[EffectiveQty]&gt;0)*T_PlannedOrders[Order_Month])),"m月")&amp;"発注)")</f>
        <v/>
      </c>
      <c r="CW1055">
        <f>IF(SUMIFS(T_PlannedOrders[EffectiveQty],T_PlannedOrders[Part Name],$A1049,T_PlannedOrders[WeekIndex],98)=0,"",SUMIFS(T_PlannedOrders[EffectiveQty],T_PlannedOrders[Part Name],$A1049,T_PlannedOrders[WeekIndex],98)&amp;" ("&amp;TEXT(SUMPRODUCT(MAX((T_PlannedOrders[Part Name]=$A1049)*(T_PlannedOrders[WeekIndex]=98)*(T_PlannedOrders[EffectiveQty]&gt;0)*T_PlannedOrders[Order_Month])),"m月")&amp;"発注)")</f>
        <v/>
      </c>
      <c r="CX1055">
        <f>IF(SUMIFS(T_PlannedOrders[EffectiveQty],T_PlannedOrders[Part Name],$A1049,T_PlannedOrders[WeekIndex],99)=0,"",SUMIFS(T_PlannedOrders[EffectiveQty],T_PlannedOrders[Part Name],$A1049,T_PlannedOrders[WeekIndex],99)&amp;" ("&amp;TEXT(SUMPRODUCT(MAX((T_PlannedOrders[Part Name]=$A1049)*(T_PlannedOrders[WeekIndex]=99)*(T_PlannedOrders[EffectiveQty]&gt;0)*T_PlannedOrders[Order_Month])),"m月")&amp;"発注)")</f>
        <v/>
      </c>
      <c r="CY1055">
        <f>IF(SUMIFS(T_PlannedOrders[EffectiveQty],T_PlannedOrders[Part Name],$A1049,T_PlannedOrders[WeekIndex],100)=0,"",SUMIFS(T_PlannedOrders[EffectiveQty],T_PlannedOrders[Part Name],$A1049,T_PlannedOrders[WeekIndex],100)&amp;" ("&amp;TEXT(SUMPRODUCT(MAX((T_PlannedOrders[Part Name]=$A1049)*(T_PlannedOrders[WeekIndex]=100)*(T_PlannedOrders[EffectiveQty]&gt;0)*T_PlannedOrders[Order_Month])),"m月")&amp;"発注)")</f>
        <v/>
      </c>
      <c r="CZ1055">
        <f>IF(SUMIFS(T_PlannedOrders[EffectiveQty],T_PlannedOrders[Part Name],$A1049,T_PlannedOrders[WeekIndex],101)=0,"",SUMIFS(T_PlannedOrders[EffectiveQty],T_PlannedOrders[Part Name],$A1049,T_PlannedOrders[WeekIndex],101)&amp;" ("&amp;TEXT(SUMPRODUCT(MAX((T_PlannedOrders[Part Name]=$A1049)*(T_PlannedOrders[WeekIndex]=101)*(T_PlannedOrders[EffectiveQty]&gt;0)*T_PlannedOrders[Order_Month])),"m月")&amp;"発注)")</f>
        <v/>
      </c>
      <c r="DA1055">
        <f>IF(SUMIFS(T_PlannedOrders[EffectiveQty],T_PlannedOrders[Part Name],$A1049,T_PlannedOrders[WeekIndex],102)=0,"",SUMIFS(T_PlannedOrders[EffectiveQty],T_PlannedOrders[Part Name],$A1049,T_PlannedOrders[WeekIndex],102)&amp;" ("&amp;TEXT(SUMPRODUCT(MAX((T_PlannedOrders[Part Name]=$A1049)*(T_PlannedOrders[WeekIndex]=102)*(T_PlannedOrders[EffectiveQty]&gt;0)*T_PlannedOrders[Order_Month])),"m月")&amp;"発注)")</f>
        <v/>
      </c>
      <c r="DB1055">
        <f>IF(SUMIFS(T_PlannedOrders[EffectiveQty],T_PlannedOrders[Part Name],$A1049,T_PlannedOrders[WeekIndex],103)=0,"",SUMIFS(T_PlannedOrders[EffectiveQty],T_PlannedOrders[Part Name],$A1049,T_PlannedOrders[WeekIndex],103)&amp;" ("&amp;TEXT(SUMPRODUCT(MAX((T_PlannedOrders[Part Name]=$A1049)*(T_PlannedOrders[WeekIndex]=103)*(T_PlannedOrders[EffectiveQty]&gt;0)*T_PlannedOrders[Order_Month])),"m月")&amp;"発注)")</f>
        <v/>
      </c>
      <c r="DC1055">
        <f>IF(SUMIFS(T_PlannedOrders[EffectiveQty],T_PlannedOrders[Part Name],$A1049,T_PlannedOrders[WeekIndex],104)=0,"",SUMIFS(T_PlannedOrders[EffectiveQty],T_PlannedOrders[Part Name],$A1049,T_PlannedOrders[WeekIndex],104)&amp;" ("&amp;TEXT(SUMPRODUCT(MAX((T_PlannedOrders[Part Name]=$A1049)*(T_PlannedOrders[WeekIndex]=104)*(T_PlannedOrders[EffectiveQty]&gt;0)*T_PlannedOrders[Order_Month])),"m月")&amp;"発注)")</f>
        <v/>
      </c>
    </row>
    <row r="1056">
      <c r="B1056" s="4" t="inlineStr">
        <is>
          <t>合計在庫(週末時点,kg)</t>
        </is>
      </c>
      <c r="D1056">
        <f>'Grid_Stock'!B37</f>
        <v/>
      </c>
      <c r="E1056">
        <f>'Grid_Stock'!C37</f>
        <v/>
      </c>
      <c r="F1056">
        <f>'Grid_Stock'!D37</f>
        <v/>
      </c>
      <c r="G1056">
        <f>'Grid_Stock'!E37</f>
        <v/>
      </c>
      <c r="H1056">
        <f>'Grid_Stock'!F37</f>
        <v/>
      </c>
      <c r="I1056">
        <f>'Grid_Stock'!G37</f>
        <v/>
      </c>
      <c r="J1056">
        <f>'Grid_Stock'!H37</f>
        <v/>
      </c>
      <c r="K1056">
        <f>'Grid_Stock'!I37</f>
        <v/>
      </c>
      <c r="L1056">
        <f>'Grid_Stock'!J37</f>
        <v/>
      </c>
      <c r="M1056">
        <f>'Grid_Stock'!K37</f>
        <v/>
      </c>
      <c r="N1056">
        <f>'Grid_Stock'!L37</f>
        <v/>
      </c>
      <c r="O1056">
        <f>'Grid_Stock'!M37</f>
        <v/>
      </c>
      <c r="P1056">
        <f>'Grid_Stock'!N37</f>
        <v/>
      </c>
      <c r="Q1056">
        <f>'Grid_Stock'!O37</f>
        <v/>
      </c>
      <c r="R1056">
        <f>'Grid_Stock'!P37</f>
        <v/>
      </c>
      <c r="S1056">
        <f>'Grid_Stock'!Q37</f>
        <v/>
      </c>
      <c r="T1056">
        <f>'Grid_Stock'!R37</f>
        <v/>
      </c>
      <c r="U1056">
        <f>'Grid_Stock'!S37</f>
        <v/>
      </c>
      <c r="V1056">
        <f>'Grid_Stock'!T37</f>
        <v/>
      </c>
      <c r="W1056">
        <f>'Grid_Stock'!U37</f>
        <v/>
      </c>
      <c r="X1056">
        <f>'Grid_Stock'!V37</f>
        <v/>
      </c>
      <c r="Y1056">
        <f>'Grid_Stock'!W37</f>
        <v/>
      </c>
      <c r="Z1056">
        <f>'Grid_Stock'!X37</f>
        <v/>
      </c>
      <c r="AA1056">
        <f>'Grid_Stock'!Y37</f>
        <v/>
      </c>
      <c r="AB1056">
        <f>'Grid_Stock'!Z37</f>
        <v/>
      </c>
      <c r="AC1056">
        <f>'Grid_Stock'!AA37</f>
        <v/>
      </c>
      <c r="AD1056">
        <f>'Grid_Stock'!AB37</f>
        <v/>
      </c>
      <c r="AE1056">
        <f>'Grid_Stock'!AC37</f>
        <v/>
      </c>
      <c r="AF1056">
        <f>'Grid_Stock'!AD37</f>
        <v/>
      </c>
      <c r="AG1056">
        <f>'Grid_Stock'!AE37</f>
        <v/>
      </c>
      <c r="AH1056">
        <f>'Grid_Stock'!AF37</f>
        <v/>
      </c>
      <c r="AI1056">
        <f>'Grid_Stock'!AG37</f>
        <v/>
      </c>
      <c r="AJ1056">
        <f>'Grid_Stock'!AH37</f>
        <v/>
      </c>
      <c r="AK1056">
        <f>'Grid_Stock'!AI37</f>
        <v/>
      </c>
      <c r="AL1056">
        <f>'Grid_Stock'!AJ37</f>
        <v/>
      </c>
      <c r="AM1056">
        <f>'Grid_Stock'!AK37</f>
        <v/>
      </c>
      <c r="AN1056">
        <f>'Grid_Stock'!AL37</f>
        <v/>
      </c>
      <c r="AO1056">
        <f>'Grid_Stock'!AM37</f>
        <v/>
      </c>
      <c r="AP1056">
        <f>'Grid_Stock'!AN37</f>
        <v/>
      </c>
      <c r="AQ1056">
        <f>'Grid_Stock'!AO37</f>
        <v/>
      </c>
      <c r="AR1056">
        <f>'Grid_Stock'!AP37</f>
        <v/>
      </c>
      <c r="AS1056">
        <f>'Grid_Stock'!AQ37</f>
        <v/>
      </c>
      <c r="AT1056">
        <f>'Grid_Stock'!AR37</f>
        <v/>
      </c>
      <c r="AU1056">
        <f>'Grid_Stock'!AS37</f>
        <v/>
      </c>
      <c r="AV1056">
        <f>'Grid_Stock'!AT37</f>
        <v/>
      </c>
      <c r="AW1056">
        <f>'Grid_Stock'!AU37</f>
        <v/>
      </c>
      <c r="AX1056">
        <f>'Grid_Stock'!AV37</f>
        <v/>
      </c>
      <c r="AY1056">
        <f>'Grid_Stock'!AW37</f>
        <v/>
      </c>
      <c r="AZ1056">
        <f>'Grid_Stock'!AX37</f>
        <v/>
      </c>
      <c r="BA1056">
        <f>'Grid_Stock'!AY37</f>
        <v/>
      </c>
      <c r="BB1056">
        <f>'Grid_Stock'!AZ37</f>
        <v/>
      </c>
      <c r="BC1056">
        <f>'Grid_Stock'!BA37</f>
        <v/>
      </c>
      <c r="BD1056">
        <f>'Grid_Stock'!BB37</f>
        <v/>
      </c>
      <c r="BE1056">
        <f>'Grid_Stock'!BC37</f>
        <v/>
      </c>
      <c r="BF1056">
        <f>'Grid_Stock'!BD37</f>
        <v/>
      </c>
      <c r="BG1056">
        <f>'Grid_Stock'!BE37</f>
        <v/>
      </c>
      <c r="BH1056">
        <f>'Grid_Stock'!BF37</f>
        <v/>
      </c>
      <c r="BI1056">
        <f>'Grid_Stock'!BG37</f>
        <v/>
      </c>
      <c r="BJ1056">
        <f>'Grid_Stock'!BH37</f>
        <v/>
      </c>
      <c r="BK1056">
        <f>'Grid_Stock'!BI37</f>
        <v/>
      </c>
      <c r="BL1056">
        <f>'Grid_Stock'!BJ37</f>
        <v/>
      </c>
      <c r="BM1056">
        <f>'Grid_Stock'!BK37</f>
        <v/>
      </c>
      <c r="BN1056">
        <f>'Grid_Stock'!BL37</f>
        <v/>
      </c>
      <c r="BO1056">
        <f>'Grid_Stock'!BM37</f>
        <v/>
      </c>
      <c r="BP1056">
        <f>'Grid_Stock'!BN37</f>
        <v/>
      </c>
      <c r="BQ1056">
        <f>'Grid_Stock'!BO37</f>
        <v/>
      </c>
      <c r="BR1056">
        <f>'Grid_Stock'!BP37</f>
        <v/>
      </c>
      <c r="BS1056">
        <f>'Grid_Stock'!BQ37</f>
        <v/>
      </c>
      <c r="BT1056">
        <f>'Grid_Stock'!BR37</f>
        <v/>
      </c>
      <c r="BU1056">
        <f>'Grid_Stock'!BS37</f>
        <v/>
      </c>
      <c r="BV1056">
        <f>'Grid_Stock'!BT37</f>
        <v/>
      </c>
      <c r="BW1056">
        <f>'Grid_Stock'!BU37</f>
        <v/>
      </c>
      <c r="BX1056">
        <f>'Grid_Stock'!BV37</f>
        <v/>
      </c>
      <c r="BY1056">
        <f>'Grid_Stock'!BW37</f>
        <v/>
      </c>
      <c r="BZ1056">
        <f>'Grid_Stock'!BX37</f>
        <v/>
      </c>
      <c r="CA1056">
        <f>'Grid_Stock'!BY37</f>
        <v/>
      </c>
      <c r="CB1056">
        <f>'Grid_Stock'!BZ37</f>
        <v/>
      </c>
      <c r="CC1056">
        <f>'Grid_Stock'!CA37</f>
        <v/>
      </c>
      <c r="CD1056">
        <f>'Grid_Stock'!CB37</f>
        <v/>
      </c>
      <c r="CE1056">
        <f>'Grid_Stock'!CC37</f>
        <v/>
      </c>
      <c r="CF1056">
        <f>'Grid_Stock'!CD37</f>
        <v/>
      </c>
      <c r="CG1056">
        <f>'Grid_Stock'!CE37</f>
        <v/>
      </c>
      <c r="CH1056">
        <f>'Grid_Stock'!CF37</f>
        <v/>
      </c>
      <c r="CI1056">
        <f>'Grid_Stock'!CG37</f>
        <v/>
      </c>
      <c r="CJ1056">
        <f>'Grid_Stock'!CH37</f>
        <v/>
      </c>
      <c r="CK1056">
        <f>'Grid_Stock'!CI37</f>
        <v/>
      </c>
      <c r="CL1056">
        <f>'Grid_Stock'!CJ37</f>
        <v/>
      </c>
      <c r="CM1056">
        <f>'Grid_Stock'!CK37</f>
        <v/>
      </c>
      <c r="CN1056">
        <f>'Grid_Stock'!CL37</f>
        <v/>
      </c>
      <c r="CO1056">
        <f>'Grid_Stock'!CM37</f>
        <v/>
      </c>
      <c r="CP1056">
        <f>'Grid_Stock'!CN37</f>
        <v/>
      </c>
      <c r="CQ1056">
        <f>'Grid_Stock'!CO37</f>
        <v/>
      </c>
      <c r="CR1056">
        <f>'Grid_Stock'!CP37</f>
        <v/>
      </c>
      <c r="CS1056">
        <f>'Grid_Stock'!CQ37</f>
        <v/>
      </c>
      <c r="CT1056">
        <f>'Grid_Stock'!CR37</f>
        <v/>
      </c>
      <c r="CU1056">
        <f>'Grid_Stock'!CS37</f>
        <v/>
      </c>
      <c r="CV1056">
        <f>'Grid_Stock'!CT37</f>
        <v/>
      </c>
      <c r="CW1056">
        <f>'Grid_Stock'!CU37</f>
        <v/>
      </c>
      <c r="CX1056">
        <f>'Grid_Stock'!CV37</f>
        <v/>
      </c>
      <c r="CY1056">
        <f>'Grid_Stock'!CW37</f>
        <v/>
      </c>
      <c r="CZ1056">
        <f>'Grid_Stock'!CX37</f>
        <v/>
      </c>
      <c r="DA1056">
        <f>'Grid_Stock'!CY37</f>
        <v/>
      </c>
      <c r="DB1056">
        <f>'Grid_Stock'!CZ37</f>
        <v/>
      </c>
      <c r="DC1056">
        <f>'Grid_Stock'!DA37</f>
        <v/>
      </c>
    </row>
    <row r="1057">
      <c r="B1057" s="16" t="inlineStr">
        <is>
          <t>（発注の目安はDashboardの基準在庫[下限/上限]と色分けを参照）</t>
        </is>
      </c>
    </row>
    <row r="1059">
      <c r="A1059" s="14" t="inlineStr">
        <is>
          <t>Ester Film</t>
        </is>
      </c>
      <c r="B1059" s="14" t="inlineStr">
        <is>
          <t>Ester Film</t>
        </is>
      </c>
      <c r="C1059" s="15" t="n"/>
      <c r="D1059" s="14" t="n"/>
      <c r="E1059" s="14" t="n"/>
      <c r="F1059" s="14" t="n"/>
      <c r="G1059" s="14" t="n"/>
      <c r="H1059" s="14" t="n"/>
      <c r="I1059" s="14" t="n"/>
      <c r="J1059" s="14" t="n"/>
      <c r="K1059" s="14" t="n"/>
      <c r="L1059" s="14" t="n"/>
      <c r="M1059" s="14" t="n"/>
      <c r="N1059" s="14" t="n"/>
      <c r="O1059" s="14" t="n"/>
      <c r="P1059" s="14" t="n"/>
      <c r="Q1059" s="14" t="n"/>
      <c r="R1059" s="14" t="n"/>
      <c r="S1059" s="14" t="n"/>
      <c r="T1059" s="14" t="n"/>
      <c r="U1059" s="14" t="n"/>
      <c r="V1059" s="14" t="n"/>
      <c r="W1059" s="14" t="n"/>
      <c r="X1059" s="14" t="n"/>
      <c r="Y1059" s="14" t="n"/>
      <c r="Z1059" s="14" t="n"/>
      <c r="AA1059" s="14" t="n"/>
      <c r="AB1059" s="14" t="n"/>
      <c r="AC1059" s="14" t="n"/>
      <c r="AD1059" s="14" t="n"/>
      <c r="AE1059" s="14" t="n"/>
      <c r="AF1059" s="14" t="n"/>
      <c r="AG1059" s="14" t="n"/>
      <c r="AH1059" s="14" t="n"/>
      <c r="AI1059" s="14" t="n"/>
      <c r="AJ1059" s="14" t="n"/>
      <c r="AK1059" s="14" t="n"/>
      <c r="AL1059" s="14" t="n"/>
      <c r="AM1059" s="14" t="n"/>
      <c r="AN1059" s="14" t="n"/>
      <c r="AO1059" s="14" t="n"/>
      <c r="AP1059" s="14" t="n"/>
      <c r="AQ1059" s="14" t="n"/>
      <c r="AR1059" s="14" t="n"/>
      <c r="AS1059" s="14" t="n"/>
      <c r="AT1059" s="14" t="n"/>
      <c r="AU1059" s="14" t="n"/>
      <c r="AV1059" s="14" t="n"/>
      <c r="AW1059" s="14" t="n"/>
      <c r="AX1059" s="14" t="n"/>
      <c r="AY1059" s="14" t="n"/>
      <c r="AZ1059" s="14" t="n"/>
      <c r="BA1059" s="14" t="n"/>
      <c r="BB1059" s="14" t="n"/>
      <c r="BC1059" s="14" t="n"/>
      <c r="BD1059" s="14" t="n"/>
      <c r="BE1059" s="14" t="n"/>
      <c r="BF1059" s="14" t="n"/>
      <c r="BG1059" s="14" t="n"/>
      <c r="BH1059" s="14" t="n"/>
      <c r="BI1059" s="14" t="n"/>
      <c r="BJ1059" s="14" t="n"/>
      <c r="BK1059" s="14" t="n"/>
      <c r="BL1059" s="14" t="n"/>
      <c r="BM1059" s="14" t="n"/>
      <c r="BN1059" s="14" t="n"/>
      <c r="BO1059" s="14" t="n"/>
      <c r="BP1059" s="14" t="n"/>
      <c r="BQ1059" s="14" t="n"/>
      <c r="BR1059" s="14" t="n"/>
      <c r="BS1059" s="14" t="n"/>
      <c r="BT1059" s="14" t="n"/>
      <c r="BU1059" s="14" t="n"/>
      <c r="BV1059" s="14" t="n"/>
      <c r="BW1059" s="14" t="n"/>
      <c r="BX1059" s="14" t="n"/>
      <c r="BY1059" s="14" t="n"/>
      <c r="BZ1059" s="14" t="n"/>
      <c r="CA1059" s="14" t="n"/>
      <c r="CB1059" s="14" t="n"/>
      <c r="CC1059" s="14" t="n"/>
      <c r="CD1059" s="14" t="n"/>
      <c r="CE1059" s="14" t="n"/>
      <c r="CF1059" s="14" t="n"/>
      <c r="CG1059" s="14" t="n"/>
      <c r="CH1059" s="14" t="n"/>
      <c r="CI1059" s="14" t="n"/>
      <c r="CJ1059" s="14" t="n"/>
      <c r="CK1059" s="14" t="n"/>
      <c r="CL1059" s="14" t="n"/>
      <c r="CM1059" s="14" t="n"/>
      <c r="CN1059" s="14" t="n"/>
      <c r="CO1059" s="14" t="n"/>
      <c r="CP1059" s="14" t="n"/>
      <c r="CQ1059" s="14" t="n"/>
      <c r="CR1059" s="14" t="n"/>
      <c r="CS1059" s="14" t="n"/>
      <c r="CT1059" s="14" t="n"/>
      <c r="CU1059" s="14" t="n"/>
      <c r="CV1059" s="14" t="n"/>
      <c r="CW1059" s="14" t="n"/>
      <c r="CX1059" s="14" t="n"/>
      <c r="CY1059" s="14" t="n"/>
      <c r="CZ1059" s="14" t="n"/>
      <c r="DA1059" s="14" t="n"/>
      <c r="DB1059" s="14" t="n"/>
      <c r="DC1059" s="14" t="n"/>
    </row>
    <row r="1060">
      <c r="B1060" t="inlineStr">
        <is>
          <t>Ester Film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7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Name],$A1059)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s="4" t="inlineStr">
        <is>
          <t>合計使用量(kg)/週</t>
        </is>
      </c>
      <c r="D1062">
        <f>'Grid_Requirement'!B38</f>
        <v/>
      </c>
      <c r="E1062">
        <f>'Grid_Requirement'!C38</f>
        <v/>
      </c>
      <c r="F1062">
        <f>'Grid_Requirement'!D38</f>
        <v/>
      </c>
      <c r="G1062">
        <f>'Grid_Requirement'!E38</f>
        <v/>
      </c>
      <c r="H1062">
        <f>'Grid_Requirement'!F38</f>
        <v/>
      </c>
      <c r="I1062">
        <f>'Grid_Requirement'!G38</f>
        <v/>
      </c>
      <c r="J1062">
        <f>'Grid_Requirement'!H38</f>
        <v/>
      </c>
      <c r="K1062">
        <f>'Grid_Requirement'!I38</f>
        <v/>
      </c>
      <c r="L1062">
        <f>'Grid_Requirement'!J38</f>
        <v/>
      </c>
      <c r="M1062">
        <f>'Grid_Requirement'!K38</f>
        <v/>
      </c>
      <c r="N1062">
        <f>'Grid_Requirement'!L38</f>
        <v/>
      </c>
      <c r="O1062">
        <f>'Grid_Requirement'!M38</f>
        <v/>
      </c>
      <c r="P1062">
        <f>'Grid_Requirement'!N38</f>
        <v/>
      </c>
      <c r="Q1062">
        <f>'Grid_Requirement'!O38</f>
        <v/>
      </c>
      <c r="R1062">
        <f>'Grid_Requirement'!P38</f>
        <v/>
      </c>
      <c r="S1062">
        <f>'Grid_Requirement'!Q38</f>
        <v/>
      </c>
      <c r="T1062">
        <f>'Grid_Requirement'!R38</f>
        <v/>
      </c>
      <c r="U1062">
        <f>'Grid_Requirement'!S38</f>
        <v/>
      </c>
      <c r="V1062">
        <f>'Grid_Requirement'!T38</f>
        <v/>
      </c>
      <c r="W1062">
        <f>'Grid_Requirement'!U38</f>
        <v/>
      </c>
      <c r="X1062">
        <f>'Grid_Requirement'!V38</f>
        <v/>
      </c>
      <c r="Y1062">
        <f>'Grid_Requirement'!W38</f>
        <v/>
      </c>
      <c r="Z1062">
        <f>'Grid_Requirement'!X38</f>
        <v/>
      </c>
      <c r="AA1062">
        <f>'Grid_Requirement'!Y38</f>
        <v/>
      </c>
      <c r="AB1062">
        <f>'Grid_Requirement'!Z38</f>
        <v/>
      </c>
      <c r="AC1062">
        <f>'Grid_Requirement'!AA38</f>
        <v/>
      </c>
      <c r="AD1062">
        <f>'Grid_Requirement'!AB38</f>
        <v/>
      </c>
      <c r="AE1062">
        <f>'Grid_Requirement'!AC38</f>
        <v/>
      </c>
      <c r="AF1062">
        <f>'Grid_Requirement'!AD38</f>
        <v/>
      </c>
      <c r="AG1062">
        <f>'Grid_Requirement'!AE38</f>
        <v/>
      </c>
      <c r="AH1062">
        <f>'Grid_Requirement'!AF38</f>
        <v/>
      </c>
      <c r="AI1062">
        <f>'Grid_Requirement'!AG38</f>
        <v/>
      </c>
      <c r="AJ1062">
        <f>'Grid_Requirement'!AH38</f>
        <v/>
      </c>
      <c r="AK1062">
        <f>'Grid_Requirement'!AI38</f>
        <v/>
      </c>
      <c r="AL1062">
        <f>'Grid_Requirement'!AJ38</f>
        <v/>
      </c>
      <c r="AM1062">
        <f>'Grid_Requirement'!AK38</f>
        <v/>
      </c>
      <c r="AN1062">
        <f>'Grid_Requirement'!AL38</f>
        <v/>
      </c>
      <c r="AO1062">
        <f>'Grid_Requirement'!AM38</f>
        <v/>
      </c>
      <c r="AP1062">
        <f>'Grid_Requirement'!AN38</f>
        <v/>
      </c>
      <c r="AQ1062">
        <f>'Grid_Requirement'!AO38</f>
        <v/>
      </c>
      <c r="AR1062">
        <f>'Grid_Requirement'!AP38</f>
        <v/>
      </c>
      <c r="AS1062">
        <f>'Grid_Requirement'!AQ38</f>
        <v/>
      </c>
      <c r="AT1062">
        <f>'Grid_Requirement'!AR38</f>
        <v/>
      </c>
      <c r="AU1062">
        <f>'Grid_Requirement'!AS38</f>
        <v/>
      </c>
      <c r="AV1062">
        <f>'Grid_Requirement'!AT38</f>
        <v/>
      </c>
      <c r="AW1062">
        <f>'Grid_Requirement'!AU38</f>
        <v/>
      </c>
      <c r="AX1062">
        <f>'Grid_Requirement'!AV38</f>
        <v/>
      </c>
      <c r="AY1062">
        <f>'Grid_Requirement'!AW38</f>
        <v/>
      </c>
      <c r="AZ1062">
        <f>'Grid_Requirement'!AX38</f>
        <v/>
      </c>
      <c r="BA1062">
        <f>'Grid_Requirement'!AY38</f>
        <v/>
      </c>
      <c r="BB1062">
        <f>'Grid_Requirement'!AZ38</f>
        <v/>
      </c>
      <c r="BC1062">
        <f>'Grid_Requirement'!BA38</f>
        <v/>
      </c>
      <c r="BD1062">
        <f>'Grid_Requirement'!BB38</f>
        <v/>
      </c>
      <c r="BE1062">
        <f>'Grid_Requirement'!BC38</f>
        <v/>
      </c>
      <c r="BF1062">
        <f>'Grid_Requirement'!BD38</f>
        <v/>
      </c>
      <c r="BG1062">
        <f>'Grid_Requirement'!BE38</f>
        <v/>
      </c>
      <c r="BH1062">
        <f>'Grid_Requirement'!BF38</f>
        <v/>
      </c>
      <c r="BI1062">
        <f>'Grid_Requirement'!BG38</f>
        <v/>
      </c>
      <c r="BJ1062">
        <f>'Grid_Requirement'!BH38</f>
        <v/>
      </c>
      <c r="BK1062">
        <f>'Grid_Requirement'!BI38</f>
        <v/>
      </c>
      <c r="BL1062">
        <f>'Grid_Requirement'!BJ38</f>
        <v/>
      </c>
      <c r="BM1062">
        <f>'Grid_Requirement'!BK38</f>
        <v/>
      </c>
      <c r="BN1062">
        <f>'Grid_Requirement'!BL38</f>
        <v/>
      </c>
      <c r="BO1062">
        <f>'Grid_Requirement'!BM38</f>
        <v/>
      </c>
      <c r="BP1062">
        <f>'Grid_Requirement'!BN38</f>
        <v/>
      </c>
      <c r="BQ1062">
        <f>'Grid_Requirement'!BO38</f>
        <v/>
      </c>
      <c r="BR1062">
        <f>'Grid_Requirement'!BP38</f>
        <v/>
      </c>
      <c r="BS1062">
        <f>'Grid_Requirement'!BQ38</f>
        <v/>
      </c>
      <c r="BT1062">
        <f>'Grid_Requirement'!BR38</f>
        <v/>
      </c>
      <c r="BU1062">
        <f>'Grid_Requirement'!BS38</f>
        <v/>
      </c>
      <c r="BV1062">
        <f>'Grid_Requirement'!BT38</f>
        <v/>
      </c>
      <c r="BW1062">
        <f>'Grid_Requirement'!BU38</f>
        <v/>
      </c>
      <c r="BX1062">
        <f>'Grid_Requirement'!BV38</f>
        <v/>
      </c>
      <c r="BY1062">
        <f>'Grid_Requirement'!BW38</f>
        <v/>
      </c>
      <c r="BZ1062">
        <f>'Grid_Requirement'!BX38</f>
        <v/>
      </c>
      <c r="CA1062">
        <f>'Grid_Requirement'!BY38</f>
        <v/>
      </c>
      <c r="CB1062">
        <f>'Grid_Requirement'!BZ38</f>
        <v/>
      </c>
      <c r="CC1062">
        <f>'Grid_Requirement'!CA38</f>
        <v/>
      </c>
      <c r="CD1062">
        <f>'Grid_Requirement'!CB38</f>
        <v/>
      </c>
      <c r="CE1062">
        <f>'Grid_Requirement'!CC38</f>
        <v/>
      </c>
      <c r="CF1062">
        <f>'Grid_Requirement'!CD38</f>
        <v/>
      </c>
      <c r="CG1062">
        <f>'Grid_Requirement'!CE38</f>
        <v/>
      </c>
      <c r="CH1062">
        <f>'Grid_Requirement'!CF38</f>
        <v/>
      </c>
      <c r="CI1062">
        <f>'Grid_Requirement'!CG38</f>
        <v/>
      </c>
      <c r="CJ1062">
        <f>'Grid_Requirement'!CH38</f>
        <v/>
      </c>
      <c r="CK1062">
        <f>'Grid_Requirement'!CI38</f>
        <v/>
      </c>
      <c r="CL1062">
        <f>'Grid_Requirement'!CJ38</f>
        <v/>
      </c>
      <c r="CM1062">
        <f>'Grid_Requirement'!CK38</f>
        <v/>
      </c>
      <c r="CN1062">
        <f>'Grid_Requirement'!CL38</f>
        <v/>
      </c>
      <c r="CO1062">
        <f>'Grid_Requirement'!CM38</f>
        <v/>
      </c>
      <c r="CP1062">
        <f>'Grid_Requirement'!CN38</f>
        <v/>
      </c>
      <c r="CQ1062">
        <f>'Grid_Requirement'!CO38</f>
        <v/>
      </c>
      <c r="CR1062">
        <f>'Grid_Requirement'!CP38</f>
        <v/>
      </c>
      <c r="CS1062">
        <f>'Grid_Requirement'!CQ38</f>
        <v/>
      </c>
      <c r="CT1062">
        <f>'Grid_Requirement'!CR38</f>
        <v/>
      </c>
      <c r="CU1062">
        <f>'Grid_Requirement'!CS38</f>
        <v/>
      </c>
      <c r="CV1062">
        <f>'Grid_Requirement'!CT38</f>
        <v/>
      </c>
      <c r="CW1062">
        <f>'Grid_Requirement'!CU38</f>
        <v/>
      </c>
      <c r="CX1062">
        <f>'Grid_Requirement'!CV38</f>
        <v/>
      </c>
      <c r="CY1062">
        <f>'Grid_Requirement'!CW38</f>
        <v/>
      </c>
      <c r="CZ1062">
        <f>'Grid_Requirement'!CX38</f>
        <v/>
      </c>
      <c r="DA1062">
        <f>'Grid_Requirement'!CY38</f>
        <v/>
      </c>
      <c r="DB1062">
        <f>'Grid_Requirement'!CZ38</f>
        <v/>
      </c>
      <c r="DC1062">
        <f>'Grid_Requirement'!DA38</f>
        <v/>
      </c>
    </row>
    <row r="1063">
      <c r="B1063" t="inlineStr">
        <is>
          <t>TTAF在庫(実績,kg)</t>
        </is>
      </c>
      <c r="D1063">
        <f>'T_TTAFStock'!B42</f>
        <v/>
      </c>
      <c r="E1063">
        <f>'T_TTAFStock'!C42</f>
        <v/>
      </c>
      <c r="F1063">
        <f>'T_TTAFStock'!D42</f>
        <v/>
      </c>
      <c r="G1063">
        <f>'T_TTAFStock'!E42</f>
        <v/>
      </c>
      <c r="H1063">
        <f>'T_TTAFStock'!F42</f>
        <v/>
      </c>
      <c r="I1063">
        <f>'T_TTAFStock'!G42</f>
        <v/>
      </c>
      <c r="J1063">
        <f>'T_TTAFStock'!H42</f>
        <v/>
      </c>
      <c r="K1063">
        <f>'T_TTAFStock'!I42</f>
        <v/>
      </c>
      <c r="L1063">
        <f>'T_TTAFStock'!J42</f>
        <v/>
      </c>
      <c r="M1063">
        <f>'T_TTAFStock'!K42</f>
        <v/>
      </c>
      <c r="N1063">
        <f>'T_TTAFStock'!L42</f>
        <v/>
      </c>
      <c r="O1063">
        <f>'T_TTAFStock'!M42</f>
        <v/>
      </c>
      <c r="P1063">
        <f>'T_TTAFStock'!N42</f>
        <v/>
      </c>
      <c r="Q1063">
        <f>'T_TTAFStock'!O42</f>
        <v/>
      </c>
      <c r="R1063">
        <f>'T_TTAFStock'!P42</f>
        <v/>
      </c>
      <c r="S1063">
        <f>'T_TTAFStock'!Q42</f>
        <v/>
      </c>
      <c r="T1063">
        <f>'T_TTAFStock'!R42</f>
        <v/>
      </c>
      <c r="U1063">
        <f>'T_TTAFStock'!S42</f>
        <v/>
      </c>
      <c r="V1063">
        <f>'T_TTAFStock'!T42</f>
        <v/>
      </c>
      <c r="W1063">
        <f>'T_TTAFStock'!U42</f>
        <v/>
      </c>
      <c r="X1063">
        <f>'T_TTAFStock'!V42</f>
        <v/>
      </c>
      <c r="Y1063">
        <f>'T_TTAFStock'!W42</f>
        <v/>
      </c>
      <c r="Z1063">
        <f>'T_TTAFStock'!X42</f>
        <v/>
      </c>
      <c r="AA1063">
        <f>'T_TTAFStock'!Y42</f>
        <v/>
      </c>
      <c r="AB1063">
        <f>'T_TTAFStock'!Z42</f>
        <v/>
      </c>
      <c r="AC1063">
        <f>'T_TTAFStock'!AA42</f>
        <v/>
      </c>
      <c r="AD1063">
        <f>'T_TTAFStock'!AB42</f>
        <v/>
      </c>
      <c r="AE1063">
        <f>'T_TTAFStock'!AC42</f>
        <v/>
      </c>
      <c r="AF1063">
        <f>'T_TTAFStock'!AD42</f>
        <v/>
      </c>
      <c r="AG1063">
        <f>'T_TTAFStock'!AE42</f>
        <v/>
      </c>
      <c r="AH1063">
        <f>'T_TTAFStock'!AF42</f>
        <v/>
      </c>
      <c r="AI1063">
        <f>'T_TTAFStock'!AG42</f>
        <v/>
      </c>
      <c r="AJ1063">
        <f>'T_TTAFStock'!AH42</f>
        <v/>
      </c>
      <c r="AK1063">
        <f>'T_TTAFStock'!AI42</f>
        <v/>
      </c>
      <c r="AL1063">
        <f>'T_TTAFStock'!AJ42</f>
        <v/>
      </c>
      <c r="AM1063">
        <f>'T_TTAFStock'!AK42</f>
        <v/>
      </c>
      <c r="AN1063">
        <f>'T_TTAFStock'!AL42</f>
        <v/>
      </c>
      <c r="AO1063">
        <f>'T_TTAFStock'!AM42</f>
        <v/>
      </c>
      <c r="AP1063">
        <f>'T_TTAFStock'!AN42</f>
        <v/>
      </c>
      <c r="AQ1063">
        <f>'T_TTAFStock'!AO42</f>
        <v/>
      </c>
      <c r="AR1063">
        <f>'T_TTAFStock'!AP42</f>
        <v/>
      </c>
      <c r="AS1063">
        <f>'T_TTAFStock'!AQ42</f>
        <v/>
      </c>
      <c r="AT1063">
        <f>'T_TTAFStock'!AR42</f>
        <v/>
      </c>
      <c r="AU1063">
        <f>'T_TTAFStock'!AS42</f>
        <v/>
      </c>
      <c r="AV1063">
        <f>'T_TTAFStock'!AT42</f>
        <v/>
      </c>
      <c r="AW1063">
        <f>'T_TTAFStock'!AU42</f>
        <v/>
      </c>
      <c r="AX1063">
        <f>'T_TTAFStock'!AV42</f>
        <v/>
      </c>
      <c r="AY1063">
        <f>'T_TTAFStock'!AW42</f>
        <v/>
      </c>
      <c r="AZ1063">
        <f>'T_TTAFStock'!AX42</f>
        <v/>
      </c>
      <c r="BA1063">
        <f>'T_TTAFStock'!AY42</f>
        <v/>
      </c>
      <c r="BB1063">
        <f>'T_TTAFStock'!AZ42</f>
        <v/>
      </c>
      <c r="BC1063">
        <f>'T_TTAFStock'!BA42</f>
        <v/>
      </c>
      <c r="BD1063">
        <f>'T_TTAFStock'!BB42</f>
        <v/>
      </c>
      <c r="BE1063">
        <f>'T_TTAFStock'!BC42</f>
        <v/>
      </c>
      <c r="BF1063">
        <f>'T_TTAFStock'!BD42</f>
        <v/>
      </c>
      <c r="BG1063">
        <f>'T_TTAFStock'!BE42</f>
        <v/>
      </c>
      <c r="BH1063">
        <f>'T_TTAFStock'!BF42</f>
        <v/>
      </c>
      <c r="BI1063">
        <f>'T_TTAFStock'!BG42</f>
        <v/>
      </c>
      <c r="BJ1063">
        <f>'T_TTAFStock'!BH42</f>
        <v/>
      </c>
      <c r="BK1063">
        <f>'T_TTAFStock'!BI42</f>
        <v/>
      </c>
      <c r="BL1063">
        <f>'T_TTAFStock'!BJ42</f>
        <v/>
      </c>
      <c r="BM1063">
        <f>'T_TTAFStock'!BK42</f>
        <v/>
      </c>
      <c r="BN1063">
        <f>'T_TTAFStock'!BL42</f>
        <v/>
      </c>
      <c r="BO1063">
        <f>'T_TTAFStock'!BM42</f>
        <v/>
      </c>
      <c r="BP1063">
        <f>'T_TTAFStock'!BN42</f>
        <v/>
      </c>
      <c r="BQ1063">
        <f>'T_TTAFStock'!BO42</f>
        <v/>
      </c>
      <c r="BR1063">
        <f>'T_TTAFStock'!BP42</f>
        <v/>
      </c>
      <c r="BS1063">
        <f>'T_TTAFStock'!BQ42</f>
        <v/>
      </c>
      <c r="BT1063">
        <f>'T_TTAFStock'!BR42</f>
        <v/>
      </c>
      <c r="BU1063">
        <f>'T_TTAFStock'!BS42</f>
        <v/>
      </c>
      <c r="BV1063">
        <f>'T_TTAFStock'!BT42</f>
        <v/>
      </c>
      <c r="BW1063">
        <f>'T_TTAFStock'!BU42</f>
        <v/>
      </c>
      <c r="BX1063">
        <f>'T_TTAFStock'!BV42</f>
        <v/>
      </c>
      <c r="BY1063">
        <f>'T_TTAFStock'!BW42</f>
        <v/>
      </c>
      <c r="BZ1063">
        <f>'T_TTAFStock'!BX42</f>
        <v/>
      </c>
      <c r="CA1063">
        <f>'T_TTAFStock'!BY42</f>
        <v/>
      </c>
      <c r="CB1063">
        <f>'T_TTAFStock'!BZ42</f>
        <v/>
      </c>
      <c r="CC1063">
        <f>'T_TTAFStock'!CA42</f>
        <v/>
      </c>
      <c r="CD1063">
        <f>'T_TTAFStock'!CB42</f>
        <v/>
      </c>
      <c r="CE1063">
        <f>'T_TTAFStock'!CC42</f>
        <v/>
      </c>
      <c r="CF1063">
        <f>'T_TTAFStock'!CD42</f>
        <v/>
      </c>
      <c r="CG1063">
        <f>'T_TTAFStock'!CE42</f>
        <v/>
      </c>
      <c r="CH1063">
        <f>'T_TTAFStock'!CF42</f>
        <v/>
      </c>
      <c r="CI1063">
        <f>'T_TTAFStock'!CG42</f>
        <v/>
      </c>
      <c r="CJ1063">
        <f>'T_TTAFStock'!CH42</f>
        <v/>
      </c>
      <c r="CK1063">
        <f>'T_TTAFStock'!CI42</f>
        <v/>
      </c>
      <c r="CL1063">
        <f>'T_TTAFStock'!CJ42</f>
        <v/>
      </c>
      <c r="CM1063">
        <f>'T_TTAFStock'!CK42</f>
        <v/>
      </c>
      <c r="CN1063">
        <f>'T_TTAFStock'!CL42</f>
        <v/>
      </c>
      <c r="CO1063">
        <f>'T_TTAFStock'!CM42</f>
        <v/>
      </c>
      <c r="CP1063">
        <f>'T_TTAFStock'!CN42</f>
        <v/>
      </c>
      <c r="CQ1063">
        <f>'T_TTAFStock'!CO42</f>
        <v/>
      </c>
      <c r="CR1063">
        <f>'T_TTAFStock'!CP42</f>
        <v/>
      </c>
      <c r="CS1063">
        <f>'T_TTAFStock'!CQ42</f>
        <v/>
      </c>
      <c r="CT1063">
        <f>'T_TTAFStock'!CR42</f>
        <v/>
      </c>
      <c r="CU1063">
        <f>'T_TTAFStock'!CS42</f>
        <v/>
      </c>
      <c r="CV1063">
        <f>'T_TTAFStock'!CT42</f>
        <v/>
      </c>
      <c r="CW1063">
        <f>'T_TTAFStock'!CU42</f>
        <v/>
      </c>
      <c r="CX1063">
        <f>'T_TTAFStock'!CV42</f>
        <v/>
      </c>
      <c r="CY1063">
        <f>'T_TTAFStock'!CW42</f>
        <v/>
      </c>
      <c r="CZ1063">
        <f>'T_TTAFStock'!CX42</f>
        <v/>
      </c>
      <c r="DA1063">
        <f>'T_TTAFStock'!CY42</f>
        <v/>
      </c>
      <c r="DB1063">
        <f>'T_TTAFStock'!CZ42</f>
        <v/>
      </c>
      <c r="DC1063">
        <f>'T_TTAFStock'!DA42</f>
        <v/>
      </c>
    </row>
    <row r="1064">
      <c r="B1064" t="inlineStr">
        <is>
          <t>自社在庫(実績,kg)</t>
        </is>
      </c>
      <c r="D1064">
        <f>'T_SelfStock'!B42</f>
        <v/>
      </c>
      <c r="E1064">
        <f>'T_SelfStock'!C42</f>
        <v/>
      </c>
      <c r="F1064">
        <f>'T_SelfStock'!D42</f>
        <v/>
      </c>
      <c r="G1064">
        <f>'T_SelfStock'!E42</f>
        <v/>
      </c>
      <c r="H1064">
        <f>'T_SelfStock'!F42</f>
        <v/>
      </c>
      <c r="I1064">
        <f>'T_SelfStock'!G42</f>
        <v/>
      </c>
      <c r="J1064">
        <f>'T_SelfStock'!H42</f>
        <v/>
      </c>
      <c r="K1064">
        <f>'T_SelfStock'!I42</f>
        <v/>
      </c>
      <c r="L1064">
        <f>'T_SelfStock'!J42</f>
        <v/>
      </c>
      <c r="M1064">
        <f>'T_SelfStock'!K42</f>
        <v/>
      </c>
      <c r="N1064">
        <f>'T_SelfStock'!L42</f>
        <v/>
      </c>
      <c r="O1064">
        <f>'T_SelfStock'!M42</f>
        <v/>
      </c>
      <c r="P1064">
        <f>'T_SelfStock'!N42</f>
        <v/>
      </c>
      <c r="Q1064">
        <f>'T_SelfStock'!O42</f>
        <v/>
      </c>
      <c r="R1064">
        <f>'T_SelfStock'!P42</f>
        <v/>
      </c>
      <c r="S1064">
        <f>'T_SelfStock'!Q42</f>
        <v/>
      </c>
      <c r="T1064">
        <f>'T_SelfStock'!R42</f>
        <v/>
      </c>
      <c r="U1064">
        <f>'T_SelfStock'!S42</f>
        <v/>
      </c>
      <c r="V1064">
        <f>'T_SelfStock'!T42</f>
        <v/>
      </c>
      <c r="W1064">
        <f>'T_SelfStock'!U42</f>
        <v/>
      </c>
      <c r="X1064">
        <f>'T_SelfStock'!V42</f>
        <v/>
      </c>
      <c r="Y1064">
        <f>'T_SelfStock'!W42</f>
        <v/>
      </c>
      <c r="Z1064">
        <f>'T_SelfStock'!X42</f>
        <v/>
      </c>
      <c r="AA1064">
        <f>'T_SelfStock'!Y42</f>
        <v/>
      </c>
      <c r="AB1064">
        <f>'T_SelfStock'!Z42</f>
        <v/>
      </c>
      <c r="AC1064">
        <f>'T_SelfStock'!AA42</f>
        <v/>
      </c>
      <c r="AD1064">
        <f>'T_SelfStock'!AB42</f>
        <v/>
      </c>
      <c r="AE1064">
        <f>'T_SelfStock'!AC42</f>
        <v/>
      </c>
      <c r="AF1064">
        <f>'T_SelfStock'!AD42</f>
        <v/>
      </c>
      <c r="AG1064">
        <f>'T_SelfStock'!AE42</f>
        <v/>
      </c>
      <c r="AH1064">
        <f>'T_SelfStock'!AF42</f>
        <v/>
      </c>
      <c r="AI1064">
        <f>'T_SelfStock'!AG42</f>
        <v/>
      </c>
      <c r="AJ1064">
        <f>'T_SelfStock'!AH42</f>
        <v/>
      </c>
      <c r="AK1064">
        <f>'T_SelfStock'!AI42</f>
        <v/>
      </c>
      <c r="AL1064">
        <f>'T_SelfStock'!AJ42</f>
        <v/>
      </c>
      <c r="AM1064">
        <f>'T_SelfStock'!AK42</f>
        <v/>
      </c>
      <c r="AN1064">
        <f>'T_SelfStock'!AL42</f>
        <v/>
      </c>
      <c r="AO1064">
        <f>'T_SelfStock'!AM42</f>
        <v/>
      </c>
      <c r="AP1064">
        <f>'T_SelfStock'!AN42</f>
        <v/>
      </c>
      <c r="AQ1064">
        <f>'T_SelfStock'!AO42</f>
        <v/>
      </c>
      <c r="AR1064">
        <f>'T_SelfStock'!AP42</f>
        <v/>
      </c>
      <c r="AS1064">
        <f>'T_SelfStock'!AQ42</f>
        <v/>
      </c>
      <c r="AT1064">
        <f>'T_SelfStock'!AR42</f>
        <v/>
      </c>
      <c r="AU1064">
        <f>'T_SelfStock'!AS42</f>
        <v/>
      </c>
      <c r="AV1064">
        <f>'T_SelfStock'!AT42</f>
        <v/>
      </c>
      <c r="AW1064">
        <f>'T_SelfStock'!AU42</f>
        <v/>
      </c>
      <c r="AX1064">
        <f>'T_SelfStock'!AV42</f>
        <v/>
      </c>
      <c r="AY1064">
        <f>'T_SelfStock'!AW42</f>
        <v/>
      </c>
      <c r="AZ1064">
        <f>'T_SelfStock'!AX42</f>
        <v/>
      </c>
      <c r="BA1064">
        <f>'T_SelfStock'!AY42</f>
        <v/>
      </c>
      <c r="BB1064">
        <f>'T_SelfStock'!AZ42</f>
        <v/>
      </c>
      <c r="BC1064">
        <f>'T_SelfStock'!BA42</f>
        <v/>
      </c>
      <c r="BD1064">
        <f>'T_SelfStock'!BB42</f>
        <v/>
      </c>
      <c r="BE1064">
        <f>'T_SelfStock'!BC42</f>
        <v/>
      </c>
      <c r="BF1064">
        <f>'T_SelfStock'!BD42</f>
        <v/>
      </c>
      <c r="BG1064">
        <f>'T_SelfStock'!BE42</f>
        <v/>
      </c>
      <c r="BH1064">
        <f>'T_SelfStock'!BF42</f>
        <v/>
      </c>
      <c r="BI1064">
        <f>'T_SelfStock'!BG42</f>
        <v/>
      </c>
      <c r="BJ1064">
        <f>'T_SelfStock'!BH42</f>
        <v/>
      </c>
      <c r="BK1064">
        <f>'T_SelfStock'!BI42</f>
        <v/>
      </c>
      <c r="BL1064">
        <f>'T_SelfStock'!BJ42</f>
        <v/>
      </c>
      <c r="BM1064">
        <f>'T_SelfStock'!BK42</f>
        <v/>
      </c>
      <c r="BN1064">
        <f>'T_SelfStock'!BL42</f>
        <v/>
      </c>
      <c r="BO1064">
        <f>'T_SelfStock'!BM42</f>
        <v/>
      </c>
      <c r="BP1064">
        <f>'T_SelfStock'!BN42</f>
        <v/>
      </c>
      <c r="BQ1064">
        <f>'T_SelfStock'!BO42</f>
        <v/>
      </c>
      <c r="BR1064">
        <f>'T_SelfStock'!BP42</f>
        <v/>
      </c>
      <c r="BS1064">
        <f>'T_SelfStock'!BQ42</f>
        <v/>
      </c>
      <c r="BT1064">
        <f>'T_SelfStock'!BR42</f>
        <v/>
      </c>
      <c r="BU1064">
        <f>'T_SelfStock'!BS42</f>
        <v/>
      </c>
      <c r="BV1064">
        <f>'T_SelfStock'!BT42</f>
        <v/>
      </c>
      <c r="BW1064">
        <f>'T_SelfStock'!BU42</f>
        <v/>
      </c>
      <c r="BX1064">
        <f>'T_SelfStock'!BV42</f>
        <v/>
      </c>
      <c r="BY1064">
        <f>'T_SelfStock'!BW42</f>
        <v/>
      </c>
      <c r="BZ1064">
        <f>'T_SelfStock'!BX42</f>
        <v/>
      </c>
      <c r="CA1064">
        <f>'T_SelfStock'!BY42</f>
        <v/>
      </c>
      <c r="CB1064">
        <f>'T_SelfStock'!BZ42</f>
        <v/>
      </c>
      <c r="CC1064">
        <f>'T_SelfStock'!CA42</f>
        <v/>
      </c>
      <c r="CD1064">
        <f>'T_SelfStock'!CB42</f>
        <v/>
      </c>
      <c r="CE1064">
        <f>'T_SelfStock'!CC42</f>
        <v/>
      </c>
      <c r="CF1064">
        <f>'T_SelfStock'!CD42</f>
        <v/>
      </c>
      <c r="CG1064">
        <f>'T_SelfStock'!CE42</f>
        <v/>
      </c>
      <c r="CH1064">
        <f>'T_SelfStock'!CF42</f>
        <v/>
      </c>
      <c r="CI1064">
        <f>'T_SelfStock'!CG42</f>
        <v/>
      </c>
      <c r="CJ1064">
        <f>'T_SelfStock'!CH42</f>
        <v/>
      </c>
      <c r="CK1064">
        <f>'T_SelfStock'!CI42</f>
        <v/>
      </c>
      <c r="CL1064">
        <f>'T_SelfStock'!CJ42</f>
        <v/>
      </c>
      <c r="CM1064">
        <f>'T_SelfStock'!CK42</f>
        <v/>
      </c>
      <c r="CN1064">
        <f>'T_SelfStock'!CL42</f>
        <v/>
      </c>
      <c r="CO1064">
        <f>'T_SelfStock'!CM42</f>
        <v/>
      </c>
      <c r="CP1064">
        <f>'T_SelfStock'!CN42</f>
        <v/>
      </c>
      <c r="CQ1064">
        <f>'T_SelfStock'!CO42</f>
        <v/>
      </c>
      <c r="CR1064">
        <f>'T_SelfStock'!CP42</f>
        <v/>
      </c>
      <c r="CS1064">
        <f>'T_SelfStock'!CQ42</f>
        <v/>
      </c>
      <c r="CT1064">
        <f>'T_SelfStock'!CR42</f>
        <v/>
      </c>
      <c r="CU1064">
        <f>'T_SelfStock'!CS42</f>
        <v/>
      </c>
      <c r="CV1064">
        <f>'T_SelfStock'!CT42</f>
        <v/>
      </c>
      <c r="CW1064">
        <f>'T_SelfStock'!CU42</f>
        <v/>
      </c>
      <c r="CX1064">
        <f>'T_SelfStock'!CV42</f>
        <v/>
      </c>
      <c r="CY1064">
        <f>'T_SelfStock'!CW42</f>
        <v/>
      </c>
      <c r="CZ1064">
        <f>'T_SelfStock'!CX42</f>
        <v/>
      </c>
      <c r="DA1064">
        <f>'T_SelfStock'!CY42</f>
        <v/>
      </c>
      <c r="DB1064">
        <f>'T_SelfStock'!CZ42</f>
        <v/>
      </c>
      <c r="DC1064">
        <f>'T_SelfStock'!DA42</f>
        <v/>
      </c>
    </row>
    <row r="1065">
      <c r="B1065" t="inlineStr">
        <is>
          <t>Order(発注予定,kg)</t>
        </is>
      </c>
      <c r="D1065">
        <f>IF(SUMIFS(T_PlannedOrders[EffectiveQty],T_PlannedOrders[Part Name],$A1059,T_PlannedOrders[WeekIndex],1)=0,"",SUMIFS(T_PlannedOrders[EffectiveQty],T_PlannedOrders[Part Name],$A1059,T_PlannedOrders[WeekIndex],1)&amp;" ("&amp;TEXT(SUMPRODUCT(MAX((T_PlannedOrders[Part Name]=$A1059)*(T_PlannedOrders[WeekIndex]=1)*(T_PlannedOrders[EffectiveQty]&gt;0)*T_PlannedOrders[Order_Month])),"m月")&amp;"発注)")</f>
        <v/>
      </c>
      <c r="E1065">
        <f>IF(SUMIFS(T_PlannedOrders[EffectiveQty],T_PlannedOrders[Part Name],$A1059,T_PlannedOrders[WeekIndex],2)=0,"",SUMIFS(T_PlannedOrders[EffectiveQty],T_PlannedOrders[Part Name],$A1059,T_PlannedOrders[WeekIndex],2)&amp;" ("&amp;TEXT(SUMPRODUCT(MAX((T_PlannedOrders[Part Name]=$A1059)*(T_PlannedOrders[WeekIndex]=2)*(T_PlannedOrders[EffectiveQty]&gt;0)*T_PlannedOrders[Order_Month])),"m月")&amp;"発注)")</f>
        <v/>
      </c>
      <c r="F1065">
        <f>IF(SUMIFS(T_PlannedOrders[EffectiveQty],T_PlannedOrders[Part Name],$A1059,T_PlannedOrders[WeekIndex],3)=0,"",SUMIFS(T_PlannedOrders[EffectiveQty],T_PlannedOrders[Part Name],$A1059,T_PlannedOrders[WeekIndex],3)&amp;" ("&amp;TEXT(SUMPRODUCT(MAX((T_PlannedOrders[Part Name]=$A1059)*(T_PlannedOrders[WeekIndex]=3)*(T_PlannedOrders[EffectiveQty]&gt;0)*T_PlannedOrders[Order_Month])),"m月")&amp;"発注)")</f>
        <v/>
      </c>
      <c r="G1065">
        <f>IF(SUMIFS(T_PlannedOrders[EffectiveQty],T_PlannedOrders[Part Name],$A1059,T_PlannedOrders[WeekIndex],4)=0,"",SUMIFS(T_PlannedOrders[EffectiveQty],T_PlannedOrders[Part Name],$A1059,T_PlannedOrders[WeekIndex],4)&amp;" ("&amp;TEXT(SUMPRODUCT(MAX((T_PlannedOrders[Part Name]=$A1059)*(T_PlannedOrders[WeekIndex]=4)*(T_PlannedOrders[EffectiveQty]&gt;0)*T_PlannedOrders[Order_Month])),"m月")&amp;"発注)")</f>
        <v/>
      </c>
      <c r="H1065">
        <f>IF(SUMIFS(T_PlannedOrders[EffectiveQty],T_PlannedOrders[Part Name],$A1059,T_PlannedOrders[WeekIndex],5)=0,"",SUMIFS(T_PlannedOrders[EffectiveQty],T_PlannedOrders[Part Name],$A1059,T_PlannedOrders[WeekIndex],5)&amp;" ("&amp;TEXT(SUMPRODUCT(MAX((T_PlannedOrders[Part Name]=$A1059)*(T_PlannedOrders[WeekIndex]=5)*(T_PlannedOrders[EffectiveQty]&gt;0)*T_PlannedOrders[Order_Month])),"m月")&amp;"発注)")</f>
        <v/>
      </c>
      <c r="I1065">
        <f>IF(SUMIFS(T_PlannedOrders[EffectiveQty],T_PlannedOrders[Part Name],$A1059,T_PlannedOrders[WeekIndex],6)=0,"",SUMIFS(T_PlannedOrders[EffectiveQty],T_PlannedOrders[Part Name],$A1059,T_PlannedOrders[WeekIndex],6)&amp;" ("&amp;TEXT(SUMPRODUCT(MAX((T_PlannedOrders[Part Name]=$A1059)*(T_PlannedOrders[WeekIndex]=6)*(T_PlannedOrders[EffectiveQty]&gt;0)*T_PlannedOrders[Order_Month])),"m月")&amp;"発注)")</f>
        <v/>
      </c>
      <c r="J1065">
        <f>IF(SUMIFS(T_PlannedOrders[EffectiveQty],T_PlannedOrders[Part Name],$A1059,T_PlannedOrders[WeekIndex],7)=0,"",SUMIFS(T_PlannedOrders[EffectiveQty],T_PlannedOrders[Part Name],$A1059,T_PlannedOrders[WeekIndex],7)&amp;" ("&amp;TEXT(SUMPRODUCT(MAX((T_PlannedOrders[Part Name]=$A1059)*(T_PlannedOrders[WeekIndex]=7)*(T_PlannedOrders[EffectiveQty]&gt;0)*T_PlannedOrders[Order_Month])),"m月")&amp;"発注)")</f>
        <v/>
      </c>
      <c r="K1065">
        <f>IF(SUMIFS(T_PlannedOrders[EffectiveQty],T_PlannedOrders[Part Name],$A1059,T_PlannedOrders[WeekIndex],8)=0,"",SUMIFS(T_PlannedOrders[EffectiveQty],T_PlannedOrders[Part Name],$A1059,T_PlannedOrders[WeekIndex],8)&amp;" ("&amp;TEXT(SUMPRODUCT(MAX((T_PlannedOrders[Part Name]=$A1059)*(T_PlannedOrders[WeekIndex]=8)*(T_PlannedOrders[EffectiveQty]&gt;0)*T_PlannedOrders[Order_Month])),"m月")&amp;"発注)")</f>
        <v/>
      </c>
      <c r="L1065">
        <f>IF(SUMIFS(T_PlannedOrders[EffectiveQty],T_PlannedOrders[Part Name],$A1059,T_PlannedOrders[WeekIndex],9)=0,"",SUMIFS(T_PlannedOrders[EffectiveQty],T_PlannedOrders[Part Name],$A1059,T_PlannedOrders[WeekIndex],9)&amp;" ("&amp;TEXT(SUMPRODUCT(MAX((T_PlannedOrders[Part Name]=$A1059)*(T_PlannedOrders[WeekIndex]=9)*(T_PlannedOrders[EffectiveQty]&gt;0)*T_PlannedOrders[Order_Month])),"m月")&amp;"発注)")</f>
        <v/>
      </c>
      <c r="M1065">
        <f>IF(SUMIFS(T_PlannedOrders[EffectiveQty],T_PlannedOrders[Part Name],$A1059,T_PlannedOrders[WeekIndex],10)=0,"",SUMIFS(T_PlannedOrders[EffectiveQty],T_PlannedOrders[Part Name],$A1059,T_PlannedOrders[WeekIndex],10)&amp;" ("&amp;TEXT(SUMPRODUCT(MAX((T_PlannedOrders[Part Name]=$A1059)*(T_PlannedOrders[WeekIndex]=10)*(T_PlannedOrders[EffectiveQty]&gt;0)*T_PlannedOrders[Order_Month])),"m月")&amp;"発注)")</f>
        <v/>
      </c>
      <c r="N1065">
        <f>IF(SUMIFS(T_PlannedOrders[EffectiveQty],T_PlannedOrders[Part Name],$A1059,T_PlannedOrders[WeekIndex],11)=0,"",SUMIFS(T_PlannedOrders[EffectiveQty],T_PlannedOrders[Part Name],$A1059,T_PlannedOrders[WeekIndex],11)&amp;" ("&amp;TEXT(SUMPRODUCT(MAX((T_PlannedOrders[Part Name]=$A1059)*(T_PlannedOrders[WeekIndex]=11)*(T_PlannedOrders[EffectiveQty]&gt;0)*T_PlannedOrders[Order_Month])),"m月")&amp;"発注)")</f>
        <v/>
      </c>
      <c r="O1065">
        <f>IF(SUMIFS(T_PlannedOrders[EffectiveQty],T_PlannedOrders[Part Name],$A1059,T_PlannedOrders[WeekIndex],12)=0,"",SUMIFS(T_PlannedOrders[EffectiveQty],T_PlannedOrders[Part Name],$A1059,T_PlannedOrders[WeekIndex],12)&amp;" ("&amp;TEXT(SUMPRODUCT(MAX((T_PlannedOrders[Part Name]=$A1059)*(T_PlannedOrders[WeekIndex]=12)*(T_PlannedOrders[EffectiveQty]&gt;0)*T_PlannedOrders[Order_Month])),"m月")&amp;"発注)")</f>
        <v/>
      </c>
      <c r="P1065">
        <f>IF(SUMIFS(T_PlannedOrders[EffectiveQty],T_PlannedOrders[Part Name],$A1059,T_PlannedOrders[WeekIndex],13)=0,"",SUMIFS(T_PlannedOrders[EffectiveQty],T_PlannedOrders[Part Name],$A1059,T_PlannedOrders[WeekIndex],13)&amp;" ("&amp;TEXT(SUMPRODUCT(MAX((T_PlannedOrders[Part Name]=$A1059)*(T_PlannedOrders[WeekIndex]=13)*(T_PlannedOrders[EffectiveQty]&gt;0)*T_PlannedOrders[Order_Month])),"m月")&amp;"発注)")</f>
        <v/>
      </c>
      <c r="Q1065">
        <f>IF(SUMIFS(T_PlannedOrders[EffectiveQty],T_PlannedOrders[Part Name],$A1059,T_PlannedOrders[WeekIndex],14)=0,"",SUMIFS(T_PlannedOrders[EffectiveQty],T_PlannedOrders[Part Name],$A1059,T_PlannedOrders[WeekIndex],14)&amp;" ("&amp;TEXT(SUMPRODUCT(MAX((T_PlannedOrders[Part Name]=$A1059)*(T_PlannedOrders[WeekIndex]=14)*(T_PlannedOrders[EffectiveQty]&gt;0)*T_PlannedOrders[Order_Month])),"m月")&amp;"発注)")</f>
        <v/>
      </c>
      <c r="R1065">
        <f>IF(SUMIFS(T_PlannedOrders[EffectiveQty],T_PlannedOrders[Part Name],$A1059,T_PlannedOrders[WeekIndex],15)=0,"",SUMIFS(T_PlannedOrders[EffectiveQty],T_PlannedOrders[Part Name],$A1059,T_PlannedOrders[WeekIndex],15)&amp;" ("&amp;TEXT(SUMPRODUCT(MAX((T_PlannedOrders[Part Name]=$A1059)*(T_PlannedOrders[WeekIndex]=15)*(T_PlannedOrders[EffectiveQty]&gt;0)*T_PlannedOrders[Order_Month])),"m月")&amp;"発注)")</f>
        <v/>
      </c>
      <c r="S1065">
        <f>IF(SUMIFS(T_PlannedOrders[EffectiveQty],T_PlannedOrders[Part Name],$A1059,T_PlannedOrders[WeekIndex],16)=0,"",SUMIFS(T_PlannedOrders[EffectiveQty],T_PlannedOrders[Part Name],$A1059,T_PlannedOrders[WeekIndex],16)&amp;" ("&amp;TEXT(SUMPRODUCT(MAX((T_PlannedOrders[Part Name]=$A1059)*(T_PlannedOrders[WeekIndex]=16)*(T_PlannedOrders[EffectiveQty]&gt;0)*T_PlannedOrders[Order_Month])),"m月")&amp;"発注)")</f>
        <v/>
      </c>
      <c r="T1065">
        <f>IF(SUMIFS(T_PlannedOrders[EffectiveQty],T_PlannedOrders[Part Name],$A1059,T_PlannedOrders[WeekIndex],17)=0,"",SUMIFS(T_PlannedOrders[EffectiveQty],T_PlannedOrders[Part Name],$A1059,T_PlannedOrders[WeekIndex],17)&amp;" ("&amp;TEXT(SUMPRODUCT(MAX((T_PlannedOrders[Part Name]=$A1059)*(T_PlannedOrders[WeekIndex]=17)*(T_PlannedOrders[EffectiveQty]&gt;0)*T_PlannedOrders[Order_Month])),"m月")&amp;"発注)")</f>
        <v/>
      </c>
      <c r="U1065">
        <f>IF(SUMIFS(T_PlannedOrders[EffectiveQty],T_PlannedOrders[Part Name],$A1059,T_PlannedOrders[WeekIndex],18)=0,"",SUMIFS(T_PlannedOrders[EffectiveQty],T_PlannedOrders[Part Name],$A1059,T_PlannedOrders[WeekIndex],18)&amp;" ("&amp;TEXT(SUMPRODUCT(MAX((T_PlannedOrders[Part Name]=$A1059)*(T_PlannedOrders[WeekIndex]=18)*(T_PlannedOrders[EffectiveQty]&gt;0)*T_PlannedOrders[Order_Month])),"m月")&amp;"発注)")</f>
        <v/>
      </c>
      <c r="V1065">
        <f>IF(SUMIFS(T_PlannedOrders[EffectiveQty],T_PlannedOrders[Part Name],$A1059,T_PlannedOrders[WeekIndex],19)=0,"",SUMIFS(T_PlannedOrders[EffectiveQty],T_PlannedOrders[Part Name],$A1059,T_PlannedOrders[WeekIndex],19)&amp;" ("&amp;TEXT(SUMPRODUCT(MAX((T_PlannedOrders[Part Name]=$A1059)*(T_PlannedOrders[WeekIndex]=19)*(T_PlannedOrders[EffectiveQty]&gt;0)*T_PlannedOrders[Order_Month])),"m月")&amp;"発注)")</f>
        <v/>
      </c>
      <c r="W1065">
        <f>IF(SUMIFS(T_PlannedOrders[EffectiveQty],T_PlannedOrders[Part Name],$A1059,T_PlannedOrders[WeekIndex],20)=0,"",SUMIFS(T_PlannedOrders[EffectiveQty],T_PlannedOrders[Part Name],$A1059,T_PlannedOrders[WeekIndex],20)&amp;" ("&amp;TEXT(SUMPRODUCT(MAX((T_PlannedOrders[Part Name]=$A1059)*(T_PlannedOrders[WeekIndex]=20)*(T_PlannedOrders[EffectiveQty]&gt;0)*T_PlannedOrders[Order_Month])),"m月")&amp;"発注)")</f>
        <v/>
      </c>
      <c r="X1065">
        <f>IF(SUMIFS(T_PlannedOrders[EffectiveQty],T_PlannedOrders[Part Name],$A1059,T_PlannedOrders[WeekIndex],21)=0,"",SUMIFS(T_PlannedOrders[EffectiveQty],T_PlannedOrders[Part Name],$A1059,T_PlannedOrders[WeekIndex],21)&amp;" ("&amp;TEXT(SUMPRODUCT(MAX((T_PlannedOrders[Part Name]=$A1059)*(T_PlannedOrders[WeekIndex]=21)*(T_PlannedOrders[EffectiveQty]&gt;0)*T_PlannedOrders[Order_Month])),"m月")&amp;"発注)")</f>
        <v/>
      </c>
      <c r="Y1065">
        <f>IF(SUMIFS(T_PlannedOrders[EffectiveQty],T_PlannedOrders[Part Name],$A1059,T_PlannedOrders[WeekIndex],22)=0,"",SUMIFS(T_PlannedOrders[EffectiveQty],T_PlannedOrders[Part Name],$A1059,T_PlannedOrders[WeekIndex],22)&amp;" ("&amp;TEXT(SUMPRODUCT(MAX((T_PlannedOrders[Part Name]=$A1059)*(T_PlannedOrders[WeekIndex]=22)*(T_PlannedOrders[EffectiveQty]&gt;0)*T_PlannedOrders[Order_Month])),"m月")&amp;"発注)")</f>
        <v/>
      </c>
      <c r="Z1065">
        <f>IF(SUMIFS(T_PlannedOrders[EffectiveQty],T_PlannedOrders[Part Name],$A1059,T_PlannedOrders[WeekIndex],23)=0,"",SUMIFS(T_PlannedOrders[EffectiveQty],T_PlannedOrders[Part Name],$A1059,T_PlannedOrders[WeekIndex],23)&amp;" ("&amp;TEXT(SUMPRODUCT(MAX((T_PlannedOrders[Part Name]=$A1059)*(T_PlannedOrders[WeekIndex]=23)*(T_PlannedOrders[EffectiveQty]&gt;0)*T_PlannedOrders[Order_Month])),"m月")&amp;"発注)")</f>
        <v/>
      </c>
      <c r="AA1065">
        <f>IF(SUMIFS(T_PlannedOrders[EffectiveQty],T_PlannedOrders[Part Name],$A1059,T_PlannedOrders[WeekIndex],24)=0,"",SUMIFS(T_PlannedOrders[EffectiveQty],T_PlannedOrders[Part Name],$A1059,T_PlannedOrders[WeekIndex],24)&amp;" ("&amp;TEXT(SUMPRODUCT(MAX((T_PlannedOrders[Part Name]=$A1059)*(T_PlannedOrders[WeekIndex]=24)*(T_PlannedOrders[EffectiveQty]&gt;0)*T_PlannedOrders[Order_Month])),"m月")&amp;"発注)")</f>
        <v/>
      </c>
      <c r="AB1065">
        <f>IF(SUMIFS(T_PlannedOrders[EffectiveQty],T_PlannedOrders[Part Name],$A1059,T_PlannedOrders[WeekIndex],25)=0,"",SUMIFS(T_PlannedOrders[EffectiveQty],T_PlannedOrders[Part Name],$A1059,T_PlannedOrders[WeekIndex],25)&amp;" ("&amp;TEXT(SUMPRODUCT(MAX((T_PlannedOrders[Part Name]=$A1059)*(T_PlannedOrders[WeekIndex]=25)*(T_PlannedOrders[EffectiveQty]&gt;0)*T_PlannedOrders[Order_Month])),"m月")&amp;"発注)")</f>
        <v/>
      </c>
      <c r="AC1065">
        <f>IF(SUMIFS(T_PlannedOrders[EffectiveQty],T_PlannedOrders[Part Name],$A1059,T_PlannedOrders[WeekIndex],26)=0,"",SUMIFS(T_PlannedOrders[EffectiveQty],T_PlannedOrders[Part Name],$A1059,T_PlannedOrders[WeekIndex],26)&amp;" ("&amp;TEXT(SUMPRODUCT(MAX((T_PlannedOrders[Part Name]=$A1059)*(T_PlannedOrders[WeekIndex]=26)*(T_PlannedOrders[EffectiveQty]&gt;0)*T_PlannedOrders[Order_Month])),"m月")&amp;"発注)")</f>
        <v/>
      </c>
      <c r="AD1065">
        <f>IF(SUMIFS(T_PlannedOrders[EffectiveQty],T_PlannedOrders[Part Name],$A1059,T_PlannedOrders[WeekIndex],27)=0,"",SUMIFS(T_PlannedOrders[EffectiveQty],T_PlannedOrders[Part Name],$A1059,T_PlannedOrders[WeekIndex],27)&amp;" ("&amp;TEXT(SUMPRODUCT(MAX((T_PlannedOrders[Part Name]=$A1059)*(T_PlannedOrders[WeekIndex]=27)*(T_PlannedOrders[EffectiveQty]&gt;0)*T_PlannedOrders[Order_Month])),"m月")&amp;"発注)")</f>
        <v/>
      </c>
      <c r="AE1065">
        <f>IF(SUMIFS(T_PlannedOrders[EffectiveQty],T_PlannedOrders[Part Name],$A1059,T_PlannedOrders[WeekIndex],28)=0,"",SUMIFS(T_PlannedOrders[EffectiveQty],T_PlannedOrders[Part Name],$A1059,T_PlannedOrders[WeekIndex],28)&amp;" ("&amp;TEXT(SUMPRODUCT(MAX((T_PlannedOrders[Part Name]=$A1059)*(T_PlannedOrders[WeekIndex]=28)*(T_PlannedOrders[EffectiveQty]&gt;0)*T_PlannedOrders[Order_Month])),"m月")&amp;"発注)")</f>
        <v/>
      </c>
      <c r="AF1065">
        <f>IF(SUMIFS(T_PlannedOrders[EffectiveQty],T_PlannedOrders[Part Name],$A1059,T_PlannedOrders[WeekIndex],29)=0,"",SUMIFS(T_PlannedOrders[EffectiveQty],T_PlannedOrders[Part Name],$A1059,T_PlannedOrders[WeekIndex],29)&amp;" ("&amp;TEXT(SUMPRODUCT(MAX((T_PlannedOrders[Part Name]=$A1059)*(T_PlannedOrders[WeekIndex]=29)*(T_PlannedOrders[EffectiveQty]&gt;0)*T_PlannedOrders[Order_Month])),"m月")&amp;"発注)")</f>
        <v/>
      </c>
      <c r="AG1065">
        <f>IF(SUMIFS(T_PlannedOrders[EffectiveQty],T_PlannedOrders[Part Name],$A1059,T_PlannedOrders[WeekIndex],30)=0,"",SUMIFS(T_PlannedOrders[EffectiveQty],T_PlannedOrders[Part Name],$A1059,T_PlannedOrders[WeekIndex],30)&amp;" ("&amp;TEXT(SUMPRODUCT(MAX((T_PlannedOrders[Part Name]=$A1059)*(T_PlannedOrders[WeekIndex]=30)*(T_PlannedOrders[EffectiveQty]&gt;0)*T_PlannedOrders[Order_Month])),"m月")&amp;"発注)")</f>
        <v/>
      </c>
      <c r="AH1065">
        <f>IF(SUMIFS(T_PlannedOrders[EffectiveQty],T_PlannedOrders[Part Name],$A1059,T_PlannedOrders[WeekIndex],31)=0,"",SUMIFS(T_PlannedOrders[EffectiveQty],T_PlannedOrders[Part Name],$A1059,T_PlannedOrders[WeekIndex],31)&amp;" ("&amp;TEXT(SUMPRODUCT(MAX((T_PlannedOrders[Part Name]=$A1059)*(T_PlannedOrders[WeekIndex]=31)*(T_PlannedOrders[EffectiveQty]&gt;0)*T_PlannedOrders[Order_Month])),"m月")&amp;"発注)")</f>
        <v/>
      </c>
      <c r="AI1065">
        <f>IF(SUMIFS(T_PlannedOrders[EffectiveQty],T_PlannedOrders[Part Name],$A1059,T_PlannedOrders[WeekIndex],32)=0,"",SUMIFS(T_PlannedOrders[EffectiveQty],T_PlannedOrders[Part Name],$A1059,T_PlannedOrders[WeekIndex],32)&amp;" ("&amp;TEXT(SUMPRODUCT(MAX((T_PlannedOrders[Part Name]=$A1059)*(T_PlannedOrders[WeekIndex]=32)*(T_PlannedOrders[EffectiveQty]&gt;0)*T_PlannedOrders[Order_Month])),"m月")&amp;"発注)")</f>
        <v/>
      </c>
      <c r="AJ1065">
        <f>IF(SUMIFS(T_PlannedOrders[EffectiveQty],T_PlannedOrders[Part Name],$A1059,T_PlannedOrders[WeekIndex],33)=0,"",SUMIFS(T_PlannedOrders[EffectiveQty],T_PlannedOrders[Part Name],$A1059,T_PlannedOrders[WeekIndex],33)&amp;" ("&amp;TEXT(SUMPRODUCT(MAX((T_PlannedOrders[Part Name]=$A1059)*(T_PlannedOrders[WeekIndex]=33)*(T_PlannedOrders[EffectiveQty]&gt;0)*T_PlannedOrders[Order_Month])),"m月")&amp;"発注)")</f>
        <v/>
      </c>
      <c r="AK1065">
        <f>IF(SUMIFS(T_PlannedOrders[EffectiveQty],T_PlannedOrders[Part Name],$A1059,T_PlannedOrders[WeekIndex],34)=0,"",SUMIFS(T_PlannedOrders[EffectiveQty],T_PlannedOrders[Part Name],$A1059,T_PlannedOrders[WeekIndex],34)&amp;" ("&amp;TEXT(SUMPRODUCT(MAX((T_PlannedOrders[Part Name]=$A1059)*(T_PlannedOrders[WeekIndex]=34)*(T_PlannedOrders[EffectiveQty]&gt;0)*T_PlannedOrders[Order_Month])),"m月")&amp;"発注)")</f>
        <v/>
      </c>
      <c r="AL1065">
        <f>IF(SUMIFS(T_PlannedOrders[EffectiveQty],T_PlannedOrders[Part Name],$A1059,T_PlannedOrders[WeekIndex],35)=0,"",SUMIFS(T_PlannedOrders[EffectiveQty],T_PlannedOrders[Part Name],$A1059,T_PlannedOrders[WeekIndex],35)&amp;" ("&amp;TEXT(SUMPRODUCT(MAX((T_PlannedOrders[Part Name]=$A1059)*(T_PlannedOrders[WeekIndex]=35)*(T_PlannedOrders[EffectiveQty]&gt;0)*T_PlannedOrders[Order_Month])),"m月")&amp;"発注)")</f>
        <v/>
      </c>
      <c r="AM1065">
        <f>IF(SUMIFS(T_PlannedOrders[EffectiveQty],T_PlannedOrders[Part Name],$A1059,T_PlannedOrders[WeekIndex],36)=0,"",SUMIFS(T_PlannedOrders[EffectiveQty],T_PlannedOrders[Part Name],$A1059,T_PlannedOrders[WeekIndex],36)&amp;" ("&amp;TEXT(SUMPRODUCT(MAX((T_PlannedOrders[Part Name]=$A1059)*(T_PlannedOrders[WeekIndex]=36)*(T_PlannedOrders[EffectiveQty]&gt;0)*T_PlannedOrders[Order_Month])),"m月")&amp;"発注)")</f>
        <v/>
      </c>
      <c r="AN1065">
        <f>IF(SUMIFS(T_PlannedOrders[EffectiveQty],T_PlannedOrders[Part Name],$A1059,T_PlannedOrders[WeekIndex],37)=0,"",SUMIFS(T_PlannedOrders[EffectiveQty],T_PlannedOrders[Part Name],$A1059,T_PlannedOrders[WeekIndex],37)&amp;" ("&amp;TEXT(SUMPRODUCT(MAX((T_PlannedOrders[Part Name]=$A1059)*(T_PlannedOrders[WeekIndex]=37)*(T_PlannedOrders[EffectiveQty]&gt;0)*T_PlannedOrders[Order_Month])),"m月")&amp;"発注)")</f>
        <v/>
      </c>
      <c r="AO1065">
        <f>IF(SUMIFS(T_PlannedOrders[EffectiveQty],T_PlannedOrders[Part Name],$A1059,T_PlannedOrders[WeekIndex],38)=0,"",SUMIFS(T_PlannedOrders[EffectiveQty],T_PlannedOrders[Part Name],$A1059,T_PlannedOrders[WeekIndex],38)&amp;" ("&amp;TEXT(SUMPRODUCT(MAX((T_PlannedOrders[Part Name]=$A1059)*(T_PlannedOrders[WeekIndex]=38)*(T_PlannedOrders[EffectiveQty]&gt;0)*T_PlannedOrders[Order_Month])),"m月")&amp;"発注)")</f>
        <v/>
      </c>
      <c r="AP1065">
        <f>IF(SUMIFS(T_PlannedOrders[EffectiveQty],T_PlannedOrders[Part Name],$A1059,T_PlannedOrders[WeekIndex],39)=0,"",SUMIFS(T_PlannedOrders[EffectiveQty],T_PlannedOrders[Part Name],$A1059,T_PlannedOrders[WeekIndex],39)&amp;" ("&amp;TEXT(SUMPRODUCT(MAX((T_PlannedOrders[Part Name]=$A1059)*(T_PlannedOrders[WeekIndex]=39)*(T_PlannedOrders[EffectiveQty]&gt;0)*T_PlannedOrders[Order_Month])),"m月")&amp;"発注)")</f>
        <v/>
      </c>
      <c r="AQ1065">
        <f>IF(SUMIFS(T_PlannedOrders[EffectiveQty],T_PlannedOrders[Part Name],$A1059,T_PlannedOrders[WeekIndex],40)=0,"",SUMIFS(T_PlannedOrders[EffectiveQty],T_PlannedOrders[Part Name],$A1059,T_PlannedOrders[WeekIndex],40)&amp;" ("&amp;TEXT(SUMPRODUCT(MAX((T_PlannedOrders[Part Name]=$A1059)*(T_PlannedOrders[WeekIndex]=40)*(T_PlannedOrders[EffectiveQty]&gt;0)*T_PlannedOrders[Order_Month])),"m月")&amp;"発注)")</f>
        <v/>
      </c>
      <c r="AR1065">
        <f>IF(SUMIFS(T_PlannedOrders[EffectiveQty],T_PlannedOrders[Part Name],$A1059,T_PlannedOrders[WeekIndex],41)=0,"",SUMIFS(T_PlannedOrders[EffectiveQty],T_PlannedOrders[Part Name],$A1059,T_PlannedOrders[WeekIndex],41)&amp;" ("&amp;TEXT(SUMPRODUCT(MAX((T_PlannedOrders[Part Name]=$A1059)*(T_PlannedOrders[WeekIndex]=41)*(T_PlannedOrders[EffectiveQty]&gt;0)*T_PlannedOrders[Order_Month])),"m月")&amp;"発注)")</f>
        <v/>
      </c>
      <c r="AS1065">
        <f>IF(SUMIFS(T_PlannedOrders[EffectiveQty],T_PlannedOrders[Part Name],$A1059,T_PlannedOrders[WeekIndex],42)=0,"",SUMIFS(T_PlannedOrders[EffectiveQty],T_PlannedOrders[Part Name],$A1059,T_PlannedOrders[WeekIndex],42)&amp;" ("&amp;TEXT(SUMPRODUCT(MAX((T_PlannedOrders[Part Name]=$A1059)*(T_PlannedOrders[WeekIndex]=42)*(T_PlannedOrders[EffectiveQty]&gt;0)*T_PlannedOrders[Order_Month])),"m月")&amp;"発注)")</f>
        <v/>
      </c>
      <c r="AT1065">
        <f>IF(SUMIFS(T_PlannedOrders[EffectiveQty],T_PlannedOrders[Part Name],$A1059,T_PlannedOrders[WeekIndex],43)=0,"",SUMIFS(T_PlannedOrders[EffectiveQty],T_PlannedOrders[Part Name],$A1059,T_PlannedOrders[WeekIndex],43)&amp;" ("&amp;TEXT(SUMPRODUCT(MAX((T_PlannedOrders[Part Name]=$A1059)*(T_PlannedOrders[WeekIndex]=43)*(T_PlannedOrders[EffectiveQty]&gt;0)*T_PlannedOrders[Order_Month])),"m月")&amp;"発注)")</f>
        <v/>
      </c>
      <c r="AU1065">
        <f>IF(SUMIFS(T_PlannedOrders[EffectiveQty],T_PlannedOrders[Part Name],$A1059,T_PlannedOrders[WeekIndex],44)=0,"",SUMIFS(T_PlannedOrders[EffectiveQty],T_PlannedOrders[Part Name],$A1059,T_PlannedOrders[WeekIndex],44)&amp;" ("&amp;TEXT(SUMPRODUCT(MAX((T_PlannedOrders[Part Name]=$A1059)*(T_PlannedOrders[WeekIndex]=44)*(T_PlannedOrders[EffectiveQty]&gt;0)*T_PlannedOrders[Order_Month])),"m月")&amp;"発注)")</f>
        <v/>
      </c>
      <c r="AV1065">
        <f>IF(SUMIFS(T_PlannedOrders[EffectiveQty],T_PlannedOrders[Part Name],$A1059,T_PlannedOrders[WeekIndex],45)=0,"",SUMIFS(T_PlannedOrders[EffectiveQty],T_PlannedOrders[Part Name],$A1059,T_PlannedOrders[WeekIndex],45)&amp;" ("&amp;TEXT(SUMPRODUCT(MAX((T_PlannedOrders[Part Name]=$A1059)*(T_PlannedOrders[WeekIndex]=45)*(T_PlannedOrders[EffectiveQty]&gt;0)*T_PlannedOrders[Order_Month])),"m月")&amp;"発注)")</f>
        <v/>
      </c>
      <c r="AW1065">
        <f>IF(SUMIFS(T_PlannedOrders[EffectiveQty],T_PlannedOrders[Part Name],$A1059,T_PlannedOrders[WeekIndex],46)=0,"",SUMIFS(T_PlannedOrders[EffectiveQty],T_PlannedOrders[Part Name],$A1059,T_PlannedOrders[WeekIndex],46)&amp;" ("&amp;TEXT(SUMPRODUCT(MAX((T_PlannedOrders[Part Name]=$A1059)*(T_PlannedOrders[WeekIndex]=46)*(T_PlannedOrders[EffectiveQty]&gt;0)*T_PlannedOrders[Order_Month])),"m月")&amp;"発注)")</f>
        <v/>
      </c>
      <c r="AX1065">
        <f>IF(SUMIFS(T_PlannedOrders[EffectiveQty],T_PlannedOrders[Part Name],$A1059,T_PlannedOrders[WeekIndex],47)=0,"",SUMIFS(T_PlannedOrders[EffectiveQty],T_PlannedOrders[Part Name],$A1059,T_PlannedOrders[WeekIndex],47)&amp;" ("&amp;TEXT(SUMPRODUCT(MAX((T_PlannedOrders[Part Name]=$A1059)*(T_PlannedOrders[WeekIndex]=47)*(T_PlannedOrders[EffectiveQty]&gt;0)*T_PlannedOrders[Order_Month])),"m月")&amp;"発注)")</f>
        <v/>
      </c>
      <c r="AY1065">
        <f>IF(SUMIFS(T_PlannedOrders[EffectiveQty],T_PlannedOrders[Part Name],$A1059,T_PlannedOrders[WeekIndex],48)=0,"",SUMIFS(T_PlannedOrders[EffectiveQty],T_PlannedOrders[Part Name],$A1059,T_PlannedOrders[WeekIndex],48)&amp;" ("&amp;TEXT(SUMPRODUCT(MAX((T_PlannedOrders[Part Name]=$A1059)*(T_PlannedOrders[WeekIndex]=48)*(T_PlannedOrders[EffectiveQty]&gt;0)*T_PlannedOrders[Order_Month])),"m月")&amp;"発注)")</f>
        <v/>
      </c>
      <c r="AZ1065">
        <f>IF(SUMIFS(T_PlannedOrders[EffectiveQty],T_PlannedOrders[Part Name],$A1059,T_PlannedOrders[WeekIndex],49)=0,"",SUMIFS(T_PlannedOrders[EffectiveQty],T_PlannedOrders[Part Name],$A1059,T_PlannedOrders[WeekIndex],49)&amp;" ("&amp;TEXT(SUMPRODUCT(MAX((T_PlannedOrders[Part Name]=$A1059)*(T_PlannedOrders[WeekIndex]=49)*(T_PlannedOrders[EffectiveQty]&gt;0)*T_PlannedOrders[Order_Month])),"m月")&amp;"発注)")</f>
        <v/>
      </c>
      <c r="BA1065">
        <f>IF(SUMIFS(T_PlannedOrders[EffectiveQty],T_PlannedOrders[Part Name],$A1059,T_PlannedOrders[WeekIndex],50)=0,"",SUMIFS(T_PlannedOrders[EffectiveQty],T_PlannedOrders[Part Name],$A1059,T_PlannedOrders[WeekIndex],50)&amp;" ("&amp;TEXT(SUMPRODUCT(MAX((T_PlannedOrders[Part Name]=$A1059)*(T_PlannedOrders[WeekIndex]=50)*(T_PlannedOrders[EffectiveQty]&gt;0)*T_PlannedOrders[Order_Month])),"m月")&amp;"発注)")</f>
        <v/>
      </c>
      <c r="BB1065">
        <f>IF(SUMIFS(T_PlannedOrders[EffectiveQty],T_PlannedOrders[Part Name],$A1059,T_PlannedOrders[WeekIndex],51)=0,"",SUMIFS(T_PlannedOrders[EffectiveQty],T_PlannedOrders[Part Name],$A1059,T_PlannedOrders[WeekIndex],51)&amp;" ("&amp;TEXT(SUMPRODUCT(MAX((T_PlannedOrders[Part Name]=$A1059)*(T_PlannedOrders[WeekIndex]=51)*(T_PlannedOrders[EffectiveQty]&gt;0)*T_PlannedOrders[Order_Month])),"m月")&amp;"発注)")</f>
        <v/>
      </c>
      <c r="BC1065">
        <f>IF(SUMIFS(T_PlannedOrders[EffectiveQty],T_PlannedOrders[Part Name],$A1059,T_PlannedOrders[WeekIndex],52)=0,"",SUMIFS(T_PlannedOrders[EffectiveQty],T_PlannedOrders[Part Name],$A1059,T_PlannedOrders[WeekIndex],52)&amp;" ("&amp;TEXT(SUMPRODUCT(MAX((T_PlannedOrders[Part Name]=$A1059)*(T_PlannedOrders[WeekIndex]=52)*(T_PlannedOrders[EffectiveQty]&gt;0)*T_PlannedOrders[Order_Month])),"m月")&amp;"発注)")</f>
        <v/>
      </c>
      <c r="BD1065">
        <f>IF(SUMIFS(T_PlannedOrders[EffectiveQty],T_PlannedOrders[Part Name],$A1059,T_PlannedOrders[WeekIndex],53)=0,"",SUMIFS(T_PlannedOrders[EffectiveQty],T_PlannedOrders[Part Name],$A1059,T_PlannedOrders[WeekIndex],53)&amp;" ("&amp;TEXT(SUMPRODUCT(MAX((T_PlannedOrders[Part Name]=$A1059)*(T_PlannedOrders[WeekIndex]=53)*(T_PlannedOrders[EffectiveQty]&gt;0)*T_PlannedOrders[Order_Month])),"m月")&amp;"発注)")</f>
        <v/>
      </c>
      <c r="BE1065">
        <f>IF(SUMIFS(T_PlannedOrders[EffectiveQty],T_PlannedOrders[Part Name],$A1059,T_PlannedOrders[WeekIndex],54)=0,"",SUMIFS(T_PlannedOrders[EffectiveQty],T_PlannedOrders[Part Name],$A1059,T_PlannedOrders[WeekIndex],54)&amp;" ("&amp;TEXT(SUMPRODUCT(MAX((T_PlannedOrders[Part Name]=$A1059)*(T_PlannedOrders[WeekIndex]=54)*(T_PlannedOrders[EffectiveQty]&gt;0)*T_PlannedOrders[Order_Month])),"m月")&amp;"発注)")</f>
        <v/>
      </c>
      <c r="BF1065">
        <f>IF(SUMIFS(T_PlannedOrders[EffectiveQty],T_PlannedOrders[Part Name],$A1059,T_PlannedOrders[WeekIndex],55)=0,"",SUMIFS(T_PlannedOrders[EffectiveQty],T_PlannedOrders[Part Name],$A1059,T_PlannedOrders[WeekIndex],55)&amp;" ("&amp;TEXT(SUMPRODUCT(MAX((T_PlannedOrders[Part Name]=$A1059)*(T_PlannedOrders[WeekIndex]=55)*(T_PlannedOrders[EffectiveQty]&gt;0)*T_PlannedOrders[Order_Month])),"m月")&amp;"発注)")</f>
        <v/>
      </c>
      <c r="BG1065">
        <f>IF(SUMIFS(T_PlannedOrders[EffectiveQty],T_PlannedOrders[Part Name],$A1059,T_PlannedOrders[WeekIndex],56)=0,"",SUMIFS(T_PlannedOrders[EffectiveQty],T_PlannedOrders[Part Name],$A1059,T_PlannedOrders[WeekIndex],56)&amp;" ("&amp;TEXT(SUMPRODUCT(MAX((T_PlannedOrders[Part Name]=$A1059)*(T_PlannedOrders[WeekIndex]=56)*(T_PlannedOrders[EffectiveQty]&gt;0)*T_PlannedOrders[Order_Month])),"m月")&amp;"発注)")</f>
        <v/>
      </c>
      <c r="BH1065">
        <f>IF(SUMIFS(T_PlannedOrders[EffectiveQty],T_PlannedOrders[Part Name],$A1059,T_PlannedOrders[WeekIndex],57)=0,"",SUMIFS(T_PlannedOrders[EffectiveQty],T_PlannedOrders[Part Name],$A1059,T_PlannedOrders[WeekIndex],57)&amp;" ("&amp;TEXT(SUMPRODUCT(MAX((T_PlannedOrders[Part Name]=$A1059)*(T_PlannedOrders[WeekIndex]=57)*(T_PlannedOrders[EffectiveQty]&gt;0)*T_PlannedOrders[Order_Month])),"m月")&amp;"発注)")</f>
        <v/>
      </c>
      <c r="BI1065">
        <f>IF(SUMIFS(T_PlannedOrders[EffectiveQty],T_PlannedOrders[Part Name],$A1059,T_PlannedOrders[WeekIndex],58)=0,"",SUMIFS(T_PlannedOrders[EffectiveQty],T_PlannedOrders[Part Name],$A1059,T_PlannedOrders[WeekIndex],58)&amp;" ("&amp;TEXT(SUMPRODUCT(MAX((T_PlannedOrders[Part Name]=$A1059)*(T_PlannedOrders[WeekIndex]=58)*(T_PlannedOrders[EffectiveQty]&gt;0)*T_PlannedOrders[Order_Month])),"m月")&amp;"発注)")</f>
        <v/>
      </c>
      <c r="BJ1065">
        <f>IF(SUMIFS(T_PlannedOrders[EffectiveQty],T_PlannedOrders[Part Name],$A1059,T_PlannedOrders[WeekIndex],59)=0,"",SUMIFS(T_PlannedOrders[EffectiveQty],T_PlannedOrders[Part Name],$A1059,T_PlannedOrders[WeekIndex],59)&amp;" ("&amp;TEXT(SUMPRODUCT(MAX((T_PlannedOrders[Part Name]=$A1059)*(T_PlannedOrders[WeekIndex]=59)*(T_PlannedOrders[EffectiveQty]&gt;0)*T_PlannedOrders[Order_Month])),"m月")&amp;"発注)")</f>
        <v/>
      </c>
      <c r="BK1065">
        <f>IF(SUMIFS(T_PlannedOrders[EffectiveQty],T_PlannedOrders[Part Name],$A1059,T_PlannedOrders[WeekIndex],60)=0,"",SUMIFS(T_PlannedOrders[EffectiveQty],T_PlannedOrders[Part Name],$A1059,T_PlannedOrders[WeekIndex],60)&amp;" ("&amp;TEXT(SUMPRODUCT(MAX((T_PlannedOrders[Part Name]=$A1059)*(T_PlannedOrders[WeekIndex]=60)*(T_PlannedOrders[EffectiveQty]&gt;0)*T_PlannedOrders[Order_Month])),"m月")&amp;"発注)")</f>
        <v/>
      </c>
      <c r="BL1065">
        <f>IF(SUMIFS(T_PlannedOrders[EffectiveQty],T_PlannedOrders[Part Name],$A1059,T_PlannedOrders[WeekIndex],61)=0,"",SUMIFS(T_PlannedOrders[EffectiveQty],T_PlannedOrders[Part Name],$A1059,T_PlannedOrders[WeekIndex],61)&amp;" ("&amp;TEXT(SUMPRODUCT(MAX((T_PlannedOrders[Part Name]=$A1059)*(T_PlannedOrders[WeekIndex]=61)*(T_PlannedOrders[EffectiveQty]&gt;0)*T_PlannedOrders[Order_Month])),"m月")&amp;"発注)")</f>
        <v/>
      </c>
      <c r="BM1065">
        <f>IF(SUMIFS(T_PlannedOrders[EffectiveQty],T_PlannedOrders[Part Name],$A1059,T_PlannedOrders[WeekIndex],62)=0,"",SUMIFS(T_PlannedOrders[EffectiveQty],T_PlannedOrders[Part Name],$A1059,T_PlannedOrders[WeekIndex],62)&amp;" ("&amp;TEXT(SUMPRODUCT(MAX((T_PlannedOrders[Part Name]=$A1059)*(T_PlannedOrders[WeekIndex]=62)*(T_PlannedOrders[EffectiveQty]&gt;0)*T_PlannedOrders[Order_Month])),"m月")&amp;"発注)")</f>
        <v/>
      </c>
      <c r="BN1065">
        <f>IF(SUMIFS(T_PlannedOrders[EffectiveQty],T_PlannedOrders[Part Name],$A1059,T_PlannedOrders[WeekIndex],63)=0,"",SUMIFS(T_PlannedOrders[EffectiveQty],T_PlannedOrders[Part Name],$A1059,T_PlannedOrders[WeekIndex],63)&amp;" ("&amp;TEXT(SUMPRODUCT(MAX((T_PlannedOrders[Part Name]=$A1059)*(T_PlannedOrders[WeekIndex]=63)*(T_PlannedOrders[EffectiveQty]&gt;0)*T_PlannedOrders[Order_Month])),"m月")&amp;"発注)")</f>
        <v/>
      </c>
      <c r="BO1065">
        <f>IF(SUMIFS(T_PlannedOrders[EffectiveQty],T_PlannedOrders[Part Name],$A1059,T_PlannedOrders[WeekIndex],64)=0,"",SUMIFS(T_PlannedOrders[EffectiveQty],T_PlannedOrders[Part Name],$A1059,T_PlannedOrders[WeekIndex],64)&amp;" ("&amp;TEXT(SUMPRODUCT(MAX((T_PlannedOrders[Part Name]=$A1059)*(T_PlannedOrders[WeekIndex]=64)*(T_PlannedOrders[EffectiveQty]&gt;0)*T_PlannedOrders[Order_Month])),"m月")&amp;"発注)")</f>
        <v/>
      </c>
      <c r="BP1065">
        <f>IF(SUMIFS(T_PlannedOrders[EffectiveQty],T_PlannedOrders[Part Name],$A1059,T_PlannedOrders[WeekIndex],65)=0,"",SUMIFS(T_PlannedOrders[EffectiveQty],T_PlannedOrders[Part Name],$A1059,T_PlannedOrders[WeekIndex],65)&amp;" ("&amp;TEXT(SUMPRODUCT(MAX((T_PlannedOrders[Part Name]=$A1059)*(T_PlannedOrders[WeekIndex]=65)*(T_PlannedOrders[EffectiveQty]&gt;0)*T_PlannedOrders[Order_Month])),"m月")&amp;"発注)")</f>
        <v/>
      </c>
      <c r="BQ1065">
        <f>IF(SUMIFS(T_PlannedOrders[EffectiveQty],T_PlannedOrders[Part Name],$A1059,T_PlannedOrders[WeekIndex],66)=0,"",SUMIFS(T_PlannedOrders[EffectiveQty],T_PlannedOrders[Part Name],$A1059,T_PlannedOrders[WeekIndex],66)&amp;" ("&amp;TEXT(SUMPRODUCT(MAX((T_PlannedOrders[Part Name]=$A1059)*(T_PlannedOrders[WeekIndex]=66)*(T_PlannedOrders[EffectiveQty]&gt;0)*T_PlannedOrders[Order_Month])),"m月")&amp;"発注)")</f>
        <v/>
      </c>
      <c r="BR1065">
        <f>IF(SUMIFS(T_PlannedOrders[EffectiveQty],T_PlannedOrders[Part Name],$A1059,T_PlannedOrders[WeekIndex],67)=0,"",SUMIFS(T_PlannedOrders[EffectiveQty],T_PlannedOrders[Part Name],$A1059,T_PlannedOrders[WeekIndex],67)&amp;" ("&amp;TEXT(SUMPRODUCT(MAX((T_PlannedOrders[Part Name]=$A1059)*(T_PlannedOrders[WeekIndex]=67)*(T_PlannedOrders[EffectiveQty]&gt;0)*T_PlannedOrders[Order_Month])),"m月")&amp;"発注)")</f>
        <v/>
      </c>
      <c r="BS1065">
        <f>IF(SUMIFS(T_PlannedOrders[EffectiveQty],T_PlannedOrders[Part Name],$A1059,T_PlannedOrders[WeekIndex],68)=0,"",SUMIFS(T_PlannedOrders[EffectiveQty],T_PlannedOrders[Part Name],$A1059,T_PlannedOrders[WeekIndex],68)&amp;" ("&amp;TEXT(SUMPRODUCT(MAX((T_PlannedOrders[Part Name]=$A1059)*(T_PlannedOrders[WeekIndex]=68)*(T_PlannedOrders[EffectiveQty]&gt;0)*T_PlannedOrders[Order_Month])),"m月")&amp;"発注)")</f>
        <v/>
      </c>
      <c r="BT1065">
        <f>IF(SUMIFS(T_PlannedOrders[EffectiveQty],T_PlannedOrders[Part Name],$A1059,T_PlannedOrders[WeekIndex],69)=0,"",SUMIFS(T_PlannedOrders[EffectiveQty],T_PlannedOrders[Part Name],$A1059,T_PlannedOrders[WeekIndex],69)&amp;" ("&amp;TEXT(SUMPRODUCT(MAX((T_PlannedOrders[Part Name]=$A1059)*(T_PlannedOrders[WeekIndex]=69)*(T_PlannedOrders[EffectiveQty]&gt;0)*T_PlannedOrders[Order_Month])),"m月")&amp;"発注)")</f>
        <v/>
      </c>
      <c r="BU1065">
        <f>IF(SUMIFS(T_PlannedOrders[EffectiveQty],T_PlannedOrders[Part Name],$A1059,T_PlannedOrders[WeekIndex],70)=0,"",SUMIFS(T_PlannedOrders[EffectiveQty],T_PlannedOrders[Part Name],$A1059,T_PlannedOrders[WeekIndex],70)&amp;" ("&amp;TEXT(SUMPRODUCT(MAX((T_PlannedOrders[Part Name]=$A1059)*(T_PlannedOrders[WeekIndex]=70)*(T_PlannedOrders[EffectiveQty]&gt;0)*T_PlannedOrders[Order_Month])),"m月")&amp;"発注)")</f>
        <v/>
      </c>
      <c r="BV1065">
        <f>IF(SUMIFS(T_PlannedOrders[EffectiveQty],T_PlannedOrders[Part Name],$A1059,T_PlannedOrders[WeekIndex],71)=0,"",SUMIFS(T_PlannedOrders[EffectiveQty],T_PlannedOrders[Part Name],$A1059,T_PlannedOrders[WeekIndex],71)&amp;" ("&amp;TEXT(SUMPRODUCT(MAX((T_PlannedOrders[Part Name]=$A1059)*(T_PlannedOrders[WeekIndex]=71)*(T_PlannedOrders[EffectiveQty]&gt;0)*T_PlannedOrders[Order_Month])),"m月")&amp;"発注)")</f>
        <v/>
      </c>
      <c r="BW1065">
        <f>IF(SUMIFS(T_PlannedOrders[EffectiveQty],T_PlannedOrders[Part Name],$A1059,T_PlannedOrders[WeekIndex],72)=0,"",SUMIFS(T_PlannedOrders[EffectiveQty],T_PlannedOrders[Part Name],$A1059,T_PlannedOrders[WeekIndex],72)&amp;" ("&amp;TEXT(SUMPRODUCT(MAX((T_PlannedOrders[Part Name]=$A1059)*(T_PlannedOrders[WeekIndex]=72)*(T_PlannedOrders[EffectiveQty]&gt;0)*T_PlannedOrders[Order_Month])),"m月")&amp;"発注)")</f>
        <v/>
      </c>
      <c r="BX1065">
        <f>IF(SUMIFS(T_PlannedOrders[EffectiveQty],T_PlannedOrders[Part Name],$A1059,T_PlannedOrders[WeekIndex],73)=0,"",SUMIFS(T_PlannedOrders[EffectiveQty],T_PlannedOrders[Part Name],$A1059,T_PlannedOrders[WeekIndex],73)&amp;" ("&amp;TEXT(SUMPRODUCT(MAX((T_PlannedOrders[Part Name]=$A1059)*(T_PlannedOrders[WeekIndex]=73)*(T_PlannedOrders[EffectiveQty]&gt;0)*T_PlannedOrders[Order_Month])),"m月")&amp;"発注)")</f>
        <v/>
      </c>
      <c r="BY1065">
        <f>IF(SUMIFS(T_PlannedOrders[EffectiveQty],T_PlannedOrders[Part Name],$A1059,T_PlannedOrders[WeekIndex],74)=0,"",SUMIFS(T_PlannedOrders[EffectiveQty],T_PlannedOrders[Part Name],$A1059,T_PlannedOrders[WeekIndex],74)&amp;" ("&amp;TEXT(SUMPRODUCT(MAX((T_PlannedOrders[Part Name]=$A1059)*(T_PlannedOrders[WeekIndex]=74)*(T_PlannedOrders[EffectiveQty]&gt;0)*T_PlannedOrders[Order_Month])),"m月")&amp;"発注)")</f>
        <v/>
      </c>
      <c r="BZ1065">
        <f>IF(SUMIFS(T_PlannedOrders[EffectiveQty],T_PlannedOrders[Part Name],$A1059,T_PlannedOrders[WeekIndex],75)=0,"",SUMIFS(T_PlannedOrders[EffectiveQty],T_PlannedOrders[Part Name],$A1059,T_PlannedOrders[WeekIndex],75)&amp;" ("&amp;TEXT(SUMPRODUCT(MAX((T_PlannedOrders[Part Name]=$A1059)*(T_PlannedOrders[WeekIndex]=75)*(T_PlannedOrders[EffectiveQty]&gt;0)*T_PlannedOrders[Order_Month])),"m月")&amp;"発注)")</f>
        <v/>
      </c>
      <c r="CA1065">
        <f>IF(SUMIFS(T_PlannedOrders[EffectiveQty],T_PlannedOrders[Part Name],$A1059,T_PlannedOrders[WeekIndex],76)=0,"",SUMIFS(T_PlannedOrders[EffectiveQty],T_PlannedOrders[Part Name],$A1059,T_PlannedOrders[WeekIndex],76)&amp;" ("&amp;TEXT(SUMPRODUCT(MAX((T_PlannedOrders[Part Name]=$A1059)*(T_PlannedOrders[WeekIndex]=76)*(T_PlannedOrders[EffectiveQty]&gt;0)*T_PlannedOrders[Order_Month])),"m月")&amp;"発注)")</f>
        <v/>
      </c>
      <c r="CB1065">
        <f>IF(SUMIFS(T_PlannedOrders[EffectiveQty],T_PlannedOrders[Part Name],$A1059,T_PlannedOrders[WeekIndex],77)=0,"",SUMIFS(T_PlannedOrders[EffectiveQty],T_PlannedOrders[Part Name],$A1059,T_PlannedOrders[WeekIndex],77)&amp;" ("&amp;TEXT(SUMPRODUCT(MAX((T_PlannedOrders[Part Name]=$A1059)*(T_PlannedOrders[WeekIndex]=77)*(T_PlannedOrders[EffectiveQty]&gt;0)*T_PlannedOrders[Order_Month])),"m月")&amp;"発注)")</f>
        <v/>
      </c>
      <c r="CC1065">
        <f>IF(SUMIFS(T_PlannedOrders[EffectiveQty],T_PlannedOrders[Part Name],$A1059,T_PlannedOrders[WeekIndex],78)=0,"",SUMIFS(T_PlannedOrders[EffectiveQty],T_PlannedOrders[Part Name],$A1059,T_PlannedOrders[WeekIndex],78)&amp;" ("&amp;TEXT(SUMPRODUCT(MAX((T_PlannedOrders[Part Name]=$A1059)*(T_PlannedOrders[WeekIndex]=78)*(T_PlannedOrders[EffectiveQty]&gt;0)*T_PlannedOrders[Order_Month])),"m月")&amp;"発注)")</f>
        <v/>
      </c>
      <c r="CD1065">
        <f>IF(SUMIFS(T_PlannedOrders[EffectiveQty],T_PlannedOrders[Part Name],$A1059,T_PlannedOrders[WeekIndex],79)=0,"",SUMIFS(T_PlannedOrders[EffectiveQty],T_PlannedOrders[Part Name],$A1059,T_PlannedOrders[WeekIndex],79)&amp;" ("&amp;TEXT(SUMPRODUCT(MAX((T_PlannedOrders[Part Name]=$A1059)*(T_PlannedOrders[WeekIndex]=79)*(T_PlannedOrders[EffectiveQty]&gt;0)*T_PlannedOrders[Order_Month])),"m月")&amp;"発注)")</f>
        <v/>
      </c>
      <c r="CE1065">
        <f>IF(SUMIFS(T_PlannedOrders[EffectiveQty],T_PlannedOrders[Part Name],$A1059,T_PlannedOrders[WeekIndex],80)=0,"",SUMIFS(T_PlannedOrders[EffectiveQty],T_PlannedOrders[Part Name],$A1059,T_PlannedOrders[WeekIndex],80)&amp;" ("&amp;TEXT(SUMPRODUCT(MAX((T_PlannedOrders[Part Name]=$A1059)*(T_PlannedOrders[WeekIndex]=80)*(T_PlannedOrders[EffectiveQty]&gt;0)*T_PlannedOrders[Order_Month])),"m月")&amp;"発注)")</f>
        <v/>
      </c>
      <c r="CF1065">
        <f>IF(SUMIFS(T_PlannedOrders[EffectiveQty],T_PlannedOrders[Part Name],$A1059,T_PlannedOrders[WeekIndex],81)=0,"",SUMIFS(T_PlannedOrders[EffectiveQty],T_PlannedOrders[Part Name],$A1059,T_PlannedOrders[WeekIndex],81)&amp;" ("&amp;TEXT(SUMPRODUCT(MAX((T_PlannedOrders[Part Name]=$A1059)*(T_PlannedOrders[WeekIndex]=81)*(T_PlannedOrders[EffectiveQty]&gt;0)*T_PlannedOrders[Order_Month])),"m月")&amp;"発注)")</f>
        <v/>
      </c>
      <c r="CG1065">
        <f>IF(SUMIFS(T_PlannedOrders[EffectiveQty],T_PlannedOrders[Part Name],$A1059,T_PlannedOrders[WeekIndex],82)=0,"",SUMIFS(T_PlannedOrders[EffectiveQty],T_PlannedOrders[Part Name],$A1059,T_PlannedOrders[WeekIndex],82)&amp;" ("&amp;TEXT(SUMPRODUCT(MAX((T_PlannedOrders[Part Name]=$A1059)*(T_PlannedOrders[WeekIndex]=82)*(T_PlannedOrders[EffectiveQty]&gt;0)*T_PlannedOrders[Order_Month])),"m月")&amp;"発注)")</f>
        <v/>
      </c>
      <c r="CH1065">
        <f>IF(SUMIFS(T_PlannedOrders[EffectiveQty],T_PlannedOrders[Part Name],$A1059,T_PlannedOrders[WeekIndex],83)=0,"",SUMIFS(T_PlannedOrders[EffectiveQty],T_PlannedOrders[Part Name],$A1059,T_PlannedOrders[WeekIndex],83)&amp;" ("&amp;TEXT(SUMPRODUCT(MAX((T_PlannedOrders[Part Name]=$A1059)*(T_PlannedOrders[WeekIndex]=83)*(T_PlannedOrders[EffectiveQty]&gt;0)*T_PlannedOrders[Order_Month])),"m月")&amp;"発注)")</f>
        <v/>
      </c>
      <c r="CI1065">
        <f>IF(SUMIFS(T_PlannedOrders[EffectiveQty],T_PlannedOrders[Part Name],$A1059,T_PlannedOrders[WeekIndex],84)=0,"",SUMIFS(T_PlannedOrders[EffectiveQty],T_PlannedOrders[Part Name],$A1059,T_PlannedOrders[WeekIndex],84)&amp;" ("&amp;TEXT(SUMPRODUCT(MAX((T_PlannedOrders[Part Name]=$A1059)*(T_PlannedOrders[WeekIndex]=84)*(T_PlannedOrders[EffectiveQty]&gt;0)*T_PlannedOrders[Order_Month])),"m月")&amp;"発注)")</f>
        <v/>
      </c>
      <c r="CJ1065">
        <f>IF(SUMIFS(T_PlannedOrders[EffectiveQty],T_PlannedOrders[Part Name],$A1059,T_PlannedOrders[WeekIndex],85)=0,"",SUMIFS(T_PlannedOrders[EffectiveQty],T_PlannedOrders[Part Name],$A1059,T_PlannedOrders[WeekIndex],85)&amp;" ("&amp;TEXT(SUMPRODUCT(MAX((T_PlannedOrders[Part Name]=$A1059)*(T_PlannedOrders[WeekIndex]=85)*(T_PlannedOrders[EffectiveQty]&gt;0)*T_PlannedOrders[Order_Month])),"m月")&amp;"発注)")</f>
        <v/>
      </c>
      <c r="CK1065">
        <f>IF(SUMIFS(T_PlannedOrders[EffectiveQty],T_PlannedOrders[Part Name],$A1059,T_PlannedOrders[WeekIndex],86)=0,"",SUMIFS(T_PlannedOrders[EffectiveQty],T_PlannedOrders[Part Name],$A1059,T_PlannedOrders[WeekIndex],86)&amp;" ("&amp;TEXT(SUMPRODUCT(MAX((T_PlannedOrders[Part Name]=$A1059)*(T_PlannedOrders[WeekIndex]=86)*(T_PlannedOrders[EffectiveQty]&gt;0)*T_PlannedOrders[Order_Month])),"m月")&amp;"発注)")</f>
        <v/>
      </c>
      <c r="CL1065">
        <f>IF(SUMIFS(T_PlannedOrders[EffectiveQty],T_PlannedOrders[Part Name],$A1059,T_PlannedOrders[WeekIndex],87)=0,"",SUMIFS(T_PlannedOrders[EffectiveQty],T_PlannedOrders[Part Name],$A1059,T_PlannedOrders[WeekIndex],87)&amp;" ("&amp;TEXT(SUMPRODUCT(MAX((T_PlannedOrders[Part Name]=$A1059)*(T_PlannedOrders[WeekIndex]=87)*(T_PlannedOrders[EffectiveQty]&gt;0)*T_PlannedOrders[Order_Month])),"m月")&amp;"発注)")</f>
        <v/>
      </c>
      <c r="CM1065">
        <f>IF(SUMIFS(T_PlannedOrders[EffectiveQty],T_PlannedOrders[Part Name],$A1059,T_PlannedOrders[WeekIndex],88)=0,"",SUMIFS(T_PlannedOrders[EffectiveQty],T_PlannedOrders[Part Name],$A1059,T_PlannedOrders[WeekIndex],88)&amp;" ("&amp;TEXT(SUMPRODUCT(MAX((T_PlannedOrders[Part Name]=$A1059)*(T_PlannedOrders[WeekIndex]=88)*(T_PlannedOrders[EffectiveQty]&gt;0)*T_PlannedOrders[Order_Month])),"m月")&amp;"発注)")</f>
        <v/>
      </c>
      <c r="CN1065">
        <f>IF(SUMIFS(T_PlannedOrders[EffectiveQty],T_PlannedOrders[Part Name],$A1059,T_PlannedOrders[WeekIndex],89)=0,"",SUMIFS(T_PlannedOrders[EffectiveQty],T_PlannedOrders[Part Name],$A1059,T_PlannedOrders[WeekIndex],89)&amp;" ("&amp;TEXT(SUMPRODUCT(MAX((T_PlannedOrders[Part Name]=$A1059)*(T_PlannedOrders[WeekIndex]=89)*(T_PlannedOrders[EffectiveQty]&gt;0)*T_PlannedOrders[Order_Month])),"m月")&amp;"発注)")</f>
        <v/>
      </c>
      <c r="CO1065">
        <f>IF(SUMIFS(T_PlannedOrders[EffectiveQty],T_PlannedOrders[Part Name],$A1059,T_PlannedOrders[WeekIndex],90)=0,"",SUMIFS(T_PlannedOrders[EffectiveQty],T_PlannedOrders[Part Name],$A1059,T_PlannedOrders[WeekIndex],90)&amp;" ("&amp;TEXT(SUMPRODUCT(MAX((T_PlannedOrders[Part Name]=$A1059)*(T_PlannedOrders[WeekIndex]=90)*(T_PlannedOrders[EffectiveQty]&gt;0)*T_PlannedOrders[Order_Month])),"m月")&amp;"発注)")</f>
        <v/>
      </c>
      <c r="CP1065">
        <f>IF(SUMIFS(T_PlannedOrders[EffectiveQty],T_PlannedOrders[Part Name],$A1059,T_PlannedOrders[WeekIndex],91)=0,"",SUMIFS(T_PlannedOrders[EffectiveQty],T_PlannedOrders[Part Name],$A1059,T_PlannedOrders[WeekIndex],91)&amp;" ("&amp;TEXT(SUMPRODUCT(MAX((T_PlannedOrders[Part Name]=$A1059)*(T_PlannedOrders[WeekIndex]=91)*(T_PlannedOrders[EffectiveQty]&gt;0)*T_PlannedOrders[Order_Month])),"m月")&amp;"発注)")</f>
        <v/>
      </c>
      <c r="CQ1065">
        <f>IF(SUMIFS(T_PlannedOrders[EffectiveQty],T_PlannedOrders[Part Name],$A1059,T_PlannedOrders[WeekIndex],92)=0,"",SUMIFS(T_PlannedOrders[EffectiveQty],T_PlannedOrders[Part Name],$A1059,T_PlannedOrders[WeekIndex],92)&amp;" ("&amp;TEXT(SUMPRODUCT(MAX((T_PlannedOrders[Part Name]=$A1059)*(T_PlannedOrders[WeekIndex]=92)*(T_PlannedOrders[EffectiveQty]&gt;0)*T_PlannedOrders[Order_Month])),"m月")&amp;"発注)")</f>
        <v/>
      </c>
      <c r="CR1065">
        <f>IF(SUMIFS(T_PlannedOrders[EffectiveQty],T_PlannedOrders[Part Name],$A1059,T_PlannedOrders[WeekIndex],93)=0,"",SUMIFS(T_PlannedOrders[EffectiveQty],T_PlannedOrders[Part Name],$A1059,T_PlannedOrders[WeekIndex],93)&amp;" ("&amp;TEXT(SUMPRODUCT(MAX((T_PlannedOrders[Part Name]=$A1059)*(T_PlannedOrders[WeekIndex]=93)*(T_PlannedOrders[EffectiveQty]&gt;0)*T_PlannedOrders[Order_Month])),"m月")&amp;"発注)")</f>
        <v/>
      </c>
      <c r="CS1065">
        <f>IF(SUMIFS(T_PlannedOrders[EffectiveQty],T_PlannedOrders[Part Name],$A1059,T_PlannedOrders[WeekIndex],94)=0,"",SUMIFS(T_PlannedOrders[EffectiveQty],T_PlannedOrders[Part Name],$A1059,T_PlannedOrders[WeekIndex],94)&amp;" ("&amp;TEXT(SUMPRODUCT(MAX((T_PlannedOrders[Part Name]=$A1059)*(T_PlannedOrders[WeekIndex]=94)*(T_PlannedOrders[EffectiveQty]&gt;0)*T_PlannedOrders[Order_Month])),"m月")&amp;"発注)")</f>
        <v/>
      </c>
      <c r="CT1065">
        <f>IF(SUMIFS(T_PlannedOrders[EffectiveQty],T_PlannedOrders[Part Name],$A1059,T_PlannedOrders[WeekIndex],95)=0,"",SUMIFS(T_PlannedOrders[EffectiveQty],T_PlannedOrders[Part Name],$A1059,T_PlannedOrders[WeekIndex],95)&amp;" ("&amp;TEXT(SUMPRODUCT(MAX((T_PlannedOrders[Part Name]=$A1059)*(T_PlannedOrders[WeekIndex]=95)*(T_PlannedOrders[EffectiveQty]&gt;0)*T_PlannedOrders[Order_Month])),"m月")&amp;"発注)")</f>
        <v/>
      </c>
      <c r="CU1065">
        <f>IF(SUMIFS(T_PlannedOrders[EffectiveQty],T_PlannedOrders[Part Name],$A1059,T_PlannedOrders[WeekIndex],96)=0,"",SUMIFS(T_PlannedOrders[EffectiveQty],T_PlannedOrders[Part Name],$A1059,T_PlannedOrders[WeekIndex],96)&amp;" ("&amp;TEXT(SUMPRODUCT(MAX((T_PlannedOrders[Part Name]=$A1059)*(T_PlannedOrders[WeekIndex]=96)*(T_PlannedOrders[EffectiveQty]&gt;0)*T_PlannedOrders[Order_Month])),"m月")&amp;"発注)")</f>
        <v/>
      </c>
      <c r="CV1065">
        <f>IF(SUMIFS(T_PlannedOrders[EffectiveQty],T_PlannedOrders[Part Name],$A1059,T_PlannedOrders[WeekIndex],97)=0,"",SUMIFS(T_PlannedOrders[EffectiveQty],T_PlannedOrders[Part Name],$A1059,T_PlannedOrders[WeekIndex],97)&amp;" ("&amp;TEXT(SUMPRODUCT(MAX((T_PlannedOrders[Part Name]=$A1059)*(T_PlannedOrders[WeekIndex]=97)*(T_PlannedOrders[EffectiveQty]&gt;0)*T_PlannedOrders[Order_Month])),"m月")&amp;"発注)")</f>
        <v/>
      </c>
      <c r="CW1065">
        <f>IF(SUMIFS(T_PlannedOrders[EffectiveQty],T_PlannedOrders[Part Name],$A1059,T_PlannedOrders[WeekIndex],98)=0,"",SUMIFS(T_PlannedOrders[EffectiveQty],T_PlannedOrders[Part Name],$A1059,T_PlannedOrders[WeekIndex],98)&amp;" ("&amp;TEXT(SUMPRODUCT(MAX((T_PlannedOrders[Part Name]=$A1059)*(T_PlannedOrders[WeekIndex]=98)*(T_PlannedOrders[EffectiveQty]&gt;0)*T_PlannedOrders[Order_Month])),"m月")&amp;"発注)")</f>
        <v/>
      </c>
      <c r="CX1065">
        <f>IF(SUMIFS(T_PlannedOrders[EffectiveQty],T_PlannedOrders[Part Name],$A1059,T_PlannedOrders[WeekIndex],99)=0,"",SUMIFS(T_PlannedOrders[EffectiveQty],T_PlannedOrders[Part Name],$A1059,T_PlannedOrders[WeekIndex],99)&amp;" ("&amp;TEXT(SUMPRODUCT(MAX((T_PlannedOrders[Part Name]=$A1059)*(T_PlannedOrders[WeekIndex]=99)*(T_PlannedOrders[EffectiveQty]&gt;0)*T_PlannedOrders[Order_Month])),"m月")&amp;"発注)")</f>
        <v/>
      </c>
      <c r="CY1065">
        <f>IF(SUMIFS(T_PlannedOrders[EffectiveQty],T_PlannedOrders[Part Name],$A1059,T_PlannedOrders[WeekIndex],100)=0,"",SUMIFS(T_PlannedOrders[EffectiveQty],T_PlannedOrders[Part Name],$A1059,T_PlannedOrders[WeekIndex],100)&amp;" ("&amp;TEXT(SUMPRODUCT(MAX((T_PlannedOrders[Part Name]=$A1059)*(T_PlannedOrders[WeekIndex]=100)*(T_PlannedOrders[EffectiveQty]&gt;0)*T_PlannedOrders[Order_Month])),"m月")&amp;"発注)")</f>
        <v/>
      </c>
      <c r="CZ1065">
        <f>IF(SUMIFS(T_PlannedOrders[EffectiveQty],T_PlannedOrders[Part Name],$A1059,T_PlannedOrders[WeekIndex],101)=0,"",SUMIFS(T_PlannedOrders[EffectiveQty],T_PlannedOrders[Part Name],$A1059,T_PlannedOrders[WeekIndex],101)&amp;" ("&amp;TEXT(SUMPRODUCT(MAX((T_PlannedOrders[Part Name]=$A1059)*(T_PlannedOrders[WeekIndex]=101)*(T_PlannedOrders[EffectiveQty]&gt;0)*T_PlannedOrders[Order_Month])),"m月")&amp;"発注)")</f>
        <v/>
      </c>
      <c r="DA1065">
        <f>IF(SUMIFS(T_PlannedOrders[EffectiveQty],T_PlannedOrders[Part Name],$A1059,T_PlannedOrders[WeekIndex],102)=0,"",SUMIFS(T_PlannedOrders[EffectiveQty],T_PlannedOrders[Part Name],$A1059,T_PlannedOrders[WeekIndex],102)&amp;" ("&amp;TEXT(SUMPRODUCT(MAX((T_PlannedOrders[Part Name]=$A1059)*(T_PlannedOrders[WeekIndex]=102)*(T_PlannedOrders[EffectiveQty]&gt;0)*T_PlannedOrders[Order_Month])),"m月")&amp;"発注)")</f>
        <v/>
      </c>
      <c r="DB1065">
        <f>IF(SUMIFS(T_PlannedOrders[EffectiveQty],T_PlannedOrders[Part Name],$A1059,T_PlannedOrders[WeekIndex],103)=0,"",SUMIFS(T_PlannedOrders[EffectiveQty],T_PlannedOrders[Part Name],$A1059,T_PlannedOrders[WeekIndex],103)&amp;" ("&amp;TEXT(SUMPRODUCT(MAX((T_PlannedOrders[Part Name]=$A1059)*(T_PlannedOrders[WeekIndex]=103)*(T_PlannedOrders[EffectiveQty]&gt;0)*T_PlannedOrders[Order_Month])),"m月")&amp;"発注)")</f>
        <v/>
      </c>
      <c r="DC1065">
        <f>IF(SUMIFS(T_PlannedOrders[EffectiveQty],T_PlannedOrders[Part Name],$A1059,T_PlannedOrders[WeekIndex],104)=0,"",SUMIFS(T_PlannedOrders[EffectiveQty],T_PlannedOrders[Part Name],$A1059,T_PlannedOrders[WeekIndex],104)&amp;" ("&amp;TEXT(SUMPRODUCT(MAX((T_PlannedOrders[Part Name]=$A1059)*(T_PlannedOrders[WeekIndex]=104)*(T_PlannedOrders[EffectiveQty]&gt;0)*T_PlannedOrders[Order_Month])),"m月")&amp;"発注)")</f>
        <v/>
      </c>
    </row>
    <row r="1066">
      <c r="B1066" s="4" t="inlineStr">
        <is>
          <t>合計在庫(週末時点,kg)</t>
        </is>
      </c>
      <c r="D1066">
        <f>'Grid_Stock'!B38</f>
        <v/>
      </c>
      <c r="E1066">
        <f>'Grid_Stock'!C38</f>
        <v/>
      </c>
      <c r="F1066">
        <f>'Grid_Stock'!D38</f>
        <v/>
      </c>
      <c r="G1066">
        <f>'Grid_Stock'!E38</f>
        <v/>
      </c>
      <c r="H1066">
        <f>'Grid_Stock'!F38</f>
        <v/>
      </c>
      <c r="I1066">
        <f>'Grid_Stock'!G38</f>
        <v/>
      </c>
      <c r="J1066">
        <f>'Grid_Stock'!H38</f>
        <v/>
      </c>
      <c r="K1066">
        <f>'Grid_Stock'!I38</f>
        <v/>
      </c>
      <c r="L1066">
        <f>'Grid_Stock'!J38</f>
        <v/>
      </c>
      <c r="M1066">
        <f>'Grid_Stock'!K38</f>
        <v/>
      </c>
      <c r="N1066">
        <f>'Grid_Stock'!L38</f>
        <v/>
      </c>
      <c r="O1066">
        <f>'Grid_Stock'!M38</f>
        <v/>
      </c>
      <c r="P1066">
        <f>'Grid_Stock'!N38</f>
        <v/>
      </c>
      <c r="Q1066">
        <f>'Grid_Stock'!O38</f>
        <v/>
      </c>
      <c r="R1066">
        <f>'Grid_Stock'!P38</f>
        <v/>
      </c>
      <c r="S1066">
        <f>'Grid_Stock'!Q38</f>
        <v/>
      </c>
      <c r="T1066">
        <f>'Grid_Stock'!R38</f>
        <v/>
      </c>
      <c r="U1066">
        <f>'Grid_Stock'!S38</f>
        <v/>
      </c>
      <c r="V1066">
        <f>'Grid_Stock'!T38</f>
        <v/>
      </c>
      <c r="W1066">
        <f>'Grid_Stock'!U38</f>
        <v/>
      </c>
      <c r="X1066">
        <f>'Grid_Stock'!V38</f>
        <v/>
      </c>
      <c r="Y1066">
        <f>'Grid_Stock'!W38</f>
        <v/>
      </c>
      <c r="Z1066">
        <f>'Grid_Stock'!X38</f>
        <v/>
      </c>
      <c r="AA1066">
        <f>'Grid_Stock'!Y38</f>
        <v/>
      </c>
      <c r="AB1066">
        <f>'Grid_Stock'!Z38</f>
        <v/>
      </c>
      <c r="AC1066">
        <f>'Grid_Stock'!AA38</f>
        <v/>
      </c>
      <c r="AD1066">
        <f>'Grid_Stock'!AB38</f>
        <v/>
      </c>
      <c r="AE1066">
        <f>'Grid_Stock'!AC38</f>
        <v/>
      </c>
      <c r="AF1066">
        <f>'Grid_Stock'!AD38</f>
        <v/>
      </c>
      <c r="AG1066">
        <f>'Grid_Stock'!AE38</f>
        <v/>
      </c>
      <c r="AH1066">
        <f>'Grid_Stock'!AF38</f>
        <v/>
      </c>
      <c r="AI1066">
        <f>'Grid_Stock'!AG38</f>
        <v/>
      </c>
      <c r="AJ1066">
        <f>'Grid_Stock'!AH38</f>
        <v/>
      </c>
      <c r="AK1066">
        <f>'Grid_Stock'!AI38</f>
        <v/>
      </c>
      <c r="AL1066">
        <f>'Grid_Stock'!AJ38</f>
        <v/>
      </c>
      <c r="AM1066">
        <f>'Grid_Stock'!AK38</f>
        <v/>
      </c>
      <c r="AN1066">
        <f>'Grid_Stock'!AL38</f>
        <v/>
      </c>
      <c r="AO1066">
        <f>'Grid_Stock'!AM38</f>
        <v/>
      </c>
      <c r="AP1066">
        <f>'Grid_Stock'!AN38</f>
        <v/>
      </c>
      <c r="AQ1066">
        <f>'Grid_Stock'!AO38</f>
        <v/>
      </c>
      <c r="AR1066">
        <f>'Grid_Stock'!AP38</f>
        <v/>
      </c>
      <c r="AS1066">
        <f>'Grid_Stock'!AQ38</f>
        <v/>
      </c>
      <c r="AT1066">
        <f>'Grid_Stock'!AR38</f>
        <v/>
      </c>
      <c r="AU1066">
        <f>'Grid_Stock'!AS38</f>
        <v/>
      </c>
      <c r="AV1066">
        <f>'Grid_Stock'!AT38</f>
        <v/>
      </c>
      <c r="AW1066">
        <f>'Grid_Stock'!AU38</f>
        <v/>
      </c>
      <c r="AX1066">
        <f>'Grid_Stock'!AV38</f>
        <v/>
      </c>
      <c r="AY1066">
        <f>'Grid_Stock'!AW38</f>
        <v/>
      </c>
      <c r="AZ1066">
        <f>'Grid_Stock'!AX38</f>
        <v/>
      </c>
      <c r="BA1066">
        <f>'Grid_Stock'!AY38</f>
        <v/>
      </c>
      <c r="BB1066">
        <f>'Grid_Stock'!AZ38</f>
        <v/>
      </c>
      <c r="BC1066">
        <f>'Grid_Stock'!BA38</f>
        <v/>
      </c>
      <c r="BD1066">
        <f>'Grid_Stock'!BB38</f>
        <v/>
      </c>
      <c r="BE1066">
        <f>'Grid_Stock'!BC38</f>
        <v/>
      </c>
      <c r="BF1066">
        <f>'Grid_Stock'!BD38</f>
        <v/>
      </c>
      <c r="BG1066">
        <f>'Grid_Stock'!BE38</f>
        <v/>
      </c>
      <c r="BH1066">
        <f>'Grid_Stock'!BF38</f>
        <v/>
      </c>
      <c r="BI1066">
        <f>'Grid_Stock'!BG38</f>
        <v/>
      </c>
      <c r="BJ1066">
        <f>'Grid_Stock'!BH38</f>
        <v/>
      </c>
      <c r="BK1066">
        <f>'Grid_Stock'!BI38</f>
        <v/>
      </c>
      <c r="BL1066">
        <f>'Grid_Stock'!BJ38</f>
        <v/>
      </c>
      <c r="BM1066">
        <f>'Grid_Stock'!BK38</f>
        <v/>
      </c>
      <c r="BN1066">
        <f>'Grid_Stock'!BL38</f>
        <v/>
      </c>
      <c r="BO1066">
        <f>'Grid_Stock'!BM38</f>
        <v/>
      </c>
      <c r="BP1066">
        <f>'Grid_Stock'!BN38</f>
        <v/>
      </c>
      <c r="BQ1066">
        <f>'Grid_Stock'!BO38</f>
        <v/>
      </c>
      <c r="BR1066">
        <f>'Grid_Stock'!BP38</f>
        <v/>
      </c>
      <c r="BS1066">
        <f>'Grid_Stock'!BQ38</f>
        <v/>
      </c>
      <c r="BT1066">
        <f>'Grid_Stock'!BR38</f>
        <v/>
      </c>
      <c r="BU1066">
        <f>'Grid_Stock'!BS38</f>
        <v/>
      </c>
      <c r="BV1066">
        <f>'Grid_Stock'!BT38</f>
        <v/>
      </c>
      <c r="BW1066">
        <f>'Grid_Stock'!BU38</f>
        <v/>
      </c>
      <c r="BX1066">
        <f>'Grid_Stock'!BV38</f>
        <v/>
      </c>
      <c r="BY1066">
        <f>'Grid_Stock'!BW38</f>
        <v/>
      </c>
      <c r="BZ1066">
        <f>'Grid_Stock'!BX38</f>
        <v/>
      </c>
      <c r="CA1066">
        <f>'Grid_Stock'!BY38</f>
        <v/>
      </c>
      <c r="CB1066">
        <f>'Grid_Stock'!BZ38</f>
        <v/>
      </c>
      <c r="CC1066">
        <f>'Grid_Stock'!CA38</f>
        <v/>
      </c>
      <c r="CD1066">
        <f>'Grid_Stock'!CB38</f>
        <v/>
      </c>
      <c r="CE1066">
        <f>'Grid_Stock'!CC38</f>
        <v/>
      </c>
      <c r="CF1066">
        <f>'Grid_Stock'!CD38</f>
        <v/>
      </c>
      <c r="CG1066">
        <f>'Grid_Stock'!CE38</f>
        <v/>
      </c>
      <c r="CH1066">
        <f>'Grid_Stock'!CF38</f>
        <v/>
      </c>
      <c r="CI1066">
        <f>'Grid_Stock'!CG38</f>
        <v/>
      </c>
      <c r="CJ1066">
        <f>'Grid_Stock'!CH38</f>
        <v/>
      </c>
      <c r="CK1066">
        <f>'Grid_Stock'!CI38</f>
        <v/>
      </c>
      <c r="CL1066">
        <f>'Grid_Stock'!CJ38</f>
        <v/>
      </c>
      <c r="CM1066">
        <f>'Grid_Stock'!CK38</f>
        <v/>
      </c>
      <c r="CN1066">
        <f>'Grid_Stock'!CL38</f>
        <v/>
      </c>
      <c r="CO1066">
        <f>'Grid_Stock'!CM38</f>
        <v/>
      </c>
      <c r="CP1066">
        <f>'Grid_Stock'!CN38</f>
        <v/>
      </c>
      <c r="CQ1066">
        <f>'Grid_Stock'!CO38</f>
        <v/>
      </c>
      <c r="CR1066">
        <f>'Grid_Stock'!CP38</f>
        <v/>
      </c>
      <c r="CS1066">
        <f>'Grid_Stock'!CQ38</f>
        <v/>
      </c>
      <c r="CT1066">
        <f>'Grid_Stock'!CR38</f>
        <v/>
      </c>
      <c r="CU1066">
        <f>'Grid_Stock'!CS38</f>
        <v/>
      </c>
      <c r="CV1066">
        <f>'Grid_Stock'!CT38</f>
        <v/>
      </c>
      <c r="CW1066">
        <f>'Grid_Stock'!CU38</f>
        <v/>
      </c>
      <c r="CX1066">
        <f>'Grid_Stock'!CV38</f>
        <v/>
      </c>
      <c r="CY1066">
        <f>'Grid_Stock'!CW38</f>
        <v/>
      </c>
      <c r="CZ1066">
        <f>'Grid_Stock'!CX38</f>
        <v/>
      </c>
      <c r="DA1066">
        <f>'Grid_Stock'!CY38</f>
        <v/>
      </c>
      <c r="DB1066">
        <f>'Grid_Stock'!CZ38</f>
        <v/>
      </c>
      <c r="DC1066">
        <f>'Grid_Stock'!DA38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3TP</t>
        </is>
      </c>
      <c r="B1069" s="14" t="inlineStr">
        <is>
          <t>3TP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F2290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s="4" t="inlineStr">
        <is>
          <t>合計使用量(kg)/週</t>
        </is>
      </c>
      <c r="D1072">
        <f>'Grid_Requirement'!B44</f>
        <v/>
      </c>
      <c r="E1072">
        <f>'Grid_Requirement'!C44</f>
        <v/>
      </c>
      <c r="F1072">
        <f>'Grid_Requirement'!D44</f>
        <v/>
      </c>
      <c r="G1072">
        <f>'Grid_Requirement'!E44</f>
        <v/>
      </c>
      <c r="H1072">
        <f>'Grid_Requirement'!F44</f>
        <v/>
      </c>
      <c r="I1072">
        <f>'Grid_Requirement'!G44</f>
        <v/>
      </c>
      <c r="J1072">
        <f>'Grid_Requirement'!H44</f>
        <v/>
      </c>
      <c r="K1072">
        <f>'Grid_Requirement'!I44</f>
        <v/>
      </c>
      <c r="L1072">
        <f>'Grid_Requirement'!J44</f>
        <v/>
      </c>
      <c r="M1072">
        <f>'Grid_Requirement'!K44</f>
        <v/>
      </c>
      <c r="N1072">
        <f>'Grid_Requirement'!L44</f>
        <v/>
      </c>
      <c r="O1072">
        <f>'Grid_Requirement'!M44</f>
        <v/>
      </c>
      <c r="P1072">
        <f>'Grid_Requirement'!N44</f>
        <v/>
      </c>
      <c r="Q1072">
        <f>'Grid_Requirement'!O44</f>
        <v/>
      </c>
      <c r="R1072">
        <f>'Grid_Requirement'!P44</f>
        <v/>
      </c>
      <c r="S1072">
        <f>'Grid_Requirement'!Q44</f>
        <v/>
      </c>
      <c r="T1072">
        <f>'Grid_Requirement'!R44</f>
        <v/>
      </c>
      <c r="U1072">
        <f>'Grid_Requirement'!S44</f>
        <v/>
      </c>
      <c r="V1072">
        <f>'Grid_Requirement'!T44</f>
        <v/>
      </c>
      <c r="W1072">
        <f>'Grid_Requirement'!U44</f>
        <v/>
      </c>
      <c r="X1072">
        <f>'Grid_Requirement'!V44</f>
        <v/>
      </c>
      <c r="Y1072">
        <f>'Grid_Requirement'!W44</f>
        <v/>
      </c>
      <c r="Z1072">
        <f>'Grid_Requirement'!X44</f>
        <v/>
      </c>
      <c r="AA1072">
        <f>'Grid_Requirement'!Y44</f>
        <v/>
      </c>
      <c r="AB1072">
        <f>'Grid_Requirement'!Z44</f>
        <v/>
      </c>
      <c r="AC1072">
        <f>'Grid_Requirement'!AA44</f>
        <v/>
      </c>
      <c r="AD1072">
        <f>'Grid_Requirement'!AB44</f>
        <v/>
      </c>
      <c r="AE1072">
        <f>'Grid_Requirement'!AC44</f>
        <v/>
      </c>
      <c r="AF1072">
        <f>'Grid_Requirement'!AD44</f>
        <v/>
      </c>
      <c r="AG1072">
        <f>'Grid_Requirement'!AE44</f>
        <v/>
      </c>
      <c r="AH1072">
        <f>'Grid_Requirement'!AF44</f>
        <v/>
      </c>
      <c r="AI1072">
        <f>'Grid_Requirement'!AG44</f>
        <v/>
      </c>
      <c r="AJ1072">
        <f>'Grid_Requirement'!AH44</f>
        <v/>
      </c>
      <c r="AK1072">
        <f>'Grid_Requirement'!AI44</f>
        <v/>
      </c>
      <c r="AL1072">
        <f>'Grid_Requirement'!AJ44</f>
        <v/>
      </c>
      <c r="AM1072">
        <f>'Grid_Requirement'!AK44</f>
        <v/>
      </c>
      <c r="AN1072">
        <f>'Grid_Requirement'!AL44</f>
        <v/>
      </c>
      <c r="AO1072">
        <f>'Grid_Requirement'!AM44</f>
        <v/>
      </c>
      <c r="AP1072">
        <f>'Grid_Requirement'!AN44</f>
        <v/>
      </c>
      <c r="AQ1072">
        <f>'Grid_Requirement'!AO44</f>
        <v/>
      </c>
      <c r="AR1072">
        <f>'Grid_Requirement'!AP44</f>
        <v/>
      </c>
      <c r="AS1072">
        <f>'Grid_Requirement'!AQ44</f>
        <v/>
      </c>
      <c r="AT1072">
        <f>'Grid_Requirement'!AR44</f>
        <v/>
      </c>
      <c r="AU1072">
        <f>'Grid_Requirement'!AS44</f>
        <v/>
      </c>
      <c r="AV1072">
        <f>'Grid_Requirement'!AT44</f>
        <v/>
      </c>
      <c r="AW1072">
        <f>'Grid_Requirement'!AU44</f>
        <v/>
      </c>
      <c r="AX1072">
        <f>'Grid_Requirement'!AV44</f>
        <v/>
      </c>
      <c r="AY1072">
        <f>'Grid_Requirement'!AW44</f>
        <v/>
      </c>
      <c r="AZ1072">
        <f>'Grid_Requirement'!AX44</f>
        <v/>
      </c>
      <c r="BA1072">
        <f>'Grid_Requirement'!AY44</f>
        <v/>
      </c>
      <c r="BB1072">
        <f>'Grid_Requirement'!AZ44</f>
        <v/>
      </c>
      <c r="BC1072">
        <f>'Grid_Requirement'!BA44</f>
        <v/>
      </c>
      <c r="BD1072">
        <f>'Grid_Requirement'!BB44</f>
        <v/>
      </c>
      <c r="BE1072">
        <f>'Grid_Requirement'!BC44</f>
        <v/>
      </c>
      <c r="BF1072">
        <f>'Grid_Requirement'!BD44</f>
        <v/>
      </c>
      <c r="BG1072">
        <f>'Grid_Requirement'!BE44</f>
        <v/>
      </c>
      <c r="BH1072">
        <f>'Grid_Requirement'!BF44</f>
        <v/>
      </c>
      <c r="BI1072">
        <f>'Grid_Requirement'!BG44</f>
        <v/>
      </c>
      <c r="BJ1072">
        <f>'Grid_Requirement'!BH44</f>
        <v/>
      </c>
      <c r="BK1072">
        <f>'Grid_Requirement'!BI44</f>
        <v/>
      </c>
      <c r="BL1072">
        <f>'Grid_Requirement'!BJ44</f>
        <v/>
      </c>
      <c r="BM1072">
        <f>'Grid_Requirement'!BK44</f>
        <v/>
      </c>
      <c r="BN1072">
        <f>'Grid_Requirement'!BL44</f>
        <v/>
      </c>
      <c r="BO1072">
        <f>'Grid_Requirement'!BM44</f>
        <v/>
      </c>
      <c r="BP1072">
        <f>'Grid_Requirement'!BN44</f>
        <v/>
      </c>
      <c r="BQ1072">
        <f>'Grid_Requirement'!BO44</f>
        <v/>
      </c>
      <c r="BR1072">
        <f>'Grid_Requirement'!BP44</f>
        <v/>
      </c>
      <c r="BS1072">
        <f>'Grid_Requirement'!BQ44</f>
        <v/>
      </c>
      <c r="BT1072">
        <f>'Grid_Requirement'!BR44</f>
        <v/>
      </c>
      <c r="BU1072">
        <f>'Grid_Requirement'!BS44</f>
        <v/>
      </c>
      <c r="BV1072">
        <f>'Grid_Requirement'!BT44</f>
        <v/>
      </c>
      <c r="BW1072">
        <f>'Grid_Requirement'!BU44</f>
        <v/>
      </c>
      <c r="BX1072">
        <f>'Grid_Requirement'!BV44</f>
        <v/>
      </c>
      <c r="BY1072">
        <f>'Grid_Requirement'!BW44</f>
        <v/>
      </c>
      <c r="BZ1072">
        <f>'Grid_Requirement'!BX44</f>
        <v/>
      </c>
      <c r="CA1072">
        <f>'Grid_Requirement'!BY44</f>
        <v/>
      </c>
      <c r="CB1072">
        <f>'Grid_Requirement'!BZ44</f>
        <v/>
      </c>
      <c r="CC1072">
        <f>'Grid_Requirement'!CA44</f>
        <v/>
      </c>
      <c r="CD1072">
        <f>'Grid_Requirement'!CB44</f>
        <v/>
      </c>
      <c r="CE1072">
        <f>'Grid_Requirement'!CC44</f>
        <v/>
      </c>
      <c r="CF1072">
        <f>'Grid_Requirement'!CD44</f>
        <v/>
      </c>
      <c r="CG1072">
        <f>'Grid_Requirement'!CE44</f>
        <v/>
      </c>
      <c r="CH1072">
        <f>'Grid_Requirement'!CF44</f>
        <v/>
      </c>
      <c r="CI1072">
        <f>'Grid_Requirement'!CG44</f>
        <v/>
      </c>
      <c r="CJ1072">
        <f>'Grid_Requirement'!CH44</f>
        <v/>
      </c>
      <c r="CK1072">
        <f>'Grid_Requirement'!CI44</f>
        <v/>
      </c>
      <c r="CL1072">
        <f>'Grid_Requirement'!CJ44</f>
        <v/>
      </c>
      <c r="CM1072">
        <f>'Grid_Requirement'!CK44</f>
        <v/>
      </c>
      <c r="CN1072">
        <f>'Grid_Requirement'!CL44</f>
        <v/>
      </c>
      <c r="CO1072">
        <f>'Grid_Requirement'!CM44</f>
        <v/>
      </c>
      <c r="CP1072">
        <f>'Grid_Requirement'!CN44</f>
        <v/>
      </c>
      <c r="CQ1072">
        <f>'Grid_Requirement'!CO44</f>
        <v/>
      </c>
      <c r="CR1072">
        <f>'Grid_Requirement'!CP44</f>
        <v/>
      </c>
      <c r="CS1072">
        <f>'Grid_Requirement'!CQ44</f>
        <v/>
      </c>
      <c r="CT1072">
        <f>'Grid_Requirement'!CR44</f>
        <v/>
      </c>
      <c r="CU1072">
        <f>'Grid_Requirement'!CS44</f>
        <v/>
      </c>
      <c r="CV1072">
        <f>'Grid_Requirement'!CT44</f>
        <v/>
      </c>
      <c r="CW1072">
        <f>'Grid_Requirement'!CU44</f>
        <v/>
      </c>
      <c r="CX1072">
        <f>'Grid_Requirement'!CV44</f>
        <v/>
      </c>
      <c r="CY1072">
        <f>'Grid_Requirement'!CW44</f>
        <v/>
      </c>
      <c r="CZ1072">
        <f>'Grid_Requirement'!CX44</f>
        <v/>
      </c>
      <c r="DA1072">
        <f>'Grid_Requirement'!CY44</f>
        <v/>
      </c>
      <c r="DB1072">
        <f>'Grid_Requirement'!CZ44</f>
        <v/>
      </c>
      <c r="DC1072">
        <f>'Grid_Requirement'!DA44</f>
        <v/>
      </c>
    </row>
    <row r="1073">
      <c r="B1073" t="inlineStr">
        <is>
          <t>TTAF在庫(実績,kg)</t>
        </is>
      </c>
      <c r="D1073">
        <f>'T_TTAFStock'!B48</f>
        <v/>
      </c>
      <c r="E1073">
        <f>'T_TTAFStock'!C48</f>
        <v/>
      </c>
      <c r="F1073">
        <f>'T_TTAFStock'!D48</f>
        <v/>
      </c>
      <c r="G1073">
        <f>'T_TTAFStock'!E48</f>
        <v/>
      </c>
      <c r="H1073">
        <f>'T_TTAFStock'!F48</f>
        <v/>
      </c>
      <c r="I1073">
        <f>'T_TTAFStock'!G48</f>
        <v/>
      </c>
      <c r="J1073">
        <f>'T_TTAFStock'!H48</f>
        <v/>
      </c>
      <c r="K1073">
        <f>'T_TTAFStock'!I48</f>
        <v/>
      </c>
      <c r="L1073">
        <f>'T_TTAFStock'!J48</f>
        <v/>
      </c>
      <c r="M1073">
        <f>'T_TTAFStock'!K48</f>
        <v/>
      </c>
      <c r="N1073">
        <f>'T_TTAFStock'!L48</f>
        <v/>
      </c>
      <c r="O1073">
        <f>'T_TTAFStock'!M48</f>
        <v/>
      </c>
      <c r="P1073">
        <f>'T_TTAFStock'!N48</f>
        <v/>
      </c>
      <c r="Q1073">
        <f>'T_TTAFStock'!O48</f>
        <v/>
      </c>
      <c r="R1073">
        <f>'T_TTAFStock'!P48</f>
        <v/>
      </c>
      <c r="S1073">
        <f>'T_TTAFStock'!Q48</f>
        <v/>
      </c>
      <c r="T1073">
        <f>'T_TTAFStock'!R48</f>
        <v/>
      </c>
      <c r="U1073">
        <f>'T_TTAFStock'!S48</f>
        <v/>
      </c>
      <c r="V1073">
        <f>'T_TTAFStock'!T48</f>
        <v/>
      </c>
      <c r="W1073">
        <f>'T_TTAFStock'!U48</f>
        <v/>
      </c>
      <c r="X1073">
        <f>'T_TTAFStock'!V48</f>
        <v/>
      </c>
      <c r="Y1073">
        <f>'T_TTAFStock'!W48</f>
        <v/>
      </c>
      <c r="Z1073">
        <f>'T_TTAFStock'!X48</f>
        <v/>
      </c>
      <c r="AA1073">
        <f>'T_TTAFStock'!Y48</f>
        <v/>
      </c>
      <c r="AB1073">
        <f>'T_TTAFStock'!Z48</f>
        <v/>
      </c>
      <c r="AC1073">
        <f>'T_TTAFStock'!AA48</f>
        <v/>
      </c>
      <c r="AD1073">
        <f>'T_TTAFStock'!AB48</f>
        <v/>
      </c>
      <c r="AE1073">
        <f>'T_TTAFStock'!AC48</f>
        <v/>
      </c>
      <c r="AF1073">
        <f>'T_TTAFStock'!AD48</f>
        <v/>
      </c>
      <c r="AG1073">
        <f>'T_TTAFStock'!AE48</f>
        <v/>
      </c>
      <c r="AH1073">
        <f>'T_TTAFStock'!AF48</f>
        <v/>
      </c>
      <c r="AI1073">
        <f>'T_TTAFStock'!AG48</f>
        <v/>
      </c>
      <c r="AJ1073">
        <f>'T_TTAFStock'!AH48</f>
        <v/>
      </c>
      <c r="AK1073">
        <f>'T_TTAFStock'!AI48</f>
        <v/>
      </c>
      <c r="AL1073">
        <f>'T_TTAFStock'!AJ48</f>
        <v/>
      </c>
      <c r="AM1073">
        <f>'T_TTAFStock'!AK48</f>
        <v/>
      </c>
      <c r="AN1073">
        <f>'T_TTAFStock'!AL48</f>
        <v/>
      </c>
      <c r="AO1073">
        <f>'T_TTAFStock'!AM48</f>
        <v/>
      </c>
      <c r="AP1073">
        <f>'T_TTAFStock'!AN48</f>
        <v/>
      </c>
      <c r="AQ1073">
        <f>'T_TTAFStock'!AO48</f>
        <v/>
      </c>
      <c r="AR1073">
        <f>'T_TTAFStock'!AP48</f>
        <v/>
      </c>
      <c r="AS1073">
        <f>'T_TTAFStock'!AQ48</f>
        <v/>
      </c>
      <c r="AT1073">
        <f>'T_TTAFStock'!AR48</f>
        <v/>
      </c>
      <c r="AU1073">
        <f>'T_TTAFStock'!AS48</f>
        <v/>
      </c>
      <c r="AV1073">
        <f>'T_TTAFStock'!AT48</f>
        <v/>
      </c>
      <c r="AW1073">
        <f>'T_TTAFStock'!AU48</f>
        <v/>
      </c>
      <c r="AX1073">
        <f>'T_TTAFStock'!AV48</f>
        <v/>
      </c>
      <c r="AY1073">
        <f>'T_TTAFStock'!AW48</f>
        <v/>
      </c>
      <c r="AZ1073">
        <f>'T_TTAFStock'!AX48</f>
        <v/>
      </c>
      <c r="BA1073">
        <f>'T_TTAFStock'!AY48</f>
        <v/>
      </c>
      <c r="BB1073">
        <f>'T_TTAFStock'!AZ48</f>
        <v/>
      </c>
      <c r="BC1073">
        <f>'T_TTAFStock'!BA48</f>
        <v/>
      </c>
      <c r="BD1073">
        <f>'T_TTAFStock'!BB48</f>
        <v/>
      </c>
      <c r="BE1073">
        <f>'T_TTAFStock'!BC48</f>
        <v/>
      </c>
      <c r="BF1073">
        <f>'T_TTAFStock'!BD48</f>
        <v/>
      </c>
      <c r="BG1073">
        <f>'T_TTAFStock'!BE48</f>
        <v/>
      </c>
      <c r="BH1073">
        <f>'T_TTAFStock'!BF48</f>
        <v/>
      </c>
      <c r="BI1073">
        <f>'T_TTAFStock'!BG48</f>
        <v/>
      </c>
      <c r="BJ1073">
        <f>'T_TTAFStock'!BH48</f>
        <v/>
      </c>
      <c r="BK1073">
        <f>'T_TTAFStock'!BI48</f>
        <v/>
      </c>
      <c r="BL1073">
        <f>'T_TTAFStock'!BJ48</f>
        <v/>
      </c>
      <c r="BM1073">
        <f>'T_TTAFStock'!BK48</f>
        <v/>
      </c>
      <c r="BN1073">
        <f>'T_TTAFStock'!BL48</f>
        <v/>
      </c>
      <c r="BO1073">
        <f>'T_TTAFStock'!BM48</f>
        <v/>
      </c>
      <c r="BP1073">
        <f>'T_TTAFStock'!BN48</f>
        <v/>
      </c>
      <c r="BQ1073">
        <f>'T_TTAFStock'!BO48</f>
        <v/>
      </c>
      <c r="BR1073">
        <f>'T_TTAFStock'!BP48</f>
        <v/>
      </c>
      <c r="BS1073">
        <f>'T_TTAFStock'!BQ48</f>
        <v/>
      </c>
      <c r="BT1073">
        <f>'T_TTAFStock'!BR48</f>
        <v/>
      </c>
      <c r="BU1073">
        <f>'T_TTAFStock'!BS48</f>
        <v/>
      </c>
      <c r="BV1073">
        <f>'T_TTAFStock'!BT48</f>
        <v/>
      </c>
      <c r="BW1073">
        <f>'T_TTAFStock'!BU48</f>
        <v/>
      </c>
      <c r="BX1073">
        <f>'T_TTAFStock'!BV48</f>
        <v/>
      </c>
      <c r="BY1073">
        <f>'T_TTAFStock'!BW48</f>
        <v/>
      </c>
      <c r="BZ1073">
        <f>'T_TTAFStock'!BX48</f>
        <v/>
      </c>
      <c r="CA1073">
        <f>'T_TTAFStock'!BY48</f>
        <v/>
      </c>
      <c r="CB1073">
        <f>'T_TTAFStock'!BZ48</f>
        <v/>
      </c>
      <c r="CC1073">
        <f>'T_TTAFStock'!CA48</f>
        <v/>
      </c>
      <c r="CD1073">
        <f>'T_TTAFStock'!CB48</f>
        <v/>
      </c>
      <c r="CE1073">
        <f>'T_TTAFStock'!CC48</f>
        <v/>
      </c>
      <c r="CF1073">
        <f>'T_TTAFStock'!CD48</f>
        <v/>
      </c>
      <c r="CG1073">
        <f>'T_TTAFStock'!CE48</f>
        <v/>
      </c>
      <c r="CH1073">
        <f>'T_TTAFStock'!CF48</f>
        <v/>
      </c>
      <c r="CI1073">
        <f>'T_TTAFStock'!CG48</f>
        <v/>
      </c>
      <c r="CJ1073">
        <f>'T_TTAFStock'!CH48</f>
        <v/>
      </c>
      <c r="CK1073">
        <f>'T_TTAFStock'!CI48</f>
        <v/>
      </c>
      <c r="CL1073">
        <f>'T_TTAFStock'!CJ48</f>
        <v/>
      </c>
      <c r="CM1073">
        <f>'T_TTAFStock'!CK48</f>
        <v/>
      </c>
      <c r="CN1073">
        <f>'T_TTAFStock'!CL48</f>
        <v/>
      </c>
      <c r="CO1073">
        <f>'T_TTAFStock'!CM48</f>
        <v/>
      </c>
      <c r="CP1073">
        <f>'T_TTAFStock'!CN48</f>
        <v/>
      </c>
      <c r="CQ1073">
        <f>'T_TTAFStock'!CO48</f>
        <v/>
      </c>
      <c r="CR1073">
        <f>'T_TTAFStock'!CP48</f>
        <v/>
      </c>
      <c r="CS1073">
        <f>'T_TTAFStock'!CQ48</f>
        <v/>
      </c>
      <c r="CT1073">
        <f>'T_TTAFStock'!CR48</f>
        <v/>
      </c>
      <c r="CU1073">
        <f>'T_TTAFStock'!CS48</f>
        <v/>
      </c>
      <c r="CV1073">
        <f>'T_TTAFStock'!CT48</f>
        <v/>
      </c>
      <c r="CW1073">
        <f>'T_TTAFStock'!CU48</f>
        <v/>
      </c>
      <c r="CX1073">
        <f>'T_TTAFStock'!CV48</f>
        <v/>
      </c>
      <c r="CY1073">
        <f>'T_TTAFStock'!CW48</f>
        <v/>
      </c>
      <c r="CZ1073">
        <f>'T_TTAFStock'!CX48</f>
        <v/>
      </c>
      <c r="DA1073">
        <f>'T_TTAFStock'!CY48</f>
        <v/>
      </c>
      <c r="DB1073">
        <f>'T_TTAFStock'!CZ48</f>
        <v/>
      </c>
      <c r="DC1073">
        <f>'T_TTAFStock'!DA48</f>
        <v/>
      </c>
    </row>
    <row r="1074">
      <c r="B1074" t="inlineStr">
        <is>
          <t>自社在庫(実績,kg)</t>
        </is>
      </c>
      <c r="D1074">
        <f>'T_SelfStock'!B48</f>
        <v/>
      </c>
      <c r="E1074">
        <f>'T_SelfStock'!C48</f>
        <v/>
      </c>
      <c r="F1074">
        <f>'T_SelfStock'!D48</f>
        <v/>
      </c>
      <c r="G1074">
        <f>'T_SelfStock'!E48</f>
        <v/>
      </c>
      <c r="H1074">
        <f>'T_SelfStock'!F48</f>
        <v/>
      </c>
      <c r="I1074">
        <f>'T_SelfStock'!G48</f>
        <v/>
      </c>
      <c r="J1074">
        <f>'T_SelfStock'!H48</f>
        <v/>
      </c>
      <c r="K1074">
        <f>'T_SelfStock'!I48</f>
        <v/>
      </c>
      <c r="L1074">
        <f>'T_SelfStock'!J48</f>
        <v/>
      </c>
      <c r="M1074">
        <f>'T_SelfStock'!K48</f>
        <v/>
      </c>
      <c r="N1074">
        <f>'T_SelfStock'!L48</f>
        <v/>
      </c>
      <c r="O1074">
        <f>'T_SelfStock'!M48</f>
        <v/>
      </c>
      <c r="P1074">
        <f>'T_SelfStock'!N48</f>
        <v/>
      </c>
      <c r="Q1074">
        <f>'T_SelfStock'!O48</f>
        <v/>
      </c>
      <c r="R1074">
        <f>'T_SelfStock'!P48</f>
        <v/>
      </c>
      <c r="S1074">
        <f>'T_SelfStock'!Q48</f>
        <v/>
      </c>
      <c r="T1074">
        <f>'T_SelfStock'!R48</f>
        <v/>
      </c>
      <c r="U1074">
        <f>'T_SelfStock'!S48</f>
        <v/>
      </c>
      <c r="V1074">
        <f>'T_SelfStock'!T48</f>
        <v/>
      </c>
      <c r="W1074">
        <f>'T_SelfStock'!U48</f>
        <v/>
      </c>
      <c r="X1074">
        <f>'T_SelfStock'!V48</f>
        <v/>
      </c>
      <c r="Y1074">
        <f>'T_SelfStock'!W48</f>
        <v/>
      </c>
      <c r="Z1074">
        <f>'T_SelfStock'!X48</f>
        <v/>
      </c>
      <c r="AA1074">
        <f>'T_SelfStock'!Y48</f>
        <v/>
      </c>
      <c r="AB1074">
        <f>'T_SelfStock'!Z48</f>
        <v/>
      </c>
      <c r="AC1074">
        <f>'T_SelfStock'!AA48</f>
        <v/>
      </c>
      <c r="AD1074">
        <f>'T_SelfStock'!AB48</f>
        <v/>
      </c>
      <c r="AE1074">
        <f>'T_SelfStock'!AC48</f>
        <v/>
      </c>
      <c r="AF1074">
        <f>'T_SelfStock'!AD48</f>
        <v/>
      </c>
      <c r="AG1074">
        <f>'T_SelfStock'!AE48</f>
        <v/>
      </c>
      <c r="AH1074">
        <f>'T_SelfStock'!AF48</f>
        <v/>
      </c>
      <c r="AI1074">
        <f>'T_SelfStock'!AG48</f>
        <v/>
      </c>
      <c r="AJ1074">
        <f>'T_SelfStock'!AH48</f>
        <v/>
      </c>
      <c r="AK1074">
        <f>'T_SelfStock'!AI48</f>
        <v/>
      </c>
      <c r="AL1074">
        <f>'T_SelfStock'!AJ48</f>
        <v/>
      </c>
      <c r="AM1074">
        <f>'T_SelfStock'!AK48</f>
        <v/>
      </c>
      <c r="AN1074">
        <f>'T_SelfStock'!AL48</f>
        <v/>
      </c>
      <c r="AO1074">
        <f>'T_SelfStock'!AM48</f>
        <v/>
      </c>
      <c r="AP1074">
        <f>'T_SelfStock'!AN48</f>
        <v/>
      </c>
      <c r="AQ1074">
        <f>'T_SelfStock'!AO48</f>
        <v/>
      </c>
      <c r="AR1074">
        <f>'T_SelfStock'!AP48</f>
        <v/>
      </c>
      <c r="AS1074">
        <f>'T_SelfStock'!AQ48</f>
        <v/>
      </c>
      <c r="AT1074">
        <f>'T_SelfStock'!AR48</f>
        <v/>
      </c>
      <c r="AU1074">
        <f>'T_SelfStock'!AS48</f>
        <v/>
      </c>
      <c r="AV1074">
        <f>'T_SelfStock'!AT48</f>
        <v/>
      </c>
      <c r="AW1074">
        <f>'T_SelfStock'!AU48</f>
        <v/>
      </c>
      <c r="AX1074">
        <f>'T_SelfStock'!AV48</f>
        <v/>
      </c>
      <c r="AY1074">
        <f>'T_SelfStock'!AW48</f>
        <v/>
      </c>
      <c r="AZ1074">
        <f>'T_SelfStock'!AX48</f>
        <v/>
      </c>
      <c r="BA1074">
        <f>'T_SelfStock'!AY48</f>
        <v/>
      </c>
      <c r="BB1074">
        <f>'T_SelfStock'!AZ48</f>
        <v/>
      </c>
      <c r="BC1074">
        <f>'T_SelfStock'!BA48</f>
        <v/>
      </c>
      <c r="BD1074">
        <f>'T_SelfStock'!BB48</f>
        <v/>
      </c>
      <c r="BE1074">
        <f>'T_SelfStock'!BC48</f>
        <v/>
      </c>
      <c r="BF1074">
        <f>'T_SelfStock'!BD48</f>
        <v/>
      </c>
      <c r="BG1074">
        <f>'T_SelfStock'!BE48</f>
        <v/>
      </c>
      <c r="BH1074">
        <f>'T_SelfStock'!BF48</f>
        <v/>
      </c>
      <c r="BI1074">
        <f>'T_SelfStock'!BG48</f>
        <v/>
      </c>
      <c r="BJ1074">
        <f>'T_SelfStock'!BH48</f>
        <v/>
      </c>
      <c r="BK1074">
        <f>'T_SelfStock'!BI48</f>
        <v/>
      </c>
      <c r="BL1074">
        <f>'T_SelfStock'!BJ48</f>
        <v/>
      </c>
      <c r="BM1074">
        <f>'T_SelfStock'!BK48</f>
        <v/>
      </c>
      <c r="BN1074">
        <f>'T_SelfStock'!BL48</f>
        <v/>
      </c>
      <c r="BO1074">
        <f>'T_SelfStock'!BM48</f>
        <v/>
      </c>
      <c r="BP1074">
        <f>'T_SelfStock'!BN48</f>
        <v/>
      </c>
      <c r="BQ1074">
        <f>'T_SelfStock'!BO48</f>
        <v/>
      </c>
      <c r="BR1074">
        <f>'T_SelfStock'!BP48</f>
        <v/>
      </c>
      <c r="BS1074">
        <f>'T_SelfStock'!BQ48</f>
        <v/>
      </c>
      <c r="BT1074">
        <f>'T_SelfStock'!BR48</f>
        <v/>
      </c>
      <c r="BU1074">
        <f>'T_SelfStock'!BS48</f>
        <v/>
      </c>
      <c r="BV1074">
        <f>'T_SelfStock'!BT48</f>
        <v/>
      </c>
      <c r="BW1074">
        <f>'T_SelfStock'!BU48</f>
        <v/>
      </c>
      <c r="BX1074">
        <f>'T_SelfStock'!BV48</f>
        <v/>
      </c>
      <c r="BY1074">
        <f>'T_SelfStock'!BW48</f>
        <v/>
      </c>
      <c r="BZ1074">
        <f>'T_SelfStock'!BX48</f>
        <v/>
      </c>
      <c r="CA1074">
        <f>'T_SelfStock'!BY48</f>
        <v/>
      </c>
      <c r="CB1074">
        <f>'T_SelfStock'!BZ48</f>
        <v/>
      </c>
      <c r="CC1074">
        <f>'T_SelfStock'!CA48</f>
        <v/>
      </c>
      <c r="CD1074">
        <f>'T_SelfStock'!CB48</f>
        <v/>
      </c>
      <c r="CE1074">
        <f>'T_SelfStock'!CC48</f>
        <v/>
      </c>
      <c r="CF1074">
        <f>'T_SelfStock'!CD48</f>
        <v/>
      </c>
      <c r="CG1074">
        <f>'T_SelfStock'!CE48</f>
        <v/>
      </c>
      <c r="CH1074">
        <f>'T_SelfStock'!CF48</f>
        <v/>
      </c>
      <c r="CI1074">
        <f>'T_SelfStock'!CG48</f>
        <v/>
      </c>
      <c r="CJ1074">
        <f>'T_SelfStock'!CH48</f>
        <v/>
      </c>
      <c r="CK1074">
        <f>'T_SelfStock'!CI48</f>
        <v/>
      </c>
      <c r="CL1074">
        <f>'T_SelfStock'!CJ48</f>
        <v/>
      </c>
      <c r="CM1074">
        <f>'T_SelfStock'!CK48</f>
        <v/>
      </c>
      <c r="CN1074">
        <f>'T_SelfStock'!CL48</f>
        <v/>
      </c>
      <c r="CO1074">
        <f>'T_SelfStock'!CM48</f>
        <v/>
      </c>
      <c r="CP1074">
        <f>'T_SelfStock'!CN48</f>
        <v/>
      </c>
      <c r="CQ1074">
        <f>'T_SelfStock'!CO48</f>
        <v/>
      </c>
      <c r="CR1074">
        <f>'T_SelfStock'!CP48</f>
        <v/>
      </c>
      <c r="CS1074">
        <f>'T_SelfStock'!CQ48</f>
        <v/>
      </c>
      <c r="CT1074">
        <f>'T_SelfStock'!CR48</f>
        <v/>
      </c>
      <c r="CU1074">
        <f>'T_SelfStock'!CS48</f>
        <v/>
      </c>
      <c r="CV1074">
        <f>'T_SelfStock'!CT48</f>
        <v/>
      </c>
      <c r="CW1074">
        <f>'T_SelfStock'!CU48</f>
        <v/>
      </c>
      <c r="CX1074">
        <f>'T_SelfStock'!CV48</f>
        <v/>
      </c>
      <c r="CY1074">
        <f>'T_SelfStock'!CW48</f>
        <v/>
      </c>
      <c r="CZ1074">
        <f>'T_SelfStock'!CX48</f>
        <v/>
      </c>
      <c r="DA1074">
        <f>'T_SelfStock'!CY48</f>
        <v/>
      </c>
      <c r="DB1074">
        <f>'T_SelfStock'!CZ48</f>
        <v/>
      </c>
      <c r="DC1074">
        <f>'T_SelfStock'!DA48</f>
        <v/>
      </c>
    </row>
    <row r="1075">
      <c r="B1075" t="inlineStr">
        <is>
          <t>Order(発注予定,kg)</t>
        </is>
      </c>
      <c r="D1075">
        <f>IF(SUMIFS(T_PlannedOrders[EffectiveQty],T_PlannedOrders[Part Name],$A1069,T_PlannedOrders[WeekIndex],1)=0,"",SUMIFS(T_PlannedOrders[EffectiveQty],T_PlannedOrders[Part Name],$A1069,T_PlannedOrders[WeekIndex],1)&amp;" ("&amp;TEXT(SUMPRODUCT(MAX((T_PlannedOrders[Part Name]=$A1069)*(T_PlannedOrders[WeekIndex]=1)*(T_PlannedOrders[EffectiveQty]&gt;0)*T_PlannedOrders[Order_Month])),"m月")&amp;"発注)")</f>
        <v/>
      </c>
      <c r="E1075">
        <f>IF(SUMIFS(T_PlannedOrders[EffectiveQty],T_PlannedOrders[Part Name],$A1069,T_PlannedOrders[WeekIndex],2)=0,"",SUMIFS(T_PlannedOrders[EffectiveQty],T_PlannedOrders[Part Name],$A1069,T_PlannedOrders[WeekIndex],2)&amp;" ("&amp;TEXT(SUMPRODUCT(MAX((T_PlannedOrders[Part Name]=$A1069)*(T_PlannedOrders[WeekIndex]=2)*(T_PlannedOrders[EffectiveQty]&gt;0)*T_PlannedOrders[Order_Month])),"m月")&amp;"発注)")</f>
        <v/>
      </c>
      <c r="F1075">
        <f>IF(SUMIFS(T_PlannedOrders[EffectiveQty],T_PlannedOrders[Part Name],$A1069,T_PlannedOrders[WeekIndex],3)=0,"",SUMIFS(T_PlannedOrders[EffectiveQty],T_PlannedOrders[Part Name],$A1069,T_PlannedOrders[WeekIndex],3)&amp;" ("&amp;TEXT(SUMPRODUCT(MAX((T_PlannedOrders[Part Name]=$A1069)*(T_PlannedOrders[WeekIndex]=3)*(T_PlannedOrders[EffectiveQty]&gt;0)*T_PlannedOrders[Order_Month])),"m月")&amp;"発注)")</f>
        <v/>
      </c>
      <c r="G1075">
        <f>IF(SUMIFS(T_PlannedOrders[EffectiveQty],T_PlannedOrders[Part Name],$A1069,T_PlannedOrders[WeekIndex],4)=0,"",SUMIFS(T_PlannedOrders[EffectiveQty],T_PlannedOrders[Part Name],$A1069,T_PlannedOrders[WeekIndex],4)&amp;" ("&amp;TEXT(SUMPRODUCT(MAX((T_PlannedOrders[Part Name]=$A1069)*(T_PlannedOrders[WeekIndex]=4)*(T_PlannedOrders[EffectiveQty]&gt;0)*T_PlannedOrders[Order_Month])),"m月")&amp;"発注)")</f>
        <v/>
      </c>
      <c r="H1075">
        <f>IF(SUMIFS(T_PlannedOrders[EffectiveQty],T_PlannedOrders[Part Name],$A1069,T_PlannedOrders[WeekIndex],5)=0,"",SUMIFS(T_PlannedOrders[EffectiveQty],T_PlannedOrders[Part Name],$A1069,T_PlannedOrders[WeekIndex],5)&amp;" ("&amp;TEXT(SUMPRODUCT(MAX((T_PlannedOrders[Part Name]=$A1069)*(T_PlannedOrders[WeekIndex]=5)*(T_PlannedOrders[EffectiveQty]&gt;0)*T_PlannedOrders[Order_Month])),"m月")&amp;"発注)")</f>
        <v/>
      </c>
      <c r="I1075">
        <f>IF(SUMIFS(T_PlannedOrders[EffectiveQty],T_PlannedOrders[Part Name],$A1069,T_PlannedOrders[WeekIndex],6)=0,"",SUMIFS(T_PlannedOrders[EffectiveQty],T_PlannedOrders[Part Name],$A1069,T_PlannedOrders[WeekIndex],6)&amp;" ("&amp;TEXT(SUMPRODUCT(MAX((T_PlannedOrders[Part Name]=$A1069)*(T_PlannedOrders[WeekIndex]=6)*(T_PlannedOrders[EffectiveQty]&gt;0)*T_PlannedOrders[Order_Month])),"m月")&amp;"発注)")</f>
        <v/>
      </c>
      <c r="J1075">
        <f>IF(SUMIFS(T_PlannedOrders[EffectiveQty],T_PlannedOrders[Part Name],$A1069,T_PlannedOrders[WeekIndex],7)=0,"",SUMIFS(T_PlannedOrders[EffectiveQty],T_PlannedOrders[Part Name],$A1069,T_PlannedOrders[WeekIndex],7)&amp;" ("&amp;TEXT(SUMPRODUCT(MAX((T_PlannedOrders[Part Name]=$A1069)*(T_PlannedOrders[WeekIndex]=7)*(T_PlannedOrders[EffectiveQty]&gt;0)*T_PlannedOrders[Order_Month])),"m月")&amp;"発注)")</f>
        <v/>
      </c>
      <c r="K1075">
        <f>IF(SUMIFS(T_PlannedOrders[EffectiveQty],T_PlannedOrders[Part Name],$A1069,T_PlannedOrders[WeekIndex],8)=0,"",SUMIFS(T_PlannedOrders[EffectiveQty],T_PlannedOrders[Part Name],$A1069,T_PlannedOrders[WeekIndex],8)&amp;" ("&amp;TEXT(SUMPRODUCT(MAX((T_PlannedOrders[Part Name]=$A1069)*(T_PlannedOrders[WeekIndex]=8)*(T_PlannedOrders[EffectiveQty]&gt;0)*T_PlannedOrders[Order_Month])),"m月")&amp;"発注)")</f>
        <v/>
      </c>
      <c r="L1075">
        <f>IF(SUMIFS(T_PlannedOrders[EffectiveQty],T_PlannedOrders[Part Name],$A1069,T_PlannedOrders[WeekIndex],9)=0,"",SUMIFS(T_PlannedOrders[EffectiveQty],T_PlannedOrders[Part Name],$A1069,T_PlannedOrders[WeekIndex],9)&amp;" ("&amp;TEXT(SUMPRODUCT(MAX((T_PlannedOrders[Part Name]=$A1069)*(T_PlannedOrders[WeekIndex]=9)*(T_PlannedOrders[EffectiveQty]&gt;0)*T_PlannedOrders[Order_Month])),"m月")&amp;"発注)")</f>
        <v/>
      </c>
      <c r="M1075">
        <f>IF(SUMIFS(T_PlannedOrders[EffectiveQty],T_PlannedOrders[Part Name],$A1069,T_PlannedOrders[WeekIndex],10)=0,"",SUMIFS(T_PlannedOrders[EffectiveQty],T_PlannedOrders[Part Name],$A1069,T_PlannedOrders[WeekIndex],10)&amp;" ("&amp;TEXT(SUMPRODUCT(MAX((T_PlannedOrders[Part Name]=$A1069)*(T_PlannedOrders[WeekIndex]=10)*(T_PlannedOrders[EffectiveQty]&gt;0)*T_PlannedOrders[Order_Month])),"m月")&amp;"発注)")</f>
        <v/>
      </c>
      <c r="N1075">
        <f>IF(SUMIFS(T_PlannedOrders[EffectiveQty],T_PlannedOrders[Part Name],$A1069,T_PlannedOrders[WeekIndex],11)=0,"",SUMIFS(T_PlannedOrders[EffectiveQty],T_PlannedOrders[Part Name],$A1069,T_PlannedOrders[WeekIndex],11)&amp;" ("&amp;TEXT(SUMPRODUCT(MAX((T_PlannedOrders[Part Name]=$A1069)*(T_PlannedOrders[WeekIndex]=11)*(T_PlannedOrders[EffectiveQty]&gt;0)*T_PlannedOrders[Order_Month])),"m月")&amp;"発注)")</f>
        <v/>
      </c>
      <c r="O1075">
        <f>IF(SUMIFS(T_PlannedOrders[EffectiveQty],T_PlannedOrders[Part Name],$A1069,T_PlannedOrders[WeekIndex],12)=0,"",SUMIFS(T_PlannedOrders[EffectiveQty],T_PlannedOrders[Part Name],$A1069,T_PlannedOrders[WeekIndex],12)&amp;" ("&amp;TEXT(SUMPRODUCT(MAX((T_PlannedOrders[Part Name]=$A1069)*(T_PlannedOrders[WeekIndex]=12)*(T_PlannedOrders[EffectiveQty]&gt;0)*T_PlannedOrders[Order_Month])),"m月")&amp;"発注)")</f>
        <v/>
      </c>
      <c r="P1075">
        <f>IF(SUMIFS(T_PlannedOrders[EffectiveQty],T_PlannedOrders[Part Name],$A1069,T_PlannedOrders[WeekIndex],13)=0,"",SUMIFS(T_PlannedOrders[EffectiveQty],T_PlannedOrders[Part Name],$A1069,T_PlannedOrders[WeekIndex],13)&amp;" ("&amp;TEXT(SUMPRODUCT(MAX((T_PlannedOrders[Part Name]=$A1069)*(T_PlannedOrders[WeekIndex]=13)*(T_PlannedOrders[EffectiveQty]&gt;0)*T_PlannedOrders[Order_Month])),"m月")&amp;"発注)")</f>
        <v/>
      </c>
      <c r="Q1075">
        <f>IF(SUMIFS(T_PlannedOrders[EffectiveQty],T_PlannedOrders[Part Name],$A1069,T_PlannedOrders[WeekIndex],14)=0,"",SUMIFS(T_PlannedOrders[EffectiveQty],T_PlannedOrders[Part Name],$A1069,T_PlannedOrders[WeekIndex],14)&amp;" ("&amp;TEXT(SUMPRODUCT(MAX((T_PlannedOrders[Part Name]=$A1069)*(T_PlannedOrders[WeekIndex]=14)*(T_PlannedOrders[EffectiveQty]&gt;0)*T_PlannedOrders[Order_Month])),"m月")&amp;"発注)")</f>
        <v/>
      </c>
      <c r="R1075">
        <f>IF(SUMIFS(T_PlannedOrders[EffectiveQty],T_PlannedOrders[Part Name],$A1069,T_PlannedOrders[WeekIndex],15)=0,"",SUMIFS(T_PlannedOrders[EffectiveQty],T_PlannedOrders[Part Name],$A1069,T_PlannedOrders[WeekIndex],15)&amp;" ("&amp;TEXT(SUMPRODUCT(MAX((T_PlannedOrders[Part Name]=$A1069)*(T_PlannedOrders[WeekIndex]=15)*(T_PlannedOrders[EffectiveQty]&gt;0)*T_PlannedOrders[Order_Month])),"m月")&amp;"発注)")</f>
        <v/>
      </c>
      <c r="S1075">
        <f>IF(SUMIFS(T_PlannedOrders[EffectiveQty],T_PlannedOrders[Part Name],$A1069,T_PlannedOrders[WeekIndex],16)=0,"",SUMIFS(T_PlannedOrders[EffectiveQty],T_PlannedOrders[Part Name],$A1069,T_PlannedOrders[WeekIndex],16)&amp;" ("&amp;TEXT(SUMPRODUCT(MAX((T_PlannedOrders[Part Name]=$A1069)*(T_PlannedOrders[WeekIndex]=16)*(T_PlannedOrders[EffectiveQty]&gt;0)*T_PlannedOrders[Order_Month])),"m月")&amp;"発注)")</f>
        <v/>
      </c>
      <c r="T1075">
        <f>IF(SUMIFS(T_PlannedOrders[EffectiveQty],T_PlannedOrders[Part Name],$A1069,T_PlannedOrders[WeekIndex],17)=0,"",SUMIFS(T_PlannedOrders[EffectiveQty],T_PlannedOrders[Part Name],$A1069,T_PlannedOrders[WeekIndex],17)&amp;" ("&amp;TEXT(SUMPRODUCT(MAX((T_PlannedOrders[Part Name]=$A1069)*(T_PlannedOrders[WeekIndex]=17)*(T_PlannedOrders[EffectiveQty]&gt;0)*T_PlannedOrders[Order_Month])),"m月")&amp;"発注)")</f>
        <v/>
      </c>
      <c r="U1075">
        <f>IF(SUMIFS(T_PlannedOrders[EffectiveQty],T_PlannedOrders[Part Name],$A1069,T_PlannedOrders[WeekIndex],18)=0,"",SUMIFS(T_PlannedOrders[EffectiveQty],T_PlannedOrders[Part Name],$A1069,T_PlannedOrders[WeekIndex],18)&amp;" ("&amp;TEXT(SUMPRODUCT(MAX((T_PlannedOrders[Part Name]=$A1069)*(T_PlannedOrders[WeekIndex]=18)*(T_PlannedOrders[EffectiveQty]&gt;0)*T_PlannedOrders[Order_Month])),"m月")&amp;"発注)")</f>
        <v/>
      </c>
      <c r="V1075">
        <f>IF(SUMIFS(T_PlannedOrders[EffectiveQty],T_PlannedOrders[Part Name],$A1069,T_PlannedOrders[WeekIndex],19)=0,"",SUMIFS(T_PlannedOrders[EffectiveQty],T_PlannedOrders[Part Name],$A1069,T_PlannedOrders[WeekIndex],19)&amp;" ("&amp;TEXT(SUMPRODUCT(MAX((T_PlannedOrders[Part Name]=$A1069)*(T_PlannedOrders[WeekIndex]=19)*(T_PlannedOrders[EffectiveQty]&gt;0)*T_PlannedOrders[Order_Month])),"m月")&amp;"発注)")</f>
        <v/>
      </c>
      <c r="W1075">
        <f>IF(SUMIFS(T_PlannedOrders[EffectiveQty],T_PlannedOrders[Part Name],$A1069,T_PlannedOrders[WeekIndex],20)=0,"",SUMIFS(T_PlannedOrders[EffectiveQty],T_PlannedOrders[Part Name],$A1069,T_PlannedOrders[WeekIndex],20)&amp;" ("&amp;TEXT(SUMPRODUCT(MAX((T_PlannedOrders[Part Name]=$A1069)*(T_PlannedOrders[WeekIndex]=20)*(T_PlannedOrders[EffectiveQty]&gt;0)*T_PlannedOrders[Order_Month])),"m月")&amp;"発注)")</f>
        <v/>
      </c>
      <c r="X1075">
        <f>IF(SUMIFS(T_PlannedOrders[EffectiveQty],T_PlannedOrders[Part Name],$A1069,T_PlannedOrders[WeekIndex],21)=0,"",SUMIFS(T_PlannedOrders[EffectiveQty],T_PlannedOrders[Part Name],$A1069,T_PlannedOrders[WeekIndex],21)&amp;" ("&amp;TEXT(SUMPRODUCT(MAX((T_PlannedOrders[Part Name]=$A1069)*(T_PlannedOrders[WeekIndex]=21)*(T_PlannedOrders[EffectiveQty]&gt;0)*T_PlannedOrders[Order_Month])),"m月")&amp;"発注)")</f>
        <v/>
      </c>
      <c r="Y1075">
        <f>IF(SUMIFS(T_PlannedOrders[EffectiveQty],T_PlannedOrders[Part Name],$A1069,T_PlannedOrders[WeekIndex],22)=0,"",SUMIFS(T_PlannedOrders[EffectiveQty],T_PlannedOrders[Part Name],$A1069,T_PlannedOrders[WeekIndex],22)&amp;" ("&amp;TEXT(SUMPRODUCT(MAX((T_PlannedOrders[Part Name]=$A1069)*(T_PlannedOrders[WeekIndex]=22)*(T_PlannedOrders[EffectiveQty]&gt;0)*T_PlannedOrders[Order_Month])),"m月")&amp;"発注)")</f>
        <v/>
      </c>
      <c r="Z1075">
        <f>IF(SUMIFS(T_PlannedOrders[EffectiveQty],T_PlannedOrders[Part Name],$A1069,T_PlannedOrders[WeekIndex],23)=0,"",SUMIFS(T_PlannedOrders[EffectiveQty],T_PlannedOrders[Part Name],$A1069,T_PlannedOrders[WeekIndex],23)&amp;" ("&amp;TEXT(SUMPRODUCT(MAX((T_PlannedOrders[Part Name]=$A1069)*(T_PlannedOrders[WeekIndex]=23)*(T_PlannedOrders[EffectiveQty]&gt;0)*T_PlannedOrders[Order_Month])),"m月")&amp;"発注)")</f>
        <v/>
      </c>
      <c r="AA1075">
        <f>IF(SUMIFS(T_PlannedOrders[EffectiveQty],T_PlannedOrders[Part Name],$A1069,T_PlannedOrders[WeekIndex],24)=0,"",SUMIFS(T_PlannedOrders[EffectiveQty],T_PlannedOrders[Part Name],$A1069,T_PlannedOrders[WeekIndex],24)&amp;" ("&amp;TEXT(SUMPRODUCT(MAX((T_PlannedOrders[Part Name]=$A1069)*(T_PlannedOrders[WeekIndex]=24)*(T_PlannedOrders[EffectiveQty]&gt;0)*T_PlannedOrders[Order_Month])),"m月")&amp;"発注)")</f>
        <v/>
      </c>
      <c r="AB1075">
        <f>IF(SUMIFS(T_PlannedOrders[EffectiveQty],T_PlannedOrders[Part Name],$A1069,T_PlannedOrders[WeekIndex],25)=0,"",SUMIFS(T_PlannedOrders[EffectiveQty],T_PlannedOrders[Part Name],$A1069,T_PlannedOrders[WeekIndex],25)&amp;" ("&amp;TEXT(SUMPRODUCT(MAX((T_PlannedOrders[Part Name]=$A1069)*(T_PlannedOrders[WeekIndex]=25)*(T_PlannedOrders[EffectiveQty]&gt;0)*T_PlannedOrders[Order_Month])),"m月")&amp;"発注)")</f>
        <v/>
      </c>
      <c r="AC1075">
        <f>IF(SUMIFS(T_PlannedOrders[EffectiveQty],T_PlannedOrders[Part Name],$A1069,T_PlannedOrders[WeekIndex],26)=0,"",SUMIFS(T_PlannedOrders[EffectiveQty],T_PlannedOrders[Part Name],$A1069,T_PlannedOrders[WeekIndex],26)&amp;" ("&amp;TEXT(SUMPRODUCT(MAX((T_PlannedOrders[Part Name]=$A1069)*(T_PlannedOrders[WeekIndex]=26)*(T_PlannedOrders[EffectiveQty]&gt;0)*T_PlannedOrders[Order_Month])),"m月")&amp;"発注)")</f>
        <v/>
      </c>
      <c r="AD1075">
        <f>IF(SUMIFS(T_PlannedOrders[EffectiveQty],T_PlannedOrders[Part Name],$A1069,T_PlannedOrders[WeekIndex],27)=0,"",SUMIFS(T_PlannedOrders[EffectiveQty],T_PlannedOrders[Part Name],$A1069,T_PlannedOrders[WeekIndex],27)&amp;" ("&amp;TEXT(SUMPRODUCT(MAX((T_PlannedOrders[Part Name]=$A1069)*(T_PlannedOrders[WeekIndex]=27)*(T_PlannedOrders[EffectiveQty]&gt;0)*T_PlannedOrders[Order_Month])),"m月")&amp;"発注)")</f>
        <v/>
      </c>
      <c r="AE1075">
        <f>IF(SUMIFS(T_PlannedOrders[EffectiveQty],T_PlannedOrders[Part Name],$A1069,T_PlannedOrders[WeekIndex],28)=0,"",SUMIFS(T_PlannedOrders[EffectiveQty],T_PlannedOrders[Part Name],$A1069,T_PlannedOrders[WeekIndex],28)&amp;" ("&amp;TEXT(SUMPRODUCT(MAX((T_PlannedOrders[Part Name]=$A1069)*(T_PlannedOrders[WeekIndex]=28)*(T_PlannedOrders[EffectiveQty]&gt;0)*T_PlannedOrders[Order_Month])),"m月")&amp;"発注)")</f>
        <v/>
      </c>
      <c r="AF1075">
        <f>IF(SUMIFS(T_PlannedOrders[EffectiveQty],T_PlannedOrders[Part Name],$A1069,T_PlannedOrders[WeekIndex],29)=0,"",SUMIFS(T_PlannedOrders[EffectiveQty],T_PlannedOrders[Part Name],$A1069,T_PlannedOrders[WeekIndex],29)&amp;" ("&amp;TEXT(SUMPRODUCT(MAX((T_PlannedOrders[Part Name]=$A1069)*(T_PlannedOrders[WeekIndex]=29)*(T_PlannedOrders[EffectiveQty]&gt;0)*T_PlannedOrders[Order_Month])),"m月")&amp;"発注)")</f>
        <v/>
      </c>
      <c r="AG1075">
        <f>IF(SUMIFS(T_PlannedOrders[EffectiveQty],T_PlannedOrders[Part Name],$A1069,T_PlannedOrders[WeekIndex],30)=0,"",SUMIFS(T_PlannedOrders[EffectiveQty],T_PlannedOrders[Part Name],$A1069,T_PlannedOrders[WeekIndex],30)&amp;" ("&amp;TEXT(SUMPRODUCT(MAX((T_PlannedOrders[Part Name]=$A1069)*(T_PlannedOrders[WeekIndex]=30)*(T_PlannedOrders[EffectiveQty]&gt;0)*T_PlannedOrders[Order_Month])),"m月")&amp;"発注)")</f>
        <v/>
      </c>
      <c r="AH1075">
        <f>IF(SUMIFS(T_PlannedOrders[EffectiveQty],T_PlannedOrders[Part Name],$A1069,T_PlannedOrders[WeekIndex],31)=0,"",SUMIFS(T_PlannedOrders[EffectiveQty],T_PlannedOrders[Part Name],$A1069,T_PlannedOrders[WeekIndex],31)&amp;" ("&amp;TEXT(SUMPRODUCT(MAX((T_PlannedOrders[Part Name]=$A1069)*(T_PlannedOrders[WeekIndex]=31)*(T_PlannedOrders[EffectiveQty]&gt;0)*T_PlannedOrders[Order_Month])),"m月")&amp;"発注)")</f>
        <v/>
      </c>
      <c r="AI1075">
        <f>IF(SUMIFS(T_PlannedOrders[EffectiveQty],T_PlannedOrders[Part Name],$A1069,T_PlannedOrders[WeekIndex],32)=0,"",SUMIFS(T_PlannedOrders[EffectiveQty],T_PlannedOrders[Part Name],$A1069,T_PlannedOrders[WeekIndex],32)&amp;" ("&amp;TEXT(SUMPRODUCT(MAX((T_PlannedOrders[Part Name]=$A1069)*(T_PlannedOrders[WeekIndex]=32)*(T_PlannedOrders[EffectiveQty]&gt;0)*T_PlannedOrders[Order_Month])),"m月")&amp;"発注)")</f>
        <v/>
      </c>
      <c r="AJ1075">
        <f>IF(SUMIFS(T_PlannedOrders[EffectiveQty],T_PlannedOrders[Part Name],$A1069,T_PlannedOrders[WeekIndex],33)=0,"",SUMIFS(T_PlannedOrders[EffectiveQty],T_PlannedOrders[Part Name],$A1069,T_PlannedOrders[WeekIndex],33)&amp;" ("&amp;TEXT(SUMPRODUCT(MAX((T_PlannedOrders[Part Name]=$A1069)*(T_PlannedOrders[WeekIndex]=33)*(T_PlannedOrders[EffectiveQty]&gt;0)*T_PlannedOrders[Order_Month])),"m月")&amp;"発注)")</f>
        <v/>
      </c>
      <c r="AK1075">
        <f>IF(SUMIFS(T_PlannedOrders[EffectiveQty],T_PlannedOrders[Part Name],$A1069,T_PlannedOrders[WeekIndex],34)=0,"",SUMIFS(T_PlannedOrders[EffectiveQty],T_PlannedOrders[Part Name],$A1069,T_PlannedOrders[WeekIndex],34)&amp;" ("&amp;TEXT(SUMPRODUCT(MAX((T_PlannedOrders[Part Name]=$A1069)*(T_PlannedOrders[WeekIndex]=34)*(T_PlannedOrders[EffectiveQty]&gt;0)*T_PlannedOrders[Order_Month])),"m月")&amp;"発注)")</f>
        <v/>
      </c>
      <c r="AL1075">
        <f>IF(SUMIFS(T_PlannedOrders[EffectiveQty],T_PlannedOrders[Part Name],$A1069,T_PlannedOrders[WeekIndex],35)=0,"",SUMIFS(T_PlannedOrders[EffectiveQty],T_PlannedOrders[Part Name],$A1069,T_PlannedOrders[WeekIndex],35)&amp;" ("&amp;TEXT(SUMPRODUCT(MAX((T_PlannedOrders[Part Name]=$A1069)*(T_PlannedOrders[WeekIndex]=35)*(T_PlannedOrders[EffectiveQty]&gt;0)*T_PlannedOrders[Order_Month])),"m月")&amp;"発注)")</f>
        <v/>
      </c>
      <c r="AM1075">
        <f>IF(SUMIFS(T_PlannedOrders[EffectiveQty],T_PlannedOrders[Part Name],$A1069,T_PlannedOrders[WeekIndex],36)=0,"",SUMIFS(T_PlannedOrders[EffectiveQty],T_PlannedOrders[Part Name],$A1069,T_PlannedOrders[WeekIndex],36)&amp;" ("&amp;TEXT(SUMPRODUCT(MAX((T_PlannedOrders[Part Name]=$A1069)*(T_PlannedOrders[WeekIndex]=36)*(T_PlannedOrders[EffectiveQty]&gt;0)*T_PlannedOrders[Order_Month])),"m月")&amp;"発注)")</f>
        <v/>
      </c>
      <c r="AN1075">
        <f>IF(SUMIFS(T_PlannedOrders[EffectiveQty],T_PlannedOrders[Part Name],$A1069,T_PlannedOrders[WeekIndex],37)=0,"",SUMIFS(T_PlannedOrders[EffectiveQty],T_PlannedOrders[Part Name],$A1069,T_PlannedOrders[WeekIndex],37)&amp;" ("&amp;TEXT(SUMPRODUCT(MAX((T_PlannedOrders[Part Name]=$A1069)*(T_PlannedOrders[WeekIndex]=37)*(T_PlannedOrders[EffectiveQty]&gt;0)*T_PlannedOrders[Order_Month])),"m月")&amp;"発注)")</f>
        <v/>
      </c>
      <c r="AO1075">
        <f>IF(SUMIFS(T_PlannedOrders[EffectiveQty],T_PlannedOrders[Part Name],$A1069,T_PlannedOrders[WeekIndex],38)=0,"",SUMIFS(T_PlannedOrders[EffectiveQty],T_PlannedOrders[Part Name],$A1069,T_PlannedOrders[WeekIndex],38)&amp;" ("&amp;TEXT(SUMPRODUCT(MAX((T_PlannedOrders[Part Name]=$A1069)*(T_PlannedOrders[WeekIndex]=38)*(T_PlannedOrders[EffectiveQty]&gt;0)*T_PlannedOrders[Order_Month])),"m月")&amp;"発注)")</f>
        <v/>
      </c>
      <c r="AP1075">
        <f>IF(SUMIFS(T_PlannedOrders[EffectiveQty],T_PlannedOrders[Part Name],$A1069,T_PlannedOrders[WeekIndex],39)=0,"",SUMIFS(T_PlannedOrders[EffectiveQty],T_PlannedOrders[Part Name],$A1069,T_PlannedOrders[WeekIndex],39)&amp;" ("&amp;TEXT(SUMPRODUCT(MAX((T_PlannedOrders[Part Name]=$A1069)*(T_PlannedOrders[WeekIndex]=39)*(T_PlannedOrders[EffectiveQty]&gt;0)*T_PlannedOrders[Order_Month])),"m月")&amp;"発注)")</f>
        <v/>
      </c>
      <c r="AQ1075">
        <f>IF(SUMIFS(T_PlannedOrders[EffectiveQty],T_PlannedOrders[Part Name],$A1069,T_PlannedOrders[WeekIndex],40)=0,"",SUMIFS(T_PlannedOrders[EffectiveQty],T_PlannedOrders[Part Name],$A1069,T_PlannedOrders[WeekIndex],40)&amp;" ("&amp;TEXT(SUMPRODUCT(MAX((T_PlannedOrders[Part Name]=$A1069)*(T_PlannedOrders[WeekIndex]=40)*(T_PlannedOrders[EffectiveQty]&gt;0)*T_PlannedOrders[Order_Month])),"m月")&amp;"発注)")</f>
        <v/>
      </c>
      <c r="AR1075">
        <f>IF(SUMIFS(T_PlannedOrders[EffectiveQty],T_PlannedOrders[Part Name],$A1069,T_PlannedOrders[WeekIndex],41)=0,"",SUMIFS(T_PlannedOrders[EffectiveQty],T_PlannedOrders[Part Name],$A1069,T_PlannedOrders[WeekIndex],41)&amp;" ("&amp;TEXT(SUMPRODUCT(MAX((T_PlannedOrders[Part Name]=$A1069)*(T_PlannedOrders[WeekIndex]=41)*(T_PlannedOrders[EffectiveQty]&gt;0)*T_PlannedOrders[Order_Month])),"m月")&amp;"発注)")</f>
        <v/>
      </c>
      <c r="AS1075">
        <f>IF(SUMIFS(T_PlannedOrders[EffectiveQty],T_PlannedOrders[Part Name],$A1069,T_PlannedOrders[WeekIndex],42)=0,"",SUMIFS(T_PlannedOrders[EffectiveQty],T_PlannedOrders[Part Name],$A1069,T_PlannedOrders[WeekIndex],42)&amp;" ("&amp;TEXT(SUMPRODUCT(MAX((T_PlannedOrders[Part Name]=$A1069)*(T_PlannedOrders[WeekIndex]=42)*(T_PlannedOrders[EffectiveQty]&gt;0)*T_PlannedOrders[Order_Month])),"m月")&amp;"発注)")</f>
        <v/>
      </c>
      <c r="AT1075">
        <f>IF(SUMIFS(T_PlannedOrders[EffectiveQty],T_PlannedOrders[Part Name],$A1069,T_PlannedOrders[WeekIndex],43)=0,"",SUMIFS(T_PlannedOrders[EffectiveQty],T_PlannedOrders[Part Name],$A1069,T_PlannedOrders[WeekIndex],43)&amp;" ("&amp;TEXT(SUMPRODUCT(MAX((T_PlannedOrders[Part Name]=$A1069)*(T_PlannedOrders[WeekIndex]=43)*(T_PlannedOrders[EffectiveQty]&gt;0)*T_PlannedOrders[Order_Month])),"m月")&amp;"発注)")</f>
        <v/>
      </c>
      <c r="AU1075">
        <f>IF(SUMIFS(T_PlannedOrders[EffectiveQty],T_PlannedOrders[Part Name],$A1069,T_PlannedOrders[WeekIndex],44)=0,"",SUMIFS(T_PlannedOrders[EffectiveQty],T_PlannedOrders[Part Name],$A1069,T_PlannedOrders[WeekIndex],44)&amp;" ("&amp;TEXT(SUMPRODUCT(MAX((T_PlannedOrders[Part Name]=$A1069)*(T_PlannedOrders[WeekIndex]=44)*(T_PlannedOrders[EffectiveQty]&gt;0)*T_PlannedOrders[Order_Month])),"m月")&amp;"発注)")</f>
        <v/>
      </c>
      <c r="AV1075">
        <f>IF(SUMIFS(T_PlannedOrders[EffectiveQty],T_PlannedOrders[Part Name],$A1069,T_PlannedOrders[WeekIndex],45)=0,"",SUMIFS(T_PlannedOrders[EffectiveQty],T_PlannedOrders[Part Name],$A1069,T_PlannedOrders[WeekIndex],45)&amp;" ("&amp;TEXT(SUMPRODUCT(MAX((T_PlannedOrders[Part Name]=$A1069)*(T_PlannedOrders[WeekIndex]=45)*(T_PlannedOrders[EffectiveQty]&gt;0)*T_PlannedOrders[Order_Month])),"m月")&amp;"発注)")</f>
        <v/>
      </c>
      <c r="AW1075">
        <f>IF(SUMIFS(T_PlannedOrders[EffectiveQty],T_PlannedOrders[Part Name],$A1069,T_PlannedOrders[WeekIndex],46)=0,"",SUMIFS(T_PlannedOrders[EffectiveQty],T_PlannedOrders[Part Name],$A1069,T_PlannedOrders[WeekIndex],46)&amp;" ("&amp;TEXT(SUMPRODUCT(MAX((T_PlannedOrders[Part Name]=$A1069)*(T_PlannedOrders[WeekIndex]=46)*(T_PlannedOrders[EffectiveQty]&gt;0)*T_PlannedOrders[Order_Month])),"m月")&amp;"発注)")</f>
        <v/>
      </c>
      <c r="AX1075">
        <f>IF(SUMIFS(T_PlannedOrders[EffectiveQty],T_PlannedOrders[Part Name],$A1069,T_PlannedOrders[WeekIndex],47)=0,"",SUMIFS(T_PlannedOrders[EffectiveQty],T_PlannedOrders[Part Name],$A1069,T_PlannedOrders[WeekIndex],47)&amp;" ("&amp;TEXT(SUMPRODUCT(MAX((T_PlannedOrders[Part Name]=$A1069)*(T_PlannedOrders[WeekIndex]=47)*(T_PlannedOrders[EffectiveQty]&gt;0)*T_PlannedOrders[Order_Month])),"m月")&amp;"発注)")</f>
        <v/>
      </c>
      <c r="AY1075">
        <f>IF(SUMIFS(T_PlannedOrders[EffectiveQty],T_PlannedOrders[Part Name],$A1069,T_PlannedOrders[WeekIndex],48)=0,"",SUMIFS(T_PlannedOrders[EffectiveQty],T_PlannedOrders[Part Name],$A1069,T_PlannedOrders[WeekIndex],48)&amp;" ("&amp;TEXT(SUMPRODUCT(MAX((T_PlannedOrders[Part Name]=$A1069)*(T_PlannedOrders[WeekIndex]=48)*(T_PlannedOrders[EffectiveQty]&gt;0)*T_PlannedOrders[Order_Month])),"m月")&amp;"発注)")</f>
        <v/>
      </c>
      <c r="AZ1075">
        <f>IF(SUMIFS(T_PlannedOrders[EffectiveQty],T_PlannedOrders[Part Name],$A1069,T_PlannedOrders[WeekIndex],49)=0,"",SUMIFS(T_PlannedOrders[EffectiveQty],T_PlannedOrders[Part Name],$A1069,T_PlannedOrders[WeekIndex],49)&amp;" ("&amp;TEXT(SUMPRODUCT(MAX((T_PlannedOrders[Part Name]=$A1069)*(T_PlannedOrders[WeekIndex]=49)*(T_PlannedOrders[EffectiveQty]&gt;0)*T_PlannedOrders[Order_Month])),"m月")&amp;"発注)")</f>
        <v/>
      </c>
      <c r="BA1075">
        <f>IF(SUMIFS(T_PlannedOrders[EffectiveQty],T_PlannedOrders[Part Name],$A1069,T_PlannedOrders[WeekIndex],50)=0,"",SUMIFS(T_PlannedOrders[EffectiveQty],T_PlannedOrders[Part Name],$A1069,T_PlannedOrders[WeekIndex],50)&amp;" ("&amp;TEXT(SUMPRODUCT(MAX((T_PlannedOrders[Part Name]=$A1069)*(T_PlannedOrders[WeekIndex]=50)*(T_PlannedOrders[EffectiveQty]&gt;0)*T_PlannedOrders[Order_Month])),"m月")&amp;"発注)")</f>
        <v/>
      </c>
      <c r="BB1075">
        <f>IF(SUMIFS(T_PlannedOrders[EffectiveQty],T_PlannedOrders[Part Name],$A1069,T_PlannedOrders[WeekIndex],51)=0,"",SUMIFS(T_PlannedOrders[EffectiveQty],T_PlannedOrders[Part Name],$A1069,T_PlannedOrders[WeekIndex],51)&amp;" ("&amp;TEXT(SUMPRODUCT(MAX((T_PlannedOrders[Part Name]=$A1069)*(T_PlannedOrders[WeekIndex]=51)*(T_PlannedOrders[EffectiveQty]&gt;0)*T_PlannedOrders[Order_Month])),"m月")&amp;"発注)")</f>
        <v/>
      </c>
      <c r="BC1075">
        <f>IF(SUMIFS(T_PlannedOrders[EffectiveQty],T_PlannedOrders[Part Name],$A1069,T_PlannedOrders[WeekIndex],52)=0,"",SUMIFS(T_PlannedOrders[EffectiveQty],T_PlannedOrders[Part Name],$A1069,T_PlannedOrders[WeekIndex],52)&amp;" ("&amp;TEXT(SUMPRODUCT(MAX((T_PlannedOrders[Part Name]=$A1069)*(T_PlannedOrders[WeekIndex]=52)*(T_PlannedOrders[EffectiveQty]&gt;0)*T_PlannedOrders[Order_Month])),"m月")&amp;"発注)")</f>
        <v/>
      </c>
      <c r="BD1075">
        <f>IF(SUMIFS(T_PlannedOrders[EffectiveQty],T_PlannedOrders[Part Name],$A1069,T_PlannedOrders[WeekIndex],53)=0,"",SUMIFS(T_PlannedOrders[EffectiveQty],T_PlannedOrders[Part Name],$A1069,T_PlannedOrders[WeekIndex],53)&amp;" ("&amp;TEXT(SUMPRODUCT(MAX((T_PlannedOrders[Part Name]=$A1069)*(T_PlannedOrders[WeekIndex]=53)*(T_PlannedOrders[EffectiveQty]&gt;0)*T_PlannedOrders[Order_Month])),"m月")&amp;"発注)")</f>
        <v/>
      </c>
      <c r="BE1075">
        <f>IF(SUMIFS(T_PlannedOrders[EffectiveQty],T_PlannedOrders[Part Name],$A1069,T_PlannedOrders[WeekIndex],54)=0,"",SUMIFS(T_PlannedOrders[EffectiveQty],T_PlannedOrders[Part Name],$A1069,T_PlannedOrders[WeekIndex],54)&amp;" ("&amp;TEXT(SUMPRODUCT(MAX((T_PlannedOrders[Part Name]=$A1069)*(T_PlannedOrders[WeekIndex]=54)*(T_PlannedOrders[EffectiveQty]&gt;0)*T_PlannedOrders[Order_Month])),"m月")&amp;"発注)")</f>
        <v/>
      </c>
      <c r="BF1075">
        <f>IF(SUMIFS(T_PlannedOrders[EffectiveQty],T_PlannedOrders[Part Name],$A1069,T_PlannedOrders[WeekIndex],55)=0,"",SUMIFS(T_PlannedOrders[EffectiveQty],T_PlannedOrders[Part Name],$A1069,T_PlannedOrders[WeekIndex],55)&amp;" ("&amp;TEXT(SUMPRODUCT(MAX((T_PlannedOrders[Part Name]=$A1069)*(T_PlannedOrders[WeekIndex]=55)*(T_PlannedOrders[EffectiveQty]&gt;0)*T_PlannedOrders[Order_Month])),"m月")&amp;"発注)")</f>
        <v/>
      </c>
      <c r="BG1075">
        <f>IF(SUMIFS(T_PlannedOrders[EffectiveQty],T_PlannedOrders[Part Name],$A1069,T_PlannedOrders[WeekIndex],56)=0,"",SUMIFS(T_PlannedOrders[EffectiveQty],T_PlannedOrders[Part Name],$A1069,T_PlannedOrders[WeekIndex],56)&amp;" ("&amp;TEXT(SUMPRODUCT(MAX((T_PlannedOrders[Part Name]=$A1069)*(T_PlannedOrders[WeekIndex]=56)*(T_PlannedOrders[EffectiveQty]&gt;0)*T_PlannedOrders[Order_Month])),"m月")&amp;"発注)")</f>
        <v/>
      </c>
      <c r="BH1075">
        <f>IF(SUMIFS(T_PlannedOrders[EffectiveQty],T_PlannedOrders[Part Name],$A1069,T_PlannedOrders[WeekIndex],57)=0,"",SUMIFS(T_PlannedOrders[EffectiveQty],T_PlannedOrders[Part Name],$A1069,T_PlannedOrders[WeekIndex],57)&amp;" ("&amp;TEXT(SUMPRODUCT(MAX((T_PlannedOrders[Part Name]=$A1069)*(T_PlannedOrders[WeekIndex]=57)*(T_PlannedOrders[EffectiveQty]&gt;0)*T_PlannedOrders[Order_Month])),"m月")&amp;"発注)")</f>
        <v/>
      </c>
      <c r="BI1075">
        <f>IF(SUMIFS(T_PlannedOrders[EffectiveQty],T_PlannedOrders[Part Name],$A1069,T_PlannedOrders[WeekIndex],58)=0,"",SUMIFS(T_PlannedOrders[EffectiveQty],T_PlannedOrders[Part Name],$A1069,T_PlannedOrders[WeekIndex],58)&amp;" ("&amp;TEXT(SUMPRODUCT(MAX((T_PlannedOrders[Part Name]=$A1069)*(T_PlannedOrders[WeekIndex]=58)*(T_PlannedOrders[EffectiveQty]&gt;0)*T_PlannedOrders[Order_Month])),"m月")&amp;"発注)")</f>
        <v/>
      </c>
      <c r="BJ1075">
        <f>IF(SUMIFS(T_PlannedOrders[EffectiveQty],T_PlannedOrders[Part Name],$A1069,T_PlannedOrders[WeekIndex],59)=0,"",SUMIFS(T_PlannedOrders[EffectiveQty],T_PlannedOrders[Part Name],$A1069,T_PlannedOrders[WeekIndex],59)&amp;" ("&amp;TEXT(SUMPRODUCT(MAX((T_PlannedOrders[Part Name]=$A1069)*(T_PlannedOrders[WeekIndex]=59)*(T_PlannedOrders[EffectiveQty]&gt;0)*T_PlannedOrders[Order_Month])),"m月")&amp;"発注)")</f>
        <v/>
      </c>
      <c r="BK1075">
        <f>IF(SUMIFS(T_PlannedOrders[EffectiveQty],T_PlannedOrders[Part Name],$A1069,T_PlannedOrders[WeekIndex],60)=0,"",SUMIFS(T_PlannedOrders[EffectiveQty],T_PlannedOrders[Part Name],$A1069,T_PlannedOrders[WeekIndex],60)&amp;" ("&amp;TEXT(SUMPRODUCT(MAX((T_PlannedOrders[Part Name]=$A1069)*(T_PlannedOrders[WeekIndex]=60)*(T_PlannedOrders[EffectiveQty]&gt;0)*T_PlannedOrders[Order_Month])),"m月")&amp;"発注)")</f>
        <v/>
      </c>
      <c r="BL1075">
        <f>IF(SUMIFS(T_PlannedOrders[EffectiveQty],T_PlannedOrders[Part Name],$A1069,T_PlannedOrders[WeekIndex],61)=0,"",SUMIFS(T_PlannedOrders[EffectiveQty],T_PlannedOrders[Part Name],$A1069,T_PlannedOrders[WeekIndex],61)&amp;" ("&amp;TEXT(SUMPRODUCT(MAX((T_PlannedOrders[Part Name]=$A1069)*(T_PlannedOrders[WeekIndex]=61)*(T_PlannedOrders[EffectiveQty]&gt;0)*T_PlannedOrders[Order_Month])),"m月")&amp;"発注)")</f>
        <v/>
      </c>
      <c r="BM1075">
        <f>IF(SUMIFS(T_PlannedOrders[EffectiveQty],T_PlannedOrders[Part Name],$A1069,T_PlannedOrders[WeekIndex],62)=0,"",SUMIFS(T_PlannedOrders[EffectiveQty],T_PlannedOrders[Part Name],$A1069,T_PlannedOrders[WeekIndex],62)&amp;" ("&amp;TEXT(SUMPRODUCT(MAX((T_PlannedOrders[Part Name]=$A1069)*(T_PlannedOrders[WeekIndex]=62)*(T_PlannedOrders[EffectiveQty]&gt;0)*T_PlannedOrders[Order_Month])),"m月")&amp;"発注)")</f>
        <v/>
      </c>
      <c r="BN1075">
        <f>IF(SUMIFS(T_PlannedOrders[EffectiveQty],T_PlannedOrders[Part Name],$A1069,T_PlannedOrders[WeekIndex],63)=0,"",SUMIFS(T_PlannedOrders[EffectiveQty],T_PlannedOrders[Part Name],$A1069,T_PlannedOrders[WeekIndex],63)&amp;" ("&amp;TEXT(SUMPRODUCT(MAX((T_PlannedOrders[Part Name]=$A1069)*(T_PlannedOrders[WeekIndex]=63)*(T_PlannedOrders[EffectiveQty]&gt;0)*T_PlannedOrders[Order_Month])),"m月")&amp;"発注)")</f>
        <v/>
      </c>
      <c r="BO1075">
        <f>IF(SUMIFS(T_PlannedOrders[EffectiveQty],T_PlannedOrders[Part Name],$A1069,T_PlannedOrders[WeekIndex],64)=0,"",SUMIFS(T_PlannedOrders[EffectiveQty],T_PlannedOrders[Part Name],$A1069,T_PlannedOrders[WeekIndex],64)&amp;" ("&amp;TEXT(SUMPRODUCT(MAX((T_PlannedOrders[Part Name]=$A1069)*(T_PlannedOrders[WeekIndex]=64)*(T_PlannedOrders[EffectiveQty]&gt;0)*T_PlannedOrders[Order_Month])),"m月")&amp;"発注)")</f>
        <v/>
      </c>
      <c r="BP1075">
        <f>IF(SUMIFS(T_PlannedOrders[EffectiveQty],T_PlannedOrders[Part Name],$A1069,T_PlannedOrders[WeekIndex],65)=0,"",SUMIFS(T_PlannedOrders[EffectiveQty],T_PlannedOrders[Part Name],$A1069,T_PlannedOrders[WeekIndex],65)&amp;" ("&amp;TEXT(SUMPRODUCT(MAX((T_PlannedOrders[Part Name]=$A1069)*(T_PlannedOrders[WeekIndex]=65)*(T_PlannedOrders[EffectiveQty]&gt;0)*T_PlannedOrders[Order_Month])),"m月")&amp;"発注)")</f>
        <v/>
      </c>
      <c r="BQ1075">
        <f>IF(SUMIFS(T_PlannedOrders[EffectiveQty],T_PlannedOrders[Part Name],$A1069,T_PlannedOrders[WeekIndex],66)=0,"",SUMIFS(T_PlannedOrders[EffectiveQty],T_PlannedOrders[Part Name],$A1069,T_PlannedOrders[WeekIndex],66)&amp;" ("&amp;TEXT(SUMPRODUCT(MAX((T_PlannedOrders[Part Name]=$A1069)*(T_PlannedOrders[WeekIndex]=66)*(T_PlannedOrders[EffectiveQty]&gt;0)*T_PlannedOrders[Order_Month])),"m月")&amp;"発注)")</f>
        <v/>
      </c>
      <c r="BR1075">
        <f>IF(SUMIFS(T_PlannedOrders[EffectiveQty],T_PlannedOrders[Part Name],$A1069,T_PlannedOrders[WeekIndex],67)=0,"",SUMIFS(T_PlannedOrders[EffectiveQty],T_PlannedOrders[Part Name],$A1069,T_PlannedOrders[WeekIndex],67)&amp;" ("&amp;TEXT(SUMPRODUCT(MAX((T_PlannedOrders[Part Name]=$A1069)*(T_PlannedOrders[WeekIndex]=67)*(T_PlannedOrders[EffectiveQty]&gt;0)*T_PlannedOrders[Order_Month])),"m月")&amp;"発注)")</f>
        <v/>
      </c>
      <c r="BS1075">
        <f>IF(SUMIFS(T_PlannedOrders[EffectiveQty],T_PlannedOrders[Part Name],$A1069,T_PlannedOrders[WeekIndex],68)=0,"",SUMIFS(T_PlannedOrders[EffectiveQty],T_PlannedOrders[Part Name],$A1069,T_PlannedOrders[WeekIndex],68)&amp;" ("&amp;TEXT(SUMPRODUCT(MAX((T_PlannedOrders[Part Name]=$A1069)*(T_PlannedOrders[WeekIndex]=68)*(T_PlannedOrders[EffectiveQty]&gt;0)*T_PlannedOrders[Order_Month])),"m月")&amp;"発注)")</f>
        <v/>
      </c>
      <c r="BT1075">
        <f>IF(SUMIFS(T_PlannedOrders[EffectiveQty],T_PlannedOrders[Part Name],$A1069,T_PlannedOrders[WeekIndex],69)=0,"",SUMIFS(T_PlannedOrders[EffectiveQty],T_PlannedOrders[Part Name],$A1069,T_PlannedOrders[WeekIndex],69)&amp;" ("&amp;TEXT(SUMPRODUCT(MAX((T_PlannedOrders[Part Name]=$A1069)*(T_PlannedOrders[WeekIndex]=69)*(T_PlannedOrders[EffectiveQty]&gt;0)*T_PlannedOrders[Order_Month])),"m月")&amp;"発注)")</f>
        <v/>
      </c>
      <c r="BU1075">
        <f>IF(SUMIFS(T_PlannedOrders[EffectiveQty],T_PlannedOrders[Part Name],$A1069,T_PlannedOrders[WeekIndex],70)=0,"",SUMIFS(T_PlannedOrders[EffectiveQty],T_PlannedOrders[Part Name],$A1069,T_PlannedOrders[WeekIndex],70)&amp;" ("&amp;TEXT(SUMPRODUCT(MAX((T_PlannedOrders[Part Name]=$A1069)*(T_PlannedOrders[WeekIndex]=70)*(T_PlannedOrders[EffectiveQty]&gt;0)*T_PlannedOrders[Order_Month])),"m月")&amp;"発注)")</f>
        <v/>
      </c>
      <c r="BV1075">
        <f>IF(SUMIFS(T_PlannedOrders[EffectiveQty],T_PlannedOrders[Part Name],$A1069,T_PlannedOrders[WeekIndex],71)=0,"",SUMIFS(T_PlannedOrders[EffectiveQty],T_PlannedOrders[Part Name],$A1069,T_PlannedOrders[WeekIndex],71)&amp;" ("&amp;TEXT(SUMPRODUCT(MAX((T_PlannedOrders[Part Name]=$A1069)*(T_PlannedOrders[WeekIndex]=71)*(T_PlannedOrders[EffectiveQty]&gt;0)*T_PlannedOrders[Order_Month])),"m月")&amp;"発注)")</f>
        <v/>
      </c>
      <c r="BW1075">
        <f>IF(SUMIFS(T_PlannedOrders[EffectiveQty],T_PlannedOrders[Part Name],$A1069,T_PlannedOrders[WeekIndex],72)=0,"",SUMIFS(T_PlannedOrders[EffectiveQty],T_PlannedOrders[Part Name],$A1069,T_PlannedOrders[WeekIndex],72)&amp;" ("&amp;TEXT(SUMPRODUCT(MAX((T_PlannedOrders[Part Name]=$A1069)*(T_PlannedOrders[WeekIndex]=72)*(T_PlannedOrders[EffectiveQty]&gt;0)*T_PlannedOrders[Order_Month])),"m月")&amp;"発注)")</f>
        <v/>
      </c>
      <c r="BX1075">
        <f>IF(SUMIFS(T_PlannedOrders[EffectiveQty],T_PlannedOrders[Part Name],$A1069,T_PlannedOrders[WeekIndex],73)=0,"",SUMIFS(T_PlannedOrders[EffectiveQty],T_PlannedOrders[Part Name],$A1069,T_PlannedOrders[WeekIndex],73)&amp;" ("&amp;TEXT(SUMPRODUCT(MAX((T_PlannedOrders[Part Name]=$A1069)*(T_PlannedOrders[WeekIndex]=73)*(T_PlannedOrders[EffectiveQty]&gt;0)*T_PlannedOrders[Order_Month])),"m月")&amp;"発注)")</f>
        <v/>
      </c>
      <c r="BY1075">
        <f>IF(SUMIFS(T_PlannedOrders[EffectiveQty],T_PlannedOrders[Part Name],$A1069,T_PlannedOrders[WeekIndex],74)=0,"",SUMIFS(T_PlannedOrders[EffectiveQty],T_PlannedOrders[Part Name],$A1069,T_PlannedOrders[WeekIndex],74)&amp;" ("&amp;TEXT(SUMPRODUCT(MAX((T_PlannedOrders[Part Name]=$A1069)*(T_PlannedOrders[WeekIndex]=74)*(T_PlannedOrders[EffectiveQty]&gt;0)*T_PlannedOrders[Order_Month])),"m月")&amp;"発注)")</f>
        <v/>
      </c>
      <c r="BZ1075">
        <f>IF(SUMIFS(T_PlannedOrders[EffectiveQty],T_PlannedOrders[Part Name],$A1069,T_PlannedOrders[WeekIndex],75)=0,"",SUMIFS(T_PlannedOrders[EffectiveQty],T_PlannedOrders[Part Name],$A1069,T_PlannedOrders[WeekIndex],75)&amp;" ("&amp;TEXT(SUMPRODUCT(MAX((T_PlannedOrders[Part Name]=$A1069)*(T_PlannedOrders[WeekIndex]=75)*(T_PlannedOrders[EffectiveQty]&gt;0)*T_PlannedOrders[Order_Month])),"m月")&amp;"発注)")</f>
        <v/>
      </c>
      <c r="CA1075">
        <f>IF(SUMIFS(T_PlannedOrders[EffectiveQty],T_PlannedOrders[Part Name],$A1069,T_PlannedOrders[WeekIndex],76)=0,"",SUMIFS(T_PlannedOrders[EffectiveQty],T_PlannedOrders[Part Name],$A1069,T_PlannedOrders[WeekIndex],76)&amp;" ("&amp;TEXT(SUMPRODUCT(MAX((T_PlannedOrders[Part Name]=$A1069)*(T_PlannedOrders[WeekIndex]=76)*(T_PlannedOrders[EffectiveQty]&gt;0)*T_PlannedOrders[Order_Month])),"m月")&amp;"発注)")</f>
        <v/>
      </c>
      <c r="CB1075">
        <f>IF(SUMIFS(T_PlannedOrders[EffectiveQty],T_PlannedOrders[Part Name],$A1069,T_PlannedOrders[WeekIndex],77)=0,"",SUMIFS(T_PlannedOrders[EffectiveQty],T_PlannedOrders[Part Name],$A1069,T_PlannedOrders[WeekIndex],77)&amp;" ("&amp;TEXT(SUMPRODUCT(MAX((T_PlannedOrders[Part Name]=$A1069)*(T_PlannedOrders[WeekIndex]=77)*(T_PlannedOrders[EffectiveQty]&gt;0)*T_PlannedOrders[Order_Month])),"m月")&amp;"発注)")</f>
        <v/>
      </c>
      <c r="CC1075">
        <f>IF(SUMIFS(T_PlannedOrders[EffectiveQty],T_PlannedOrders[Part Name],$A1069,T_PlannedOrders[WeekIndex],78)=0,"",SUMIFS(T_PlannedOrders[EffectiveQty],T_PlannedOrders[Part Name],$A1069,T_PlannedOrders[WeekIndex],78)&amp;" ("&amp;TEXT(SUMPRODUCT(MAX((T_PlannedOrders[Part Name]=$A1069)*(T_PlannedOrders[WeekIndex]=78)*(T_PlannedOrders[EffectiveQty]&gt;0)*T_PlannedOrders[Order_Month])),"m月")&amp;"発注)")</f>
        <v/>
      </c>
      <c r="CD1075">
        <f>IF(SUMIFS(T_PlannedOrders[EffectiveQty],T_PlannedOrders[Part Name],$A1069,T_PlannedOrders[WeekIndex],79)=0,"",SUMIFS(T_PlannedOrders[EffectiveQty],T_PlannedOrders[Part Name],$A1069,T_PlannedOrders[WeekIndex],79)&amp;" ("&amp;TEXT(SUMPRODUCT(MAX((T_PlannedOrders[Part Name]=$A1069)*(T_PlannedOrders[WeekIndex]=79)*(T_PlannedOrders[EffectiveQty]&gt;0)*T_PlannedOrders[Order_Month])),"m月")&amp;"発注)")</f>
        <v/>
      </c>
      <c r="CE1075">
        <f>IF(SUMIFS(T_PlannedOrders[EffectiveQty],T_PlannedOrders[Part Name],$A1069,T_PlannedOrders[WeekIndex],80)=0,"",SUMIFS(T_PlannedOrders[EffectiveQty],T_PlannedOrders[Part Name],$A1069,T_PlannedOrders[WeekIndex],80)&amp;" ("&amp;TEXT(SUMPRODUCT(MAX((T_PlannedOrders[Part Name]=$A1069)*(T_PlannedOrders[WeekIndex]=80)*(T_PlannedOrders[EffectiveQty]&gt;0)*T_PlannedOrders[Order_Month])),"m月")&amp;"発注)")</f>
        <v/>
      </c>
      <c r="CF1075">
        <f>IF(SUMIFS(T_PlannedOrders[EffectiveQty],T_PlannedOrders[Part Name],$A1069,T_PlannedOrders[WeekIndex],81)=0,"",SUMIFS(T_PlannedOrders[EffectiveQty],T_PlannedOrders[Part Name],$A1069,T_PlannedOrders[WeekIndex],81)&amp;" ("&amp;TEXT(SUMPRODUCT(MAX((T_PlannedOrders[Part Name]=$A1069)*(T_PlannedOrders[WeekIndex]=81)*(T_PlannedOrders[EffectiveQty]&gt;0)*T_PlannedOrders[Order_Month])),"m月")&amp;"発注)")</f>
        <v/>
      </c>
      <c r="CG1075">
        <f>IF(SUMIFS(T_PlannedOrders[EffectiveQty],T_PlannedOrders[Part Name],$A1069,T_PlannedOrders[WeekIndex],82)=0,"",SUMIFS(T_PlannedOrders[EffectiveQty],T_PlannedOrders[Part Name],$A1069,T_PlannedOrders[WeekIndex],82)&amp;" ("&amp;TEXT(SUMPRODUCT(MAX((T_PlannedOrders[Part Name]=$A1069)*(T_PlannedOrders[WeekIndex]=82)*(T_PlannedOrders[EffectiveQty]&gt;0)*T_PlannedOrders[Order_Month])),"m月")&amp;"発注)")</f>
        <v/>
      </c>
      <c r="CH1075">
        <f>IF(SUMIFS(T_PlannedOrders[EffectiveQty],T_PlannedOrders[Part Name],$A1069,T_PlannedOrders[WeekIndex],83)=0,"",SUMIFS(T_PlannedOrders[EffectiveQty],T_PlannedOrders[Part Name],$A1069,T_PlannedOrders[WeekIndex],83)&amp;" ("&amp;TEXT(SUMPRODUCT(MAX((T_PlannedOrders[Part Name]=$A1069)*(T_PlannedOrders[WeekIndex]=83)*(T_PlannedOrders[EffectiveQty]&gt;0)*T_PlannedOrders[Order_Month])),"m月")&amp;"発注)")</f>
        <v/>
      </c>
      <c r="CI1075">
        <f>IF(SUMIFS(T_PlannedOrders[EffectiveQty],T_PlannedOrders[Part Name],$A1069,T_PlannedOrders[WeekIndex],84)=0,"",SUMIFS(T_PlannedOrders[EffectiveQty],T_PlannedOrders[Part Name],$A1069,T_PlannedOrders[WeekIndex],84)&amp;" ("&amp;TEXT(SUMPRODUCT(MAX((T_PlannedOrders[Part Name]=$A1069)*(T_PlannedOrders[WeekIndex]=84)*(T_PlannedOrders[EffectiveQty]&gt;0)*T_PlannedOrders[Order_Month])),"m月")&amp;"発注)")</f>
        <v/>
      </c>
      <c r="CJ1075">
        <f>IF(SUMIFS(T_PlannedOrders[EffectiveQty],T_PlannedOrders[Part Name],$A1069,T_PlannedOrders[WeekIndex],85)=0,"",SUMIFS(T_PlannedOrders[EffectiveQty],T_PlannedOrders[Part Name],$A1069,T_PlannedOrders[WeekIndex],85)&amp;" ("&amp;TEXT(SUMPRODUCT(MAX((T_PlannedOrders[Part Name]=$A1069)*(T_PlannedOrders[WeekIndex]=85)*(T_PlannedOrders[EffectiveQty]&gt;0)*T_PlannedOrders[Order_Month])),"m月")&amp;"発注)")</f>
        <v/>
      </c>
      <c r="CK1075">
        <f>IF(SUMIFS(T_PlannedOrders[EffectiveQty],T_PlannedOrders[Part Name],$A1069,T_PlannedOrders[WeekIndex],86)=0,"",SUMIFS(T_PlannedOrders[EffectiveQty],T_PlannedOrders[Part Name],$A1069,T_PlannedOrders[WeekIndex],86)&amp;" ("&amp;TEXT(SUMPRODUCT(MAX((T_PlannedOrders[Part Name]=$A1069)*(T_PlannedOrders[WeekIndex]=86)*(T_PlannedOrders[EffectiveQty]&gt;0)*T_PlannedOrders[Order_Month])),"m月")&amp;"発注)")</f>
        <v/>
      </c>
      <c r="CL1075">
        <f>IF(SUMIFS(T_PlannedOrders[EffectiveQty],T_PlannedOrders[Part Name],$A1069,T_PlannedOrders[WeekIndex],87)=0,"",SUMIFS(T_PlannedOrders[EffectiveQty],T_PlannedOrders[Part Name],$A1069,T_PlannedOrders[WeekIndex],87)&amp;" ("&amp;TEXT(SUMPRODUCT(MAX((T_PlannedOrders[Part Name]=$A1069)*(T_PlannedOrders[WeekIndex]=87)*(T_PlannedOrders[EffectiveQty]&gt;0)*T_PlannedOrders[Order_Month])),"m月")&amp;"発注)")</f>
        <v/>
      </c>
      <c r="CM1075">
        <f>IF(SUMIFS(T_PlannedOrders[EffectiveQty],T_PlannedOrders[Part Name],$A1069,T_PlannedOrders[WeekIndex],88)=0,"",SUMIFS(T_PlannedOrders[EffectiveQty],T_PlannedOrders[Part Name],$A1069,T_PlannedOrders[WeekIndex],88)&amp;" ("&amp;TEXT(SUMPRODUCT(MAX((T_PlannedOrders[Part Name]=$A1069)*(T_PlannedOrders[WeekIndex]=88)*(T_PlannedOrders[EffectiveQty]&gt;0)*T_PlannedOrders[Order_Month])),"m月")&amp;"発注)")</f>
        <v/>
      </c>
      <c r="CN1075">
        <f>IF(SUMIFS(T_PlannedOrders[EffectiveQty],T_PlannedOrders[Part Name],$A1069,T_PlannedOrders[WeekIndex],89)=0,"",SUMIFS(T_PlannedOrders[EffectiveQty],T_PlannedOrders[Part Name],$A1069,T_PlannedOrders[WeekIndex],89)&amp;" ("&amp;TEXT(SUMPRODUCT(MAX((T_PlannedOrders[Part Name]=$A1069)*(T_PlannedOrders[WeekIndex]=89)*(T_PlannedOrders[EffectiveQty]&gt;0)*T_PlannedOrders[Order_Month])),"m月")&amp;"発注)")</f>
        <v/>
      </c>
      <c r="CO1075">
        <f>IF(SUMIFS(T_PlannedOrders[EffectiveQty],T_PlannedOrders[Part Name],$A1069,T_PlannedOrders[WeekIndex],90)=0,"",SUMIFS(T_PlannedOrders[EffectiveQty],T_PlannedOrders[Part Name],$A1069,T_PlannedOrders[WeekIndex],90)&amp;" ("&amp;TEXT(SUMPRODUCT(MAX((T_PlannedOrders[Part Name]=$A1069)*(T_PlannedOrders[WeekIndex]=90)*(T_PlannedOrders[EffectiveQty]&gt;0)*T_PlannedOrders[Order_Month])),"m月")&amp;"発注)")</f>
        <v/>
      </c>
      <c r="CP1075">
        <f>IF(SUMIFS(T_PlannedOrders[EffectiveQty],T_PlannedOrders[Part Name],$A1069,T_PlannedOrders[WeekIndex],91)=0,"",SUMIFS(T_PlannedOrders[EffectiveQty],T_PlannedOrders[Part Name],$A1069,T_PlannedOrders[WeekIndex],91)&amp;" ("&amp;TEXT(SUMPRODUCT(MAX((T_PlannedOrders[Part Name]=$A1069)*(T_PlannedOrders[WeekIndex]=91)*(T_PlannedOrders[EffectiveQty]&gt;0)*T_PlannedOrders[Order_Month])),"m月")&amp;"発注)")</f>
        <v/>
      </c>
      <c r="CQ1075">
        <f>IF(SUMIFS(T_PlannedOrders[EffectiveQty],T_PlannedOrders[Part Name],$A1069,T_PlannedOrders[WeekIndex],92)=0,"",SUMIFS(T_PlannedOrders[EffectiveQty],T_PlannedOrders[Part Name],$A1069,T_PlannedOrders[WeekIndex],92)&amp;" ("&amp;TEXT(SUMPRODUCT(MAX((T_PlannedOrders[Part Name]=$A1069)*(T_PlannedOrders[WeekIndex]=92)*(T_PlannedOrders[EffectiveQty]&gt;0)*T_PlannedOrders[Order_Month])),"m月")&amp;"発注)")</f>
        <v/>
      </c>
      <c r="CR1075">
        <f>IF(SUMIFS(T_PlannedOrders[EffectiveQty],T_PlannedOrders[Part Name],$A1069,T_PlannedOrders[WeekIndex],93)=0,"",SUMIFS(T_PlannedOrders[EffectiveQty],T_PlannedOrders[Part Name],$A1069,T_PlannedOrders[WeekIndex],93)&amp;" ("&amp;TEXT(SUMPRODUCT(MAX((T_PlannedOrders[Part Name]=$A1069)*(T_PlannedOrders[WeekIndex]=93)*(T_PlannedOrders[EffectiveQty]&gt;0)*T_PlannedOrders[Order_Month])),"m月")&amp;"発注)")</f>
        <v/>
      </c>
      <c r="CS1075">
        <f>IF(SUMIFS(T_PlannedOrders[EffectiveQty],T_PlannedOrders[Part Name],$A1069,T_PlannedOrders[WeekIndex],94)=0,"",SUMIFS(T_PlannedOrders[EffectiveQty],T_PlannedOrders[Part Name],$A1069,T_PlannedOrders[WeekIndex],94)&amp;" ("&amp;TEXT(SUMPRODUCT(MAX((T_PlannedOrders[Part Name]=$A1069)*(T_PlannedOrders[WeekIndex]=94)*(T_PlannedOrders[EffectiveQty]&gt;0)*T_PlannedOrders[Order_Month])),"m月")&amp;"発注)")</f>
        <v/>
      </c>
      <c r="CT1075">
        <f>IF(SUMIFS(T_PlannedOrders[EffectiveQty],T_PlannedOrders[Part Name],$A1069,T_PlannedOrders[WeekIndex],95)=0,"",SUMIFS(T_PlannedOrders[EffectiveQty],T_PlannedOrders[Part Name],$A1069,T_PlannedOrders[WeekIndex],95)&amp;" ("&amp;TEXT(SUMPRODUCT(MAX((T_PlannedOrders[Part Name]=$A1069)*(T_PlannedOrders[WeekIndex]=95)*(T_PlannedOrders[EffectiveQty]&gt;0)*T_PlannedOrders[Order_Month])),"m月")&amp;"発注)")</f>
        <v/>
      </c>
      <c r="CU1075">
        <f>IF(SUMIFS(T_PlannedOrders[EffectiveQty],T_PlannedOrders[Part Name],$A1069,T_PlannedOrders[WeekIndex],96)=0,"",SUMIFS(T_PlannedOrders[EffectiveQty],T_PlannedOrders[Part Name],$A1069,T_PlannedOrders[WeekIndex],96)&amp;" ("&amp;TEXT(SUMPRODUCT(MAX((T_PlannedOrders[Part Name]=$A1069)*(T_PlannedOrders[WeekIndex]=96)*(T_PlannedOrders[EffectiveQty]&gt;0)*T_PlannedOrders[Order_Month])),"m月")&amp;"発注)")</f>
        <v/>
      </c>
      <c r="CV1075">
        <f>IF(SUMIFS(T_PlannedOrders[EffectiveQty],T_PlannedOrders[Part Name],$A1069,T_PlannedOrders[WeekIndex],97)=0,"",SUMIFS(T_PlannedOrders[EffectiveQty],T_PlannedOrders[Part Name],$A1069,T_PlannedOrders[WeekIndex],97)&amp;" ("&amp;TEXT(SUMPRODUCT(MAX((T_PlannedOrders[Part Name]=$A1069)*(T_PlannedOrders[WeekIndex]=97)*(T_PlannedOrders[EffectiveQty]&gt;0)*T_PlannedOrders[Order_Month])),"m月")&amp;"発注)")</f>
        <v/>
      </c>
      <c r="CW1075">
        <f>IF(SUMIFS(T_PlannedOrders[EffectiveQty],T_PlannedOrders[Part Name],$A1069,T_PlannedOrders[WeekIndex],98)=0,"",SUMIFS(T_PlannedOrders[EffectiveQty],T_PlannedOrders[Part Name],$A1069,T_PlannedOrders[WeekIndex],98)&amp;" ("&amp;TEXT(SUMPRODUCT(MAX((T_PlannedOrders[Part Name]=$A1069)*(T_PlannedOrders[WeekIndex]=98)*(T_PlannedOrders[EffectiveQty]&gt;0)*T_PlannedOrders[Order_Month])),"m月")&amp;"発注)")</f>
        <v/>
      </c>
      <c r="CX1075">
        <f>IF(SUMIFS(T_PlannedOrders[EffectiveQty],T_PlannedOrders[Part Name],$A1069,T_PlannedOrders[WeekIndex],99)=0,"",SUMIFS(T_PlannedOrders[EffectiveQty],T_PlannedOrders[Part Name],$A1069,T_PlannedOrders[WeekIndex],99)&amp;" ("&amp;TEXT(SUMPRODUCT(MAX((T_PlannedOrders[Part Name]=$A1069)*(T_PlannedOrders[WeekIndex]=99)*(T_PlannedOrders[EffectiveQty]&gt;0)*T_PlannedOrders[Order_Month])),"m月")&amp;"発注)")</f>
        <v/>
      </c>
      <c r="CY1075">
        <f>IF(SUMIFS(T_PlannedOrders[EffectiveQty],T_PlannedOrders[Part Name],$A1069,T_PlannedOrders[WeekIndex],100)=0,"",SUMIFS(T_PlannedOrders[EffectiveQty],T_PlannedOrders[Part Name],$A1069,T_PlannedOrders[WeekIndex],100)&amp;" ("&amp;TEXT(SUMPRODUCT(MAX((T_PlannedOrders[Part Name]=$A1069)*(T_PlannedOrders[WeekIndex]=100)*(T_PlannedOrders[EffectiveQty]&gt;0)*T_PlannedOrders[Order_Month])),"m月")&amp;"発注)")</f>
        <v/>
      </c>
      <c r="CZ1075">
        <f>IF(SUMIFS(T_PlannedOrders[EffectiveQty],T_PlannedOrders[Part Name],$A1069,T_PlannedOrders[WeekIndex],101)=0,"",SUMIFS(T_PlannedOrders[EffectiveQty],T_PlannedOrders[Part Name],$A1069,T_PlannedOrders[WeekIndex],101)&amp;" ("&amp;TEXT(SUMPRODUCT(MAX((T_PlannedOrders[Part Name]=$A1069)*(T_PlannedOrders[WeekIndex]=101)*(T_PlannedOrders[EffectiveQty]&gt;0)*T_PlannedOrders[Order_Month])),"m月")&amp;"発注)")</f>
        <v/>
      </c>
      <c r="DA1075">
        <f>IF(SUMIFS(T_PlannedOrders[EffectiveQty],T_PlannedOrders[Part Name],$A1069,T_PlannedOrders[WeekIndex],102)=0,"",SUMIFS(T_PlannedOrders[EffectiveQty],T_PlannedOrders[Part Name],$A1069,T_PlannedOrders[WeekIndex],102)&amp;" ("&amp;TEXT(SUMPRODUCT(MAX((T_PlannedOrders[Part Name]=$A1069)*(T_PlannedOrders[WeekIndex]=102)*(T_PlannedOrders[EffectiveQty]&gt;0)*T_PlannedOrders[Order_Month])),"m月")&amp;"発注)")</f>
        <v/>
      </c>
      <c r="DB1075">
        <f>IF(SUMIFS(T_PlannedOrders[EffectiveQty],T_PlannedOrders[Part Name],$A1069,T_PlannedOrders[WeekIndex],103)=0,"",SUMIFS(T_PlannedOrders[EffectiveQty],T_PlannedOrders[Part Name],$A1069,T_PlannedOrders[WeekIndex],103)&amp;" ("&amp;TEXT(SUMPRODUCT(MAX((T_PlannedOrders[Part Name]=$A1069)*(T_PlannedOrders[WeekIndex]=103)*(T_PlannedOrders[EffectiveQty]&gt;0)*T_PlannedOrders[Order_Month])),"m月")&amp;"発注)")</f>
        <v/>
      </c>
      <c r="DC1075">
        <f>IF(SUMIFS(T_PlannedOrders[EffectiveQty],T_PlannedOrders[Part Name],$A1069,T_PlannedOrders[WeekIndex],104)=0,"",SUMIFS(T_PlannedOrders[EffectiveQty],T_PlannedOrders[Part Name],$A1069,T_PlannedOrders[WeekIndex],104)&amp;" ("&amp;TEXT(SUMPRODUCT(MAX((T_PlannedOrders[Part Name]=$A1069)*(T_PlannedOrders[WeekIndex]=104)*(T_PlannedOrders[EffectiveQty]&gt;0)*T_PlannedOrders[Order_Month])),"m月")&amp;"発注)")</f>
        <v/>
      </c>
    </row>
    <row r="1076">
      <c r="B1076" s="4" t="inlineStr">
        <is>
          <t>合計在庫(週末時点,kg)</t>
        </is>
      </c>
      <c r="D1076">
        <f>'Grid_Stock'!B44</f>
        <v/>
      </c>
      <c r="E1076">
        <f>'Grid_Stock'!C44</f>
        <v/>
      </c>
      <c r="F1076">
        <f>'Grid_Stock'!D44</f>
        <v/>
      </c>
      <c r="G1076">
        <f>'Grid_Stock'!E44</f>
        <v/>
      </c>
      <c r="H1076">
        <f>'Grid_Stock'!F44</f>
        <v/>
      </c>
      <c r="I1076">
        <f>'Grid_Stock'!G44</f>
        <v/>
      </c>
      <c r="J1076">
        <f>'Grid_Stock'!H44</f>
        <v/>
      </c>
      <c r="K1076">
        <f>'Grid_Stock'!I44</f>
        <v/>
      </c>
      <c r="L1076">
        <f>'Grid_Stock'!J44</f>
        <v/>
      </c>
      <c r="M1076">
        <f>'Grid_Stock'!K44</f>
        <v/>
      </c>
      <c r="N1076">
        <f>'Grid_Stock'!L44</f>
        <v/>
      </c>
      <c r="O1076">
        <f>'Grid_Stock'!M44</f>
        <v/>
      </c>
      <c r="P1076">
        <f>'Grid_Stock'!N44</f>
        <v/>
      </c>
      <c r="Q1076">
        <f>'Grid_Stock'!O44</f>
        <v/>
      </c>
      <c r="R1076">
        <f>'Grid_Stock'!P44</f>
        <v/>
      </c>
      <c r="S1076">
        <f>'Grid_Stock'!Q44</f>
        <v/>
      </c>
      <c r="T1076">
        <f>'Grid_Stock'!R44</f>
        <v/>
      </c>
      <c r="U1076">
        <f>'Grid_Stock'!S44</f>
        <v/>
      </c>
      <c r="V1076">
        <f>'Grid_Stock'!T44</f>
        <v/>
      </c>
      <c r="W1076">
        <f>'Grid_Stock'!U44</f>
        <v/>
      </c>
      <c r="X1076">
        <f>'Grid_Stock'!V44</f>
        <v/>
      </c>
      <c r="Y1076">
        <f>'Grid_Stock'!W44</f>
        <v/>
      </c>
      <c r="Z1076">
        <f>'Grid_Stock'!X44</f>
        <v/>
      </c>
      <c r="AA1076">
        <f>'Grid_Stock'!Y44</f>
        <v/>
      </c>
      <c r="AB1076">
        <f>'Grid_Stock'!Z44</f>
        <v/>
      </c>
      <c r="AC1076">
        <f>'Grid_Stock'!AA44</f>
        <v/>
      </c>
      <c r="AD1076">
        <f>'Grid_Stock'!AB44</f>
        <v/>
      </c>
      <c r="AE1076">
        <f>'Grid_Stock'!AC44</f>
        <v/>
      </c>
      <c r="AF1076">
        <f>'Grid_Stock'!AD44</f>
        <v/>
      </c>
      <c r="AG1076">
        <f>'Grid_Stock'!AE44</f>
        <v/>
      </c>
      <c r="AH1076">
        <f>'Grid_Stock'!AF44</f>
        <v/>
      </c>
      <c r="AI1076">
        <f>'Grid_Stock'!AG44</f>
        <v/>
      </c>
      <c r="AJ1076">
        <f>'Grid_Stock'!AH44</f>
        <v/>
      </c>
      <c r="AK1076">
        <f>'Grid_Stock'!AI44</f>
        <v/>
      </c>
      <c r="AL1076">
        <f>'Grid_Stock'!AJ44</f>
        <v/>
      </c>
      <c r="AM1076">
        <f>'Grid_Stock'!AK44</f>
        <v/>
      </c>
      <c r="AN1076">
        <f>'Grid_Stock'!AL44</f>
        <v/>
      </c>
      <c r="AO1076">
        <f>'Grid_Stock'!AM44</f>
        <v/>
      </c>
      <c r="AP1076">
        <f>'Grid_Stock'!AN44</f>
        <v/>
      </c>
      <c r="AQ1076">
        <f>'Grid_Stock'!AO44</f>
        <v/>
      </c>
      <c r="AR1076">
        <f>'Grid_Stock'!AP44</f>
        <v/>
      </c>
      <c r="AS1076">
        <f>'Grid_Stock'!AQ44</f>
        <v/>
      </c>
      <c r="AT1076">
        <f>'Grid_Stock'!AR44</f>
        <v/>
      </c>
      <c r="AU1076">
        <f>'Grid_Stock'!AS44</f>
        <v/>
      </c>
      <c r="AV1076">
        <f>'Grid_Stock'!AT44</f>
        <v/>
      </c>
      <c r="AW1076">
        <f>'Grid_Stock'!AU44</f>
        <v/>
      </c>
      <c r="AX1076">
        <f>'Grid_Stock'!AV44</f>
        <v/>
      </c>
      <c r="AY1076">
        <f>'Grid_Stock'!AW44</f>
        <v/>
      </c>
      <c r="AZ1076">
        <f>'Grid_Stock'!AX44</f>
        <v/>
      </c>
      <c r="BA1076">
        <f>'Grid_Stock'!AY44</f>
        <v/>
      </c>
      <c r="BB1076">
        <f>'Grid_Stock'!AZ44</f>
        <v/>
      </c>
      <c r="BC1076">
        <f>'Grid_Stock'!BA44</f>
        <v/>
      </c>
      <c r="BD1076">
        <f>'Grid_Stock'!BB44</f>
        <v/>
      </c>
      <c r="BE1076">
        <f>'Grid_Stock'!BC44</f>
        <v/>
      </c>
      <c r="BF1076">
        <f>'Grid_Stock'!BD44</f>
        <v/>
      </c>
      <c r="BG1076">
        <f>'Grid_Stock'!BE44</f>
        <v/>
      </c>
      <c r="BH1076">
        <f>'Grid_Stock'!BF44</f>
        <v/>
      </c>
      <c r="BI1076">
        <f>'Grid_Stock'!BG44</f>
        <v/>
      </c>
      <c r="BJ1076">
        <f>'Grid_Stock'!BH44</f>
        <v/>
      </c>
      <c r="BK1076">
        <f>'Grid_Stock'!BI44</f>
        <v/>
      </c>
      <c r="BL1076">
        <f>'Grid_Stock'!BJ44</f>
        <v/>
      </c>
      <c r="BM1076">
        <f>'Grid_Stock'!BK44</f>
        <v/>
      </c>
      <c r="BN1076">
        <f>'Grid_Stock'!BL44</f>
        <v/>
      </c>
      <c r="BO1076">
        <f>'Grid_Stock'!BM44</f>
        <v/>
      </c>
      <c r="BP1076">
        <f>'Grid_Stock'!BN44</f>
        <v/>
      </c>
      <c r="BQ1076">
        <f>'Grid_Stock'!BO44</f>
        <v/>
      </c>
      <c r="BR1076">
        <f>'Grid_Stock'!BP44</f>
        <v/>
      </c>
      <c r="BS1076">
        <f>'Grid_Stock'!BQ44</f>
        <v/>
      </c>
      <c r="BT1076">
        <f>'Grid_Stock'!BR44</f>
        <v/>
      </c>
      <c r="BU1076">
        <f>'Grid_Stock'!BS44</f>
        <v/>
      </c>
      <c r="BV1076">
        <f>'Grid_Stock'!BT44</f>
        <v/>
      </c>
      <c r="BW1076">
        <f>'Grid_Stock'!BU44</f>
        <v/>
      </c>
      <c r="BX1076">
        <f>'Grid_Stock'!BV44</f>
        <v/>
      </c>
      <c r="BY1076">
        <f>'Grid_Stock'!BW44</f>
        <v/>
      </c>
      <c r="BZ1076">
        <f>'Grid_Stock'!BX44</f>
        <v/>
      </c>
      <c r="CA1076">
        <f>'Grid_Stock'!BY44</f>
        <v/>
      </c>
      <c r="CB1076">
        <f>'Grid_Stock'!BZ44</f>
        <v/>
      </c>
      <c r="CC1076">
        <f>'Grid_Stock'!CA44</f>
        <v/>
      </c>
      <c r="CD1076">
        <f>'Grid_Stock'!CB44</f>
        <v/>
      </c>
      <c r="CE1076">
        <f>'Grid_Stock'!CC44</f>
        <v/>
      </c>
      <c r="CF1076">
        <f>'Grid_Stock'!CD44</f>
        <v/>
      </c>
      <c r="CG1076">
        <f>'Grid_Stock'!CE44</f>
        <v/>
      </c>
      <c r="CH1076">
        <f>'Grid_Stock'!CF44</f>
        <v/>
      </c>
      <c r="CI1076">
        <f>'Grid_Stock'!CG44</f>
        <v/>
      </c>
      <c r="CJ1076">
        <f>'Grid_Stock'!CH44</f>
        <v/>
      </c>
      <c r="CK1076">
        <f>'Grid_Stock'!CI44</f>
        <v/>
      </c>
      <c r="CL1076">
        <f>'Grid_Stock'!CJ44</f>
        <v/>
      </c>
      <c r="CM1076">
        <f>'Grid_Stock'!CK44</f>
        <v/>
      </c>
      <c r="CN1076">
        <f>'Grid_Stock'!CL44</f>
        <v/>
      </c>
      <c r="CO1076">
        <f>'Grid_Stock'!CM44</f>
        <v/>
      </c>
      <c r="CP1076">
        <f>'Grid_Stock'!CN44</f>
        <v/>
      </c>
      <c r="CQ1076">
        <f>'Grid_Stock'!CO44</f>
        <v/>
      </c>
      <c r="CR1076">
        <f>'Grid_Stock'!CP44</f>
        <v/>
      </c>
      <c r="CS1076">
        <f>'Grid_Stock'!CQ44</f>
        <v/>
      </c>
      <c r="CT1076">
        <f>'Grid_Stock'!CR44</f>
        <v/>
      </c>
      <c r="CU1076">
        <f>'Grid_Stock'!CS44</f>
        <v/>
      </c>
      <c r="CV1076">
        <f>'Grid_Stock'!CT44</f>
        <v/>
      </c>
      <c r="CW1076">
        <f>'Grid_Stock'!CU44</f>
        <v/>
      </c>
      <c r="CX1076">
        <f>'Grid_Stock'!CV44</f>
        <v/>
      </c>
      <c r="CY1076">
        <f>'Grid_Stock'!CW44</f>
        <v/>
      </c>
      <c r="CZ1076">
        <f>'Grid_Stock'!CX44</f>
        <v/>
      </c>
      <c r="DA1076">
        <f>'Grid_Stock'!CY44</f>
        <v/>
      </c>
      <c r="DB1076">
        <f>'Grid_Stock'!CZ44</f>
        <v/>
      </c>
      <c r="DC1076">
        <f>'Grid_Stock'!DA44</f>
        <v/>
      </c>
    </row>
    <row r="1077">
      <c r="B1077" s="16" t="inlineStr">
        <is>
          <t>（発注の目安はDashboardの基準在庫[下限/上限]と色分けを参照）</t>
        </is>
      </c>
    </row>
    <row r="1079">
      <c r="A1079" s="14" t="inlineStr">
        <is>
          <t>9RN</t>
        </is>
      </c>
      <c r="B1079" s="14" t="inlineStr">
        <is>
          <t>N30S89R11WF7  4FK13117080</t>
        </is>
      </c>
      <c r="C1079" s="15" t="n"/>
      <c r="D1079" s="14" t="n"/>
      <c r="E1079" s="14" t="n"/>
      <c r="F1079" s="14" t="n"/>
      <c r="G1079" s="14" t="n"/>
      <c r="H1079" s="14" t="n"/>
      <c r="I1079" s="14" t="n"/>
      <c r="J1079" s="14" t="n"/>
      <c r="K1079" s="14" t="n"/>
      <c r="L1079" s="14" t="n"/>
      <c r="M1079" s="14" t="n"/>
      <c r="N1079" s="14" t="n"/>
      <c r="O1079" s="14" t="n"/>
      <c r="P1079" s="14" t="n"/>
      <c r="Q1079" s="14" t="n"/>
      <c r="R1079" s="14" t="n"/>
      <c r="S1079" s="14" t="n"/>
      <c r="T1079" s="14" t="n"/>
      <c r="U1079" s="14" t="n"/>
      <c r="V1079" s="14" t="n"/>
      <c r="W1079" s="14" t="n"/>
      <c r="X1079" s="14" t="n"/>
      <c r="Y1079" s="14" t="n"/>
      <c r="Z1079" s="14" t="n"/>
      <c r="AA1079" s="14" t="n"/>
      <c r="AB1079" s="14" t="n"/>
      <c r="AC1079" s="14" t="n"/>
      <c r="AD1079" s="14" t="n"/>
      <c r="AE1079" s="14" t="n"/>
      <c r="AF1079" s="14" t="n"/>
      <c r="AG1079" s="14" t="n"/>
      <c r="AH1079" s="14" t="n"/>
      <c r="AI1079" s="14" t="n"/>
      <c r="AJ1079" s="14" t="n"/>
      <c r="AK1079" s="14" t="n"/>
      <c r="AL1079" s="14" t="n"/>
      <c r="AM1079" s="14" t="n"/>
      <c r="AN1079" s="14" t="n"/>
      <c r="AO1079" s="14" t="n"/>
      <c r="AP1079" s="14" t="n"/>
      <c r="AQ1079" s="14" t="n"/>
      <c r="AR1079" s="14" t="n"/>
      <c r="AS1079" s="14" t="n"/>
      <c r="AT1079" s="14" t="n"/>
      <c r="AU1079" s="14" t="n"/>
      <c r="AV1079" s="14" t="n"/>
      <c r="AW1079" s="14" t="n"/>
      <c r="AX1079" s="14" t="n"/>
      <c r="AY1079" s="14" t="n"/>
      <c r="AZ1079" s="14" t="n"/>
      <c r="BA1079" s="14" t="n"/>
      <c r="BB1079" s="14" t="n"/>
      <c r="BC1079" s="14" t="n"/>
      <c r="BD1079" s="14" t="n"/>
      <c r="BE1079" s="14" t="n"/>
      <c r="BF1079" s="14" t="n"/>
      <c r="BG1079" s="14" t="n"/>
      <c r="BH1079" s="14" t="n"/>
      <c r="BI1079" s="14" t="n"/>
      <c r="BJ1079" s="14" t="n"/>
      <c r="BK1079" s="14" t="n"/>
      <c r="BL1079" s="14" t="n"/>
      <c r="BM1079" s="14" t="n"/>
      <c r="BN1079" s="14" t="n"/>
      <c r="BO1079" s="14" t="n"/>
      <c r="BP1079" s="14" t="n"/>
      <c r="BQ1079" s="14" t="n"/>
      <c r="BR1079" s="14" t="n"/>
      <c r="BS1079" s="14" t="n"/>
      <c r="BT1079" s="14" t="n"/>
      <c r="BU1079" s="14" t="n"/>
      <c r="BV1079" s="14" t="n"/>
      <c r="BW1079" s="14" t="n"/>
      <c r="BX1079" s="14" t="n"/>
      <c r="BY1079" s="14" t="n"/>
      <c r="BZ1079" s="14" t="n"/>
      <c r="CA1079" s="14" t="n"/>
      <c r="CB1079" s="14" t="n"/>
      <c r="CC1079" s="14" t="n"/>
      <c r="CD1079" s="14" t="n"/>
      <c r="CE1079" s="14" t="n"/>
      <c r="CF1079" s="14" t="n"/>
      <c r="CG1079" s="14" t="n"/>
      <c r="CH1079" s="14" t="n"/>
      <c r="CI1079" s="14" t="n"/>
      <c r="CJ1079" s="14" t="n"/>
      <c r="CK1079" s="14" t="n"/>
      <c r="CL1079" s="14" t="n"/>
      <c r="CM1079" s="14" t="n"/>
      <c r="CN1079" s="14" t="n"/>
      <c r="CO1079" s="14" t="n"/>
      <c r="CP1079" s="14" t="n"/>
      <c r="CQ1079" s="14" t="n"/>
      <c r="CR1079" s="14" t="n"/>
      <c r="CS1079" s="14" t="n"/>
      <c r="CT1079" s="14" t="n"/>
      <c r="CU1079" s="14" t="n"/>
      <c r="CV1079" s="14" t="n"/>
      <c r="CW1079" s="14" t="n"/>
      <c r="CX1079" s="14" t="n"/>
      <c r="CY1079" s="14" t="n"/>
      <c r="CZ1079" s="14" t="n"/>
      <c r="DA1079" s="14" t="n"/>
      <c r="DB1079" s="14" t="n"/>
      <c r="DC1079" s="14" t="n"/>
    </row>
    <row r="1080">
      <c r="B1080" t="inlineStr">
        <is>
          <t>K0050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7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Name],$A1079)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s="4" t="inlineStr">
        <is>
          <t>合計使用量(kg)/週</t>
        </is>
      </c>
      <c r="D1082">
        <f>'Grid_Requirement'!B14</f>
        <v/>
      </c>
      <c r="E1082">
        <f>'Grid_Requirement'!C14</f>
        <v/>
      </c>
      <c r="F1082">
        <f>'Grid_Requirement'!D14</f>
        <v/>
      </c>
      <c r="G1082">
        <f>'Grid_Requirement'!E14</f>
        <v/>
      </c>
      <c r="H1082">
        <f>'Grid_Requirement'!F14</f>
        <v/>
      </c>
      <c r="I1082">
        <f>'Grid_Requirement'!G14</f>
        <v/>
      </c>
      <c r="J1082">
        <f>'Grid_Requirement'!H14</f>
        <v/>
      </c>
      <c r="K1082">
        <f>'Grid_Requirement'!I14</f>
        <v/>
      </c>
      <c r="L1082">
        <f>'Grid_Requirement'!J14</f>
        <v/>
      </c>
      <c r="M1082">
        <f>'Grid_Requirement'!K14</f>
        <v/>
      </c>
      <c r="N1082">
        <f>'Grid_Requirement'!L14</f>
        <v/>
      </c>
      <c r="O1082">
        <f>'Grid_Requirement'!M14</f>
        <v/>
      </c>
      <c r="P1082">
        <f>'Grid_Requirement'!N14</f>
        <v/>
      </c>
      <c r="Q1082">
        <f>'Grid_Requirement'!O14</f>
        <v/>
      </c>
      <c r="R1082">
        <f>'Grid_Requirement'!P14</f>
        <v/>
      </c>
      <c r="S1082">
        <f>'Grid_Requirement'!Q14</f>
        <v/>
      </c>
      <c r="T1082">
        <f>'Grid_Requirement'!R14</f>
        <v/>
      </c>
      <c r="U1082">
        <f>'Grid_Requirement'!S14</f>
        <v/>
      </c>
      <c r="V1082">
        <f>'Grid_Requirement'!T14</f>
        <v/>
      </c>
      <c r="W1082">
        <f>'Grid_Requirement'!U14</f>
        <v/>
      </c>
      <c r="X1082">
        <f>'Grid_Requirement'!V14</f>
        <v/>
      </c>
      <c r="Y1082">
        <f>'Grid_Requirement'!W14</f>
        <v/>
      </c>
      <c r="Z1082">
        <f>'Grid_Requirement'!X14</f>
        <v/>
      </c>
      <c r="AA1082">
        <f>'Grid_Requirement'!Y14</f>
        <v/>
      </c>
      <c r="AB1082">
        <f>'Grid_Requirement'!Z14</f>
        <v/>
      </c>
      <c r="AC1082">
        <f>'Grid_Requirement'!AA14</f>
        <v/>
      </c>
      <c r="AD1082">
        <f>'Grid_Requirement'!AB14</f>
        <v/>
      </c>
      <c r="AE1082">
        <f>'Grid_Requirement'!AC14</f>
        <v/>
      </c>
      <c r="AF1082">
        <f>'Grid_Requirement'!AD14</f>
        <v/>
      </c>
      <c r="AG1082">
        <f>'Grid_Requirement'!AE14</f>
        <v/>
      </c>
      <c r="AH1082">
        <f>'Grid_Requirement'!AF14</f>
        <v/>
      </c>
      <c r="AI1082">
        <f>'Grid_Requirement'!AG14</f>
        <v/>
      </c>
      <c r="AJ1082">
        <f>'Grid_Requirement'!AH14</f>
        <v/>
      </c>
      <c r="AK1082">
        <f>'Grid_Requirement'!AI14</f>
        <v/>
      </c>
      <c r="AL1082">
        <f>'Grid_Requirement'!AJ14</f>
        <v/>
      </c>
      <c r="AM1082">
        <f>'Grid_Requirement'!AK14</f>
        <v/>
      </c>
      <c r="AN1082">
        <f>'Grid_Requirement'!AL14</f>
        <v/>
      </c>
      <c r="AO1082">
        <f>'Grid_Requirement'!AM14</f>
        <v/>
      </c>
      <c r="AP1082">
        <f>'Grid_Requirement'!AN14</f>
        <v/>
      </c>
      <c r="AQ1082">
        <f>'Grid_Requirement'!AO14</f>
        <v/>
      </c>
      <c r="AR1082">
        <f>'Grid_Requirement'!AP14</f>
        <v/>
      </c>
      <c r="AS1082">
        <f>'Grid_Requirement'!AQ14</f>
        <v/>
      </c>
      <c r="AT1082">
        <f>'Grid_Requirement'!AR14</f>
        <v/>
      </c>
      <c r="AU1082">
        <f>'Grid_Requirement'!AS14</f>
        <v/>
      </c>
      <c r="AV1082">
        <f>'Grid_Requirement'!AT14</f>
        <v/>
      </c>
      <c r="AW1082">
        <f>'Grid_Requirement'!AU14</f>
        <v/>
      </c>
      <c r="AX1082">
        <f>'Grid_Requirement'!AV14</f>
        <v/>
      </c>
      <c r="AY1082">
        <f>'Grid_Requirement'!AW14</f>
        <v/>
      </c>
      <c r="AZ1082">
        <f>'Grid_Requirement'!AX14</f>
        <v/>
      </c>
      <c r="BA1082">
        <f>'Grid_Requirement'!AY14</f>
        <v/>
      </c>
      <c r="BB1082">
        <f>'Grid_Requirement'!AZ14</f>
        <v/>
      </c>
      <c r="BC1082">
        <f>'Grid_Requirement'!BA14</f>
        <v/>
      </c>
      <c r="BD1082">
        <f>'Grid_Requirement'!BB14</f>
        <v/>
      </c>
      <c r="BE1082">
        <f>'Grid_Requirement'!BC14</f>
        <v/>
      </c>
      <c r="BF1082">
        <f>'Grid_Requirement'!BD14</f>
        <v/>
      </c>
      <c r="BG1082">
        <f>'Grid_Requirement'!BE14</f>
        <v/>
      </c>
      <c r="BH1082">
        <f>'Grid_Requirement'!BF14</f>
        <v/>
      </c>
      <c r="BI1082">
        <f>'Grid_Requirement'!BG14</f>
        <v/>
      </c>
      <c r="BJ1082">
        <f>'Grid_Requirement'!BH14</f>
        <v/>
      </c>
      <c r="BK1082">
        <f>'Grid_Requirement'!BI14</f>
        <v/>
      </c>
      <c r="BL1082">
        <f>'Grid_Requirement'!BJ14</f>
        <v/>
      </c>
      <c r="BM1082">
        <f>'Grid_Requirement'!BK14</f>
        <v/>
      </c>
      <c r="BN1082">
        <f>'Grid_Requirement'!BL14</f>
        <v/>
      </c>
      <c r="BO1082">
        <f>'Grid_Requirement'!BM14</f>
        <v/>
      </c>
      <c r="BP1082">
        <f>'Grid_Requirement'!BN14</f>
        <v/>
      </c>
      <c r="BQ1082">
        <f>'Grid_Requirement'!BO14</f>
        <v/>
      </c>
      <c r="BR1082">
        <f>'Grid_Requirement'!BP14</f>
        <v/>
      </c>
      <c r="BS1082">
        <f>'Grid_Requirement'!BQ14</f>
        <v/>
      </c>
      <c r="BT1082">
        <f>'Grid_Requirement'!BR14</f>
        <v/>
      </c>
      <c r="BU1082">
        <f>'Grid_Requirement'!BS14</f>
        <v/>
      </c>
      <c r="BV1082">
        <f>'Grid_Requirement'!BT14</f>
        <v/>
      </c>
      <c r="BW1082">
        <f>'Grid_Requirement'!BU14</f>
        <v/>
      </c>
      <c r="BX1082">
        <f>'Grid_Requirement'!BV14</f>
        <v/>
      </c>
      <c r="BY1082">
        <f>'Grid_Requirement'!BW14</f>
        <v/>
      </c>
      <c r="BZ1082">
        <f>'Grid_Requirement'!BX14</f>
        <v/>
      </c>
      <c r="CA1082">
        <f>'Grid_Requirement'!BY14</f>
        <v/>
      </c>
      <c r="CB1082">
        <f>'Grid_Requirement'!BZ14</f>
        <v/>
      </c>
      <c r="CC1082">
        <f>'Grid_Requirement'!CA14</f>
        <v/>
      </c>
      <c r="CD1082">
        <f>'Grid_Requirement'!CB14</f>
        <v/>
      </c>
      <c r="CE1082">
        <f>'Grid_Requirement'!CC14</f>
        <v/>
      </c>
      <c r="CF1082">
        <f>'Grid_Requirement'!CD14</f>
        <v/>
      </c>
      <c r="CG1082">
        <f>'Grid_Requirement'!CE14</f>
        <v/>
      </c>
      <c r="CH1082">
        <f>'Grid_Requirement'!CF14</f>
        <v/>
      </c>
      <c r="CI1082">
        <f>'Grid_Requirement'!CG14</f>
        <v/>
      </c>
      <c r="CJ1082">
        <f>'Grid_Requirement'!CH14</f>
        <v/>
      </c>
      <c r="CK1082">
        <f>'Grid_Requirement'!CI14</f>
        <v/>
      </c>
      <c r="CL1082">
        <f>'Grid_Requirement'!CJ14</f>
        <v/>
      </c>
      <c r="CM1082">
        <f>'Grid_Requirement'!CK14</f>
        <v/>
      </c>
      <c r="CN1082">
        <f>'Grid_Requirement'!CL14</f>
        <v/>
      </c>
      <c r="CO1082">
        <f>'Grid_Requirement'!CM14</f>
        <v/>
      </c>
      <c r="CP1082">
        <f>'Grid_Requirement'!CN14</f>
        <v/>
      </c>
      <c r="CQ1082">
        <f>'Grid_Requirement'!CO14</f>
        <v/>
      </c>
      <c r="CR1082">
        <f>'Grid_Requirement'!CP14</f>
        <v/>
      </c>
      <c r="CS1082">
        <f>'Grid_Requirement'!CQ14</f>
        <v/>
      </c>
      <c r="CT1082">
        <f>'Grid_Requirement'!CR14</f>
        <v/>
      </c>
      <c r="CU1082">
        <f>'Grid_Requirement'!CS14</f>
        <v/>
      </c>
      <c r="CV1082">
        <f>'Grid_Requirement'!CT14</f>
        <v/>
      </c>
      <c r="CW1082">
        <f>'Grid_Requirement'!CU14</f>
        <v/>
      </c>
      <c r="CX1082">
        <f>'Grid_Requirement'!CV14</f>
        <v/>
      </c>
      <c r="CY1082">
        <f>'Grid_Requirement'!CW14</f>
        <v/>
      </c>
      <c r="CZ1082">
        <f>'Grid_Requirement'!CX14</f>
        <v/>
      </c>
      <c r="DA1082">
        <f>'Grid_Requirement'!CY14</f>
        <v/>
      </c>
      <c r="DB1082">
        <f>'Grid_Requirement'!CZ14</f>
        <v/>
      </c>
      <c r="DC1082">
        <f>'Grid_Requirement'!DA14</f>
        <v/>
      </c>
    </row>
    <row r="1083">
      <c r="B1083" t="inlineStr">
        <is>
          <t>TTAF在庫(実績,kg)</t>
        </is>
      </c>
      <c r="D1083">
        <f>'T_TTAFStock'!B18</f>
        <v/>
      </c>
      <c r="E1083">
        <f>'T_TTAFStock'!C18</f>
        <v/>
      </c>
      <c r="F1083">
        <f>'T_TTAFStock'!D18</f>
        <v/>
      </c>
      <c r="G1083">
        <f>'T_TTAFStock'!E18</f>
        <v/>
      </c>
      <c r="H1083">
        <f>'T_TTAFStock'!F18</f>
        <v/>
      </c>
      <c r="I1083">
        <f>'T_TTAFStock'!G18</f>
        <v/>
      </c>
      <c r="J1083">
        <f>'T_TTAFStock'!H18</f>
        <v/>
      </c>
      <c r="K1083">
        <f>'T_TTAFStock'!I18</f>
        <v/>
      </c>
      <c r="L1083">
        <f>'T_TTAFStock'!J18</f>
        <v/>
      </c>
      <c r="M1083">
        <f>'T_TTAFStock'!K18</f>
        <v/>
      </c>
      <c r="N1083">
        <f>'T_TTAFStock'!L18</f>
        <v/>
      </c>
      <c r="O1083">
        <f>'T_TTAFStock'!M18</f>
        <v/>
      </c>
      <c r="P1083">
        <f>'T_TTAFStock'!N18</f>
        <v/>
      </c>
      <c r="Q1083">
        <f>'T_TTAFStock'!O18</f>
        <v/>
      </c>
      <c r="R1083">
        <f>'T_TTAFStock'!P18</f>
        <v/>
      </c>
      <c r="S1083">
        <f>'T_TTAFStock'!Q18</f>
        <v/>
      </c>
      <c r="T1083">
        <f>'T_TTAFStock'!R18</f>
        <v/>
      </c>
      <c r="U1083">
        <f>'T_TTAFStock'!S18</f>
        <v/>
      </c>
      <c r="V1083">
        <f>'T_TTAFStock'!T18</f>
        <v/>
      </c>
      <c r="W1083">
        <f>'T_TTAFStock'!U18</f>
        <v/>
      </c>
      <c r="X1083">
        <f>'T_TTAFStock'!V18</f>
        <v/>
      </c>
      <c r="Y1083">
        <f>'T_TTAFStock'!W18</f>
        <v/>
      </c>
      <c r="Z1083">
        <f>'T_TTAFStock'!X18</f>
        <v/>
      </c>
      <c r="AA1083">
        <f>'T_TTAFStock'!Y18</f>
        <v/>
      </c>
      <c r="AB1083">
        <f>'T_TTAFStock'!Z18</f>
        <v/>
      </c>
      <c r="AC1083">
        <f>'T_TTAFStock'!AA18</f>
        <v/>
      </c>
      <c r="AD1083">
        <f>'T_TTAFStock'!AB18</f>
        <v/>
      </c>
      <c r="AE1083">
        <f>'T_TTAFStock'!AC18</f>
        <v/>
      </c>
      <c r="AF1083">
        <f>'T_TTAFStock'!AD18</f>
        <v/>
      </c>
      <c r="AG1083">
        <f>'T_TTAFStock'!AE18</f>
        <v/>
      </c>
      <c r="AH1083">
        <f>'T_TTAFStock'!AF18</f>
        <v/>
      </c>
      <c r="AI1083">
        <f>'T_TTAFStock'!AG18</f>
        <v/>
      </c>
      <c r="AJ1083">
        <f>'T_TTAFStock'!AH18</f>
        <v/>
      </c>
      <c r="AK1083">
        <f>'T_TTAFStock'!AI18</f>
        <v/>
      </c>
      <c r="AL1083">
        <f>'T_TTAFStock'!AJ18</f>
        <v/>
      </c>
      <c r="AM1083">
        <f>'T_TTAFStock'!AK18</f>
        <v/>
      </c>
      <c r="AN1083">
        <f>'T_TTAFStock'!AL18</f>
        <v/>
      </c>
      <c r="AO1083">
        <f>'T_TTAFStock'!AM18</f>
        <v/>
      </c>
      <c r="AP1083">
        <f>'T_TTAFStock'!AN18</f>
        <v/>
      </c>
      <c r="AQ1083">
        <f>'T_TTAFStock'!AO18</f>
        <v/>
      </c>
      <c r="AR1083">
        <f>'T_TTAFStock'!AP18</f>
        <v/>
      </c>
      <c r="AS1083">
        <f>'T_TTAFStock'!AQ18</f>
        <v/>
      </c>
      <c r="AT1083">
        <f>'T_TTAFStock'!AR18</f>
        <v/>
      </c>
      <c r="AU1083">
        <f>'T_TTAFStock'!AS18</f>
        <v/>
      </c>
      <c r="AV1083">
        <f>'T_TTAFStock'!AT18</f>
        <v/>
      </c>
      <c r="AW1083">
        <f>'T_TTAFStock'!AU18</f>
        <v/>
      </c>
      <c r="AX1083">
        <f>'T_TTAFStock'!AV18</f>
        <v/>
      </c>
      <c r="AY1083">
        <f>'T_TTAFStock'!AW18</f>
        <v/>
      </c>
      <c r="AZ1083">
        <f>'T_TTAFStock'!AX18</f>
        <v/>
      </c>
      <c r="BA1083">
        <f>'T_TTAFStock'!AY18</f>
        <v/>
      </c>
      <c r="BB1083">
        <f>'T_TTAFStock'!AZ18</f>
        <v/>
      </c>
      <c r="BC1083">
        <f>'T_TTAFStock'!BA18</f>
        <v/>
      </c>
      <c r="BD1083">
        <f>'T_TTAFStock'!BB18</f>
        <v/>
      </c>
      <c r="BE1083">
        <f>'T_TTAFStock'!BC18</f>
        <v/>
      </c>
      <c r="BF1083">
        <f>'T_TTAFStock'!BD18</f>
        <v/>
      </c>
      <c r="BG1083">
        <f>'T_TTAFStock'!BE18</f>
        <v/>
      </c>
      <c r="BH1083">
        <f>'T_TTAFStock'!BF18</f>
        <v/>
      </c>
      <c r="BI1083">
        <f>'T_TTAFStock'!BG18</f>
        <v/>
      </c>
      <c r="BJ1083">
        <f>'T_TTAFStock'!BH18</f>
        <v/>
      </c>
      <c r="BK1083">
        <f>'T_TTAFStock'!BI18</f>
        <v/>
      </c>
      <c r="BL1083">
        <f>'T_TTAFStock'!BJ18</f>
        <v/>
      </c>
      <c r="BM1083">
        <f>'T_TTAFStock'!BK18</f>
        <v/>
      </c>
      <c r="BN1083">
        <f>'T_TTAFStock'!BL18</f>
        <v/>
      </c>
      <c r="BO1083">
        <f>'T_TTAFStock'!BM18</f>
        <v/>
      </c>
      <c r="BP1083">
        <f>'T_TTAFStock'!BN18</f>
        <v/>
      </c>
      <c r="BQ1083">
        <f>'T_TTAFStock'!BO18</f>
        <v/>
      </c>
      <c r="BR1083">
        <f>'T_TTAFStock'!BP18</f>
        <v/>
      </c>
      <c r="BS1083">
        <f>'T_TTAFStock'!BQ18</f>
        <v/>
      </c>
      <c r="BT1083">
        <f>'T_TTAFStock'!BR18</f>
        <v/>
      </c>
      <c r="BU1083">
        <f>'T_TTAFStock'!BS18</f>
        <v/>
      </c>
      <c r="BV1083">
        <f>'T_TTAFStock'!BT18</f>
        <v/>
      </c>
      <c r="BW1083">
        <f>'T_TTAFStock'!BU18</f>
        <v/>
      </c>
      <c r="BX1083">
        <f>'T_TTAFStock'!BV18</f>
        <v/>
      </c>
      <c r="BY1083">
        <f>'T_TTAFStock'!BW18</f>
        <v/>
      </c>
      <c r="BZ1083">
        <f>'T_TTAFStock'!BX18</f>
        <v/>
      </c>
      <c r="CA1083">
        <f>'T_TTAFStock'!BY18</f>
        <v/>
      </c>
      <c r="CB1083">
        <f>'T_TTAFStock'!BZ18</f>
        <v/>
      </c>
      <c r="CC1083">
        <f>'T_TTAFStock'!CA18</f>
        <v/>
      </c>
      <c r="CD1083">
        <f>'T_TTAFStock'!CB18</f>
        <v/>
      </c>
      <c r="CE1083">
        <f>'T_TTAFStock'!CC18</f>
        <v/>
      </c>
      <c r="CF1083">
        <f>'T_TTAFStock'!CD18</f>
        <v/>
      </c>
      <c r="CG1083">
        <f>'T_TTAFStock'!CE18</f>
        <v/>
      </c>
      <c r="CH1083">
        <f>'T_TTAFStock'!CF18</f>
        <v/>
      </c>
      <c r="CI1083">
        <f>'T_TTAFStock'!CG18</f>
        <v/>
      </c>
      <c r="CJ1083">
        <f>'T_TTAFStock'!CH18</f>
        <v/>
      </c>
      <c r="CK1083">
        <f>'T_TTAFStock'!CI18</f>
        <v/>
      </c>
      <c r="CL1083">
        <f>'T_TTAFStock'!CJ18</f>
        <v/>
      </c>
      <c r="CM1083">
        <f>'T_TTAFStock'!CK18</f>
        <v/>
      </c>
      <c r="CN1083">
        <f>'T_TTAFStock'!CL18</f>
        <v/>
      </c>
      <c r="CO1083">
        <f>'T_TTAFStock'!CM18</f>
        <v/>
      </c>
      <c r="CP1083">
        <f>'T_TTAFStock'!CN18</f>
        <v/>
      </c>
      <c r="CQ1083">
        <f>'T_TTAFStock'!CO18</f>
        <v/>
      </c>
      <c r="CR1083">
        <f>'T_TTAFStock'!CP18</f>
        <v/>
      </c>
      <c r="CS1083">
        <f>'T_TTAFStock'!CQ18</f>
        <v/>
      </c>
      <c r="CT1083">
        <f>'T_TTAFStock'!CR18</f>
        <v/>
      </c>
      <c r="CU1083">
        <f>'T_TTAFStock'!CS18</f>
        <v/>
      </c>
      <c r="CV1083">
        <f>'T_TTAFStock'!CT18</f>
        <v/>
      </c>
      <c r="CW1083">
        <f>'T_TTAFStock'!CU18</f>
        <v/>
      </c>
      <c r="CX1083">
        <f>'T_TTAFStock'!CV18</f>
        <v/>
      </c>
      <c r="CY1083">
        <f>'T_TTAFStock'!CW18</f>
        <v/>
      </c>
      <c r="CZ1083">
        <f>'T_TTAFStock'!CX18</f>
        <v/>
      </c>
      <c r="DA1083">
        <f>'T_TTAFStock'!CY18</f>
        <v/>
      </c>
      <c r="DB1083">
        <f>'T_TTAFStock'!CZ18</f>
        <v/>
      </c>
      <c r="DC1083">
        <f>'T_TTAFStock'!DA18</f>
        <v/>
      </c>
    </row>
    <row r="1084">
      <c r="B1084" t="inlineStr">
        <is>
          <t>自社在庫(実績,kg)</t>
        </is>
      </c>
      <c r="D1084">
        <f>'T_SelfStock'!B18</f>
        <v/>
      </c>
      <c r="E1084">
        <f>'T_SelfStock'!C18</f>
        <v/>
      </c>
      <c r="F1084">
        <f>'T_SelfStock'!D18</f>
        <v/>
      </c>
      <c r="G1084">
        <f>'T_SelfStock'!E18</f>
        <v/>
      </c>
      <c r="H1084">
        <f>'T_SelfStock'!F18</f>
        <v/>
      </c>
      <c r="I1084">
        <f>'T_SelfStock'!G18</f>
        <v/>
      </c>
      <c r="J1084">
        <f>'T_SelfStock'!H18</f>
        <v/>
      </c>
      <c r="K1084">
        <f>'T_SelfStock'!I18</f>
        <v/>
      </c>
      <c r="L1084">
        <f>'T_SelfStock'!J18</f>
        <v/>
      </c>
      <c r="M1084">
        <f>'T_SelfStock'!K18</f>
        <v/>
      </c>
      <c r="N1084">
        <f>'T_SelfStock'!L18</f>
        <v/>
      </c>
      <c r="O1084">
        <f>'T_SelfStock'!M18</f>
        <v/>
      </c>
      <c r="P1084">
        <f>'T_SelfStock'!N18</f>
        <v/>
      </c>
      <c r="Q1084">
        <f>'T_SelfStock'!O18</f>
        <v/>
      </c>
      <c r="R1084">
        <f>'T_SelfStock'!P18</f>
        <v/>
      </c>
      <c r="S1084">
        <f>'T_SelfStock'!Q18</f>
        <v/>
      </c>
      <c r="T1084">
        <f>'T_SelfStock'!R18</f>
        <v/>
      </c>
      <c r="U1084">
        <f>'T_SelfStock'!S18</f>
        <v/>
      </c>
      <c r="V1084">
        <f>'T_SelfStock'!T18</f>
        <v/>
      </c>
      <c r="W1084">
        <f>'T_SelfStock'!U18</f>
        <v/>
      </c>
      <c r="X1084">
        <f>'T_SelfStock'!V18</f>
        <v/>
      </c>
      <c r="Y1084">
        <f>'T_SelfStock'!W18</f>
        <v/>
      </c>
      <c r="Z1084">
        <f>'T_SelfStock'!X18</f>
        <v/>
      </c>
      <c r="AA1084">
        <f>'T_SelfStock'!Y18</f>
        <v/>
      </c>
      <c r="AB1084">
        <f>'T_SelfStock'!Z18</f>
        <v/>
      </c>
      <c r="AC1084">
        <f>'T_SelfStock'!AA18</f>
        <v/>
      </c>
      <c r="AD1084">
        <f>'T_SelfStock'!AB18</f>
        <v/>
      </c>
      <c r="AE1084">
        <f>'T_SelfStock'!AC18</f>
        <v/>
      </c>
      <c r="AF1084">
        <f>'T_SelfStock'!AD18</f>
        <v/>
      </c>
      <c r="AG1084">
        <f>'T_SelfStock'!AE18</f>
        <v/>
      </c>
      <c r="AH1084">
        <f>'T_SelfStock'!AF18</f>
        <v/>
      </c>
      <c r="AI1084">
        <f>'T_SelfStock'!AG18</f>
        <v/>
      </c>
      <c r="AJ1084">
        <f>'T_SelfStock'!AH18</f>
        <v/>
      </c>
      <c r="AK1084">
        <f>'T_SelfStock'!AI18</f>
        <v/>
      </c>
      <c r="AL1084">
        <f>'T_SelfStock'!AJ18</f>
        <v/>
      </c>
      <c r="AM1084">
        <f>'T_SelfStock'!AK18</f>
        <v/>
      </c>
      <c r="AN1084">
        <f>'T_SelfStock'!AL18</f>
        <v/>
      </c>
      <c r="AO1084">
        <f>'T_SelfStock'!AM18</f>
        <v/>
      </c>
      <c r="AP1084">
        <f>'T_SelfStock'!AN18</f>
        <v/>
      </c>
      <c r="AQ1084">
        <f>'T_SelfStock'!AO18</f>
        <v/>
      </c>
      <c r="AR1084">
        <f>'T_SelfStock'!AP18</f>
        <v/>
      </c>
      <c r="AS1084">
        <f>'T_SelfStock'!AQ18</f>
        <v/>
      </c>
      <c r="AT1084">
        <f>'T_SelfStock'!AR18</f>
        <v/>
      </c>
      <c r="AU1084">
        <f>'T_SelfStock'!AS18</f>
        <v/>
      </c>
      <c r="AV1084">
        <f>'T_SelfStock'!AT18</f>
        <v/>
      </c>
      <c r="AW1084">
        <f>'T_SelfStock'!AU18</f>
        <v/>
      </c>
      <c r="AX1084">
        <f>'T_SelfStock'!AV18</f>
        <v/>
      </c>
      <c r="AY1084">
        <f>'T_SelfStock'!AW18</f>
        <v/>
      </c>
      <c r="AZ1084">
        <f>'T_SelfStock'!AX18</f>
        <v/>
      </c>
      <c r="BA1084">
        <f>'T_SelfStock'!AY18</f>
        <v/>
      </c>
      <c r="BB1084">
        <f>'T_SelfStock'!AZ18</f>
        <v/>
      </c>
      <c r="BC1084">
        <f>'T_SelfStock'!BA18</f>
        <v/>
      </c>
      <c r="BD1084">
        <f>'T_SelfStock'!BB18</f>
        <v/>
      </c>
      <c r="BE1084">
        <f>'T_SelfStock'!BC18</f>
        <v/>
      </c>
      <c r="BF1084">
        <f>'T_SelfStock'!BD18</f>
        <v/>
      </c>
      <c r="BG1084">
        <f>'T_SelfStock'!BE18</f>
        <v/>
      </c>
      <c r="BH1084">
        <f>'T_SelfStock'!BF18</f>
        <v/>
      </c>
      <c r="BI1084">
        <f>'T_SelfStock'!BG18</f>
        <v/>
      </c>
      <c r="BJ1084">
        <f>'T_SelfStock'!BH18</f>
        <v/>
      </c>
      <c r="BK1084">
        <f>'T_SelfStock'!BI18</f>
        <v/>
      </c>
      <c r="BL1084">
        <f>'T_SelfStock'!BJ18</f>
        <v/>
      </c>
      <c r="BM1084">
        <f>'T_SelfStock'!BK18</f>
        <v/>
      </c>
      <c r="BN1084">
        <f>'T_SelfStock'!BL18</f>
        <v/>
      </c>
      <c r="BO1084">
        <f>'T_SelfStock'!BM18</f>
        <v/>
      </c>
      <c r="BP1084">
        <f>'T_SelfStock'!BN18</f>
        <v/>
      </c>
      <c r="BQ1084">
        <f>'T_SelfStock'!BO18</f>
        <v/>
      </c>
      <c r="BR1084">
        <f>'T_SelfStock'!BP18</f>
        <v/>
      </c>
      <c r="BS1084">
        <f>'T_SelfStock'!BQ18</f>
        <v/>
      </c>
      <c r="BT1084">
        <f>'T_SelfStock'!BR18</f>
        <v/>
      </c>
      <c r="BU1084">
        <f>'T_SelfStock'!BS18</f>
        <v/>
      </c>
      <c r="BV1084">
        <f>'T_SelfStock'!BT18</f>
        <v/>
      </c>
      <c r="BW1084">
        <f>'T_SelfStock'!BU18</f>
        <v/>
      </c>
      <c r="BX1084">
        <f>'T_SelfStock'!BV18</f>
        <v/>
      </c>
      <c r="BY1084">
        <f>'T_SelfStock'!BW18</f>
        <v/>
      </c>
      <c r="BZ1084">
        <f>'T_SelfStock'!BX18</f>
        <v/>
      </c>
      <c r="CA1084">
        <f>'T_SelfStock'!BY18</f>
        <v/>
      </c>
      <c r="CB1084">
        <f>'T_SelfStock'!BZ18</f>
        <v/>
      </c>
      <c r="CC1084">
        <f>'T_SelfStock'!CA18</f>
        <v/>
      </c>
      <c r="CD1084">
        <f>'T_SelfStock'!CB18</f>
        <v/>
      </c>
      <c r="CE1084">
        <f>'T_SelfStock'!CC18</f>
        <v/>
      </c>
      <c r="CF1084">
        <f>'T_SelfStock'!CD18</f>
        <v/>
      </c>
      <c r="CG1084">
        <f>'T_SelfStock'!CE18</f>
        <v/>
      </c>
      <c r="CH1084">
        <f>'T_SelfStock'!CF18</f>
        <v/>
      </c>
      <c r="CI1084">
        <f>'T_SelfStock'!CG18</f>
        <v/>
      </c>
      <c r="CJ1084">
        <f>'T_SelfStock'!CH18</f>
        <v/>
      </c>
      <c r="CK1084">
        <f>'T_SelfStock'!CI18</f>
        <v/>
      </c>
      <c r="CL1084">
        <f>'T_SelfStock'!CJ18</f>
        <v/>
      </c>
      <c r="CM1084">
        <f>'T_SelfStock'!CK18</f>
        <v/>
      </c>
      <c r="CN1084">
        <f>'T_SelfStock'!CL18</f>
        <v/>
      </c>
      <c r="CO1084">
        <f>'T_SelfStock'!CM18</f>
        <v/>
      </c>
      <c r="CP1084">
        <f>'T_SelfStock'!CN18</f>
        <v/>
      </c>
      <c r="CQ1084">
        <f>'T_SelfStock'!CO18</f>
        <v/>
      </c>
      <c r="CR1084">
        <f>'T_SelfStock'!CP18</f>
        <v/>
      </c>
      <c r="CS1084">
        <f>'T_SelfStock'!CQ18</f>
        <v/>
      </c>
      <c r="CT1084">
        <f>'T_SelfStock'!CR18</f>
        <v/>
      </c>
      <c r="CU1084">
        <f>'T_SelfStock'!CS18</f>
        <v/>
      </c>
      <c r="CV1084">
        <f>'T_SelfStock'!CT18</f>
        <v/>
      </c>
      <c r="CW1084">
        <f>'T_SelfStock'!CU18</f>
        <v/>
      </c>
      <c r="CX1084">
        <f>'T_SelfStock'!CV18</f>
        <v/>
      </c>
      <c r="CY1084">
        <f>'T_SelfStock'!CW18</f>
        <v/>
      </c>
      <c r="CZ1084">
        <f>'T_SelfStock'!CX18</f>
        <v/>
      </c>
      <c r="DA1084">
        <f>'T_SelfStock'!CY18</f>
        <v/>
      </c>
      <c r="DB1084">
        <f>'T_SelfStock'!CZ18</f>
        <v/>
      </c>
      <c r="DC1084">
        <f>'T_SelfStock'!DA18</f>
        <v/>
      </c>
    </row>
    <row r="1085">
      <c r="B1085" t="inlineStr">
        <is>
          <t>Order(発注予定,kg)</t>
        </is>
      </c>
      <c r="D1085">
        <f>IF(SUMIFS(T_PlannedOrders[EffectiveQty],T_PlannedOrders[Part Name],$A1079,T_PlannedOrders[WeekIndex],1)=0,"",SUMIFS(T_PlannedOrders[EffectiveQty],T_PlannedOrders[Part Name],$A1079,T_PlannedOrders[WeekIndex],1)&amp;" ("&amp;TEXT(SUMPRODUCT(MAX((T_PlannedOrders[Part Name]=$A1079)*(T_PlannedOrders[WeekIndex]=1)*(T_PlannedOrders[EffectiveQty]&gt;0)*T_PlannedOrders[Order_Month])),"m月")&amp;"発注)")</f>
        <v/>
      </c>
      <c r="E1085">
        <f>IF(SUMIFS(T_PlannedOrders[EffectiveQty],T_PlannedOrders[Part Name],$A1079,T_PlannedOrders[WeekIndex],2)=0,"",SUMIFS(T_PlannedOrders[EffectiveQty],T_PlannedOrders[Part Name],$A1079,T_PlannedOrders[WeekIndex],2)&amp;" ("&amp;TEXT(SUMPRODUCT(MAX((T_PlannedOrders[Part Name]=$A1079)*(T_PlannedOrders[WeekIndex]=2)*(T_PlannedOrders[EffectiveQty]&gt;0)*T_PlannedOrders[Order_Month])),"m月")&amp;"発注)")</f>
        <v/>
      </c>
      <c r="F1085">
        <f>IF(SUMIFS(T_PlannedOrders[EffectiveQty],T_PlannedOrders[Part Name],$A1079,T_PlannedOrders[WeekIndex],3)=0,"",SUMIFS(T_PlannedOrders[EffectiveQty],T_PlannedOrders[Part Name],$A1079,T_PlannedOrders[WeekIndex],3)&amp;" ("&amp;TEXT(SUMPRODUCT(MAX((T_PlannedOrders[Part Name]=$A1079)*(T_PlannedOrders[WeekIndex]=3)*(T_PlannedOrders[EffectiveQty]&gt;0)*T_PlannedOrders[Order_Month])),"m月")&amp;"発注)")</f>
        <v/>
      </c>
      <c r="G1085">
        <f>IF(SUMIFS(T_PlannedOrders[EffectiveQty],T_PlannedOrders[Part Name],$A1079,T_PlannedOrders[WeekIndex],4)=0,"",SUMIFS(T_PlannedOrders[EffectiveQty],T_PlannedOrders[Part Name],$A1079,T_PlannedOrders[WeekIndex],4)&amp;" ("&amp;TEXT(SUMPRODUCT(MAX((T_PlannedOrders[Part Name]=$A1079)*(T_PlannedOrders[WeekIndex]=4)*(T_PlannedOrders[EffectiveQty]&gt;0)*T_PlannedOrders[Order_Month])),"m月")&amp;"発注)")</f>
        <v/>
      </c>
      <c r="H1085">
        <f>IF(SUMIFS(T_PlannedOrders[EffectiveQty],T_PlannedOrders[Part Name],$A1079,T_PlannedOrders[WeekIndex],5)=0,"",SUMIFS(T_PlannedOrders[EffectiveQty],T_PlannedOrders[Part Name],$A1079,T_PlannedOrders[WeekIndex],5)&amp;" ("&amp;TEXT(SUMPRODUCT(MAX((T_PlannedOrders[Part Name]=$A1079)*(T_PlannedOrders[WeekIndex]=5)*(T_PlannedOrders[EffectiveQty]&gt;0)*T_PlannedOrders[Order_Month])),"m月")&amp;"発注)")</f>
        <v/>
      </c>
      <c r="I1085">
        <f>IF(SUMIFS(T_PlannedOrders[EffectiveQty],T_PlannedOrders[Part Name],$A1079,T_PlannedOrders[WeekIndex],6)=0,"",SUMIFS(T_PlannedOrders[EffectiveQty],T_PlannedOrders[Part Name],$A1079,T_PlannedOrders[WeekIndex],6)&amp;" ("&amp;TEXT(SUMPRODUCT(MAX((T_PlannedOrders[Part Name]=$A1079)*(T_PlannedOrders[WeekIndex]=6)*(T_PlannedOrders[EffectiveQty]&gt;0)*T_PlannedOrders[Order_Month])),"m月")&amp;"発注)")</f>
        <v/>
      </c>
      <c r="J1085">
        <f>IF(SUMIFS(T_PlannedOrders[EffectiveQty],T_PlannedOrders[Part Name],$A1079,T_PlannedOrders[WeekIndex],7)=0,"",SUMIFS(T_PlannedOrders[EffectiveQty],T_PlannedOrders[Part Name],$A1079,T_PlannedOrders[WeekIndex],7)&amp;" ("&amp;TEXT(SUMPRODUCT(MAX((T_PlannedOrders[Part Name]=$A1079)*(T_PlannedOrders[WeekIndex]=7)*(T_PlannedOrders[EffectiveQty]&gt;0)*T_PlannedOrders[Order_Month])),"m月")&amp;"発注)")</f>
        <v/>
      </c>
      <c r="K1085">
        <f>IF(SUMIFS(T_PlannedOrders[EffectiveQty],T_PlannedOrders[Part Name],$A1079,T_PlannedOrders[WeekIndex],8)=0,"",SUMIFS(T_PlannedOrders[EffectiveQty],T_PlannedOrders[Part Name],$A1079,T_PlannedOrders[WeekIndex],8)&amp;" ("&amp;TEXT(SUMPRODUCT(MAX((T_PlannedOrders[Part Name]=$A1079)*(T_PlannedOrders[WeekIndex]=8)*(T_PlannedOrders[EffectiveQty]&gt;0)*T_PlannedOrders[Order_Month])),"m月")&amp;"発注)")</f>
        <v/>
      </c>
      <c r="L1085">
        <f>IF(SUMIFS(T_PlannedOrders[EffectiveQty],T_PlannedOrders[Part Name],$A1079,T_PlannedOrders[WeekIndex],9)=0,"",SUMIFS(T_PlannedOrders[EffectiveQty],T_PlannedOrders[Part Name],$A1079,T_PlannedOrders[WeekIndex],9)&amp;" ("&amp;TEXT(SUMPRODUCT(MAX((T_PlannedOrders[Part Name]=$A1079)*(T_PlannedOrders[WeekIndex]=9)*(T_PlannedOrders[EffectiveQty]&gt;0)*T_PlannedOrders[Order_Month])),"m月")&amp;"発注)")</f>
        <v/>
      </c>
      <c r="M1085">
        <f>IF(SUMIFS(T_PlannedOrders[EffectiveQty],T_PlannedOrders[Part Name],$A1079,T_PlannedOrders[WeekIndex],10)=0,"",SUMIFS(T_PlannedOrders[EffectiveQty],T_PlannedOrders[Part Name],$A1079,T_PlannedOrders[WeekIndex],10)&amp;" ("&amp;TEXT(SUMPRODUCT(MAX((T_PlannedOrders[Part Name]=$A1079)*(T_PlannedOrders[WeekIndex]=10)*(T_PlannedOrders[EffectiveQty]&gt;0)*T_PlannedOrders[Order_Month])),"m月")&amp;"発注)")</f>
        <v/>
      </c>
      <c r="N1085">
        <f>IF(SUMIFS(T_PlannedOrders[EffectiveQty],T_PlannedOrders[Part Name],$A1079,T_PlannedOrders[WeekIndex],11)=0,"",SUMIFS(T_PlannedOrders[EffectiveQty],T_PlannedOrders[Part Name],$A1079,T_PlannedOrders[WeekIndex],11)&amp;" ("&amp;TEXT(SUMPRODUCT(MAX((T_PlannedOrders[Part Name]=$A1079)*(T_PlannedOrders[WeekIndex]=11)*(T_PlannedOrders[EffectiveQty]&gt;0)*T_PlannedOrders[Order_Month])),"m月")&amp;"発注)")</f>
        <v/>
      </c>
      <c r="O1085">
        <f>IF(SUMIFS(T_PlannedOrders[EffectiveQty],T_PlannedOrders[Part Name],$A1079,T_PlannedOrders[WeekIndex],12)=0,"",SUMIFS(T_PlannedOrders[EffectiveQty],T_PlannedOrders[Part Name],$A1079,T_PlannedOrders[WeekIndex],12)&amp;" ("&amp;TEXT(SUMPRODUCT(MAX((T_PlannedOrders[Part Name]=$A1079)*(T_PlannedOrders[WeekIndex]=12)*(T_PlannedOrders[EffectiveQty]&gt;0)*T_PlannedOrders[Order_Month])),"m月")&amp;"発注)")</f>
        <v/>
      </c>
      <c r="P1085">
        <f>IF(SUMIFS(T_PlannedOrders[EffectiveQty],T_PlannedOrders[Part Name],$A1079,T_PlannedOrders[WeekIndex],13)=0,"",SUMIFS(T_PlannedOrders[EffectiveQty],T_PlannedOrders[Part Name],$A1079,T_PlannedOrders[WeekIndex],13)&amp;" ("&amp;TEXT(SUMPRODUCT(MAX((T_PlannedOrders[Part Name]=$A1079)*(T_PlannedOrders[WeekIndex]=13)*(T_PlannedOrders[EffectiveQty]&gt;0)*T_PlannedOrders[Order_Month])),"m月")&amp;"発注)")</f>
        <v/>
      </c>
      <c r="Q1085">
        <f>IF(SUMIFS(T_PlannedOrders[EffectiveQty],T_PlannedOrders[Part Name],$A1079,T_PlannedOrders[WeekIndex],14)=0,"",SUMIFS(T_PlannedOrders[EffectiveQty],T_PlannedOrders[Part Name],$A1079,T_PlannedOrders[WeekIndex],14)&amp;" ("&amp;TEXT(SUMPRODUCT(MAX((T_PlannedOrders[Part Name]=$A1079)*(T_PlannedOrders[WeekIndex]=14)*(T_PlannedOrders[EffectiveQty]&gt;0)*T_PlannedOrders[Order_Month])),"m月")&amp;"発注)")</f>
        <v/>
      </c>
      <c r="R1085">
        <f>IF(SUMIFS(T_PlannedOrders[EffectiveQty],T_PlannedOrders[Part Name],$A1079,T_PlannedOrders[WeekIndex],15)=0,"",SUMIFS(T_PlannedOrders[EffectiveQty],T_PlannedOrders[Part Name],$A1079,T_PlannedOrders[WeekIndex],15)&amp;" ("&amp;TEXT(SUMPRODUCT(MAX((T_PlannedOrders[Part Name]=$A1079)*(T_PlannedOrders[WeekIndex]=15)*(T_PlannedOrders[EffectiveQty]&gt;0)*T_PlannedOrders[Order_Month])),"m月")&amp;"発注)")</f>
        <v/>
      </c>
      <c r="S1085">
        <f>IF(SUMIFS(T_PlannedOrders[EffectiveQty],T_PlannedOrders[Part Name],$A1079,T_PlannedOrders[WeekIndex],16)=0,"",SUMIFS(T_PlannedOrders[EffectiveQty],T_PlannedOrders[Part Name],$A1079,T_PlannedOrders[WeekIndex],16)&amp;" ("&amp;TEXT(SUMPRODUCT(MAX((T_PlannedOrders[Part Name]=$A1079)*(T_PlannedOrders[WeekIndex]=16)*(T_PlannedOrders[EffectiveQty]&gt;0)*T_PlannedOrders[Order_Month])),"m月")&amp;"発注)")</f>
        <v/>
      </c>
      <c r="T1085">
        <f>IF(SUMIFS(T_PlannedOrders[EffectiveQty],T_PlannedOrders[Part Name],$A1079,T_PlannedOrders[WeekIndex],17)=0,"",SUMIFS(T_PlannedOrders[EffectiveQty],T_PlannedOrders[Part Name],$A1079,T_PlannedOrders[WeekIndex],17)&amp;" ("&amp;TEXT(SUMPRODUCT(MAX((T_PlannedOrders[Part Name]=$A1079)*(T_PlannedOrders[WeekIndex]=17)*(T_PlannedOrders[EffectiveQty]&gt;0)*T_PlannedOrders[Order_Month])),"m月")&amp;"発注)")</f>
        <v/>
      </c>
      <c r="U1085">
        <f>IF(SUMIFS(T_PlannedOrders[EffectiveQty],T_PlannedOrders[Part Name],$A1079,T_PlannedOrders[WeekIndex],18)=0,"",SUMIFS(T_PlannedOrders[EffectiveQty],T_PlannedOrders[Part Name],$A1079,T_PlannedOrders[WeekIndex],18)&amp;" ("&amp;TEXT(SUMPRODUCT(MAX((T_PlannedOrders[Part Name]=$A1079)*(T_PlannedOrders[WeekIndex]=18)*(T_PlannedOrders[EffectiveQty]&gt;0)*T_PlannedOrders[Order_Month])),"m月")&amp;"発注)")</f>
        <v/>
      </c>
      <c r="V1085">
        <f>IF(SUMIFS(T_PlannedOrders[EffectiveQty],T_PlannedOrders[Part Name],$A1079,T_PlannedOrders[WeekIndex],19)=0,"",SUMIFS(T_PlannedOrders[EffectiveQty],T_PlannedOrders[Part Name],$A1079,T_PlannedOrders[WeekIndex],19)&amp;" ("&amp;TEXT(SUMPRODUCT(MAX((T_PlannedOrders[Part Name]=$A1079)*(T_PlannedOrders[WeekIndex]=19)*(T_PlannedOrders[EffectiveQty]&gt;0)*T_PlannedOrders[Order_Month])),"m月")&amp;"発注)")</f>
        <v/>
      </c>
      <c r="W1085">
        <f>IF(SUMIFS(T_PlannedOrders[EffectiveQty],T_PlannedOrders[Part Name],$A1079,T_PlannedOrders[WeekIndex],20)=0,"",SUMIFS(T_PlannedOrders[EffectiveQty],T_PlannedOrders[Part Name],$A1079,T_PlannedOrders[WeekIndex],20)&amp;" ("&amp;TEXT(SUMPRODUCT(MAX((T_PlannedOrders[Part Name]=$A1079)*(T_PlannedOrders[WeekIndex]=20)*(T_PlannedOrders[EffectiveQty]&gt;0)*T_PlannedOrders[Order_Month])),"m月")&amp;"発注)")</f>
        <v/>
      </c>
      <c r="X1085">
        <f>IF(SUMIFS(T_PlannedOrders[EffectiveQty],T_PlannedOrders[Part Name],$A1079,T_PlannedOrders[WeekIndex],21)=0,"",SUMIFS(T_PlannedOrders[EffectiveQty],T_PlannedOrders[Part Name],$A1079,T_PlannedOrders[WeekIndex],21)&amp;" ("&amp;TEXT(SUMPRODUCT(MAX((T_PlannedOrders[Part Name]=$A1079)*(T_PlannedOrders[WeekIndex]=21)*(T_PlannedOrders[EffectiveQty]&gt;0)*T_PlannedOrders[Order_Month])),"m月")&amp;"発注)")</f>
        <v/>
      </c>
      <c r="Y1085">
        <f>IF(SUMIFS(T_PlannedOrders[EffectiveQty],T_PlannedOrders[Part Name],$A1079,T_PlannedOrders[WeekIndex],22)=0,"",SUMIFS(T_PlannedOrders[EffectiveQty],T_PlannedOrders[Part Name],$A1079,T_PlannedOrders[WeekIndex],22)&amp;" ("&amp;TEXT(SUMPRODUCT(MAX((T_PlannedOrders[Part Name]=$A1079)*(T_PlannedOrders[WeekIndex]=22)*(T_PlannedOrders[EffectiveQty]&gt;0)*T_PlannedOrders[Order_Month])),"m月")&amp;"発注)")</f>
        <v/>
      </c>
      <c r="Z1085">
        <f>IF(SUMIFS(T_PlannedOrders[EffectiveQty],T_PlannedOrders[Part Name],$A1079,T_PlannedOrders[WeekIndex],23)=0,"",SUMIFS(T_PlannedOrders[EffectiveQty],T_PlannedOrders[Part Name],$A1079,T_PlannedOrders[WeekIndex],23)&amp;" ("&amp;TEXT(SUMPRODUCT(MAX((T_PlannedOrders[Part Name]=$A1079)*(T_PlannedOrders[WeekIndex]=23)*(T_PlannedOrders[EffectiveQty]&gt;0)*T_PlannedOrders[Order_Month])),"m月")&amp;"発注)")</f>
        <v/>
      </c>
      <c r="AA1085">
        <f>IF(SUMIFS(T_PlannedOrders[EffectiveQty],T_PlannedOrders[Part Name],$A1079,T_PlannedOrders[WeekIndex],24)=0,"",SUMIFS(T_PlannedOrders[EffectiveQty],T_PlannedOrders[Part Name],$A1079,T_PlannedOrders[WeekIndex],24)&amp;" ("&amp;TEXT(SUMPRODUCT(MAX((T_PlannedOrders[Part Name]=$A1079)*(T_PlannedOrders[WeekIndex]=24)*(T_PlannedOrders[EffectiveQty]&gt;0)*T_PlannedOrders[Order_Month])),"m月")&amp;"発注)")</f>
        <v/>
      </c>
      <c r="AB1085">
        <f>IF(SUMIFS(T_PlannedOrders[EffectiveQty],T_PlannedOrders[Part Name],$A1079,T_PlannedOrders[WeekIndex],25)=0,"",SUMIFS(T_PlannedOrders[EffectiveQty],T_PlannedOrders[Part Name],$A1079,T_PlannedOrders[WeekIndex],25)&amp;" ("&amp;TEXT(SUMPRODUCT(MAX((T_PlannedOrders[Part Name]=$A1079)*(T_PlannedOrders[WeekIndex]=25)*(T_PlannedOrders[EffectiveQty]&gt;0)*T_PlannedOrders[Order_Month])),"m月")&amp;"発注)")</f>
        <v/>
      </c>
      <c r="AC1085">
        <f>IF(SUMIFS(T_PlannedOrders[EffectiveQty],T_PlannedOrders[Part Name],$A1079,T_PlannedOrders[WeekIndex],26)=0,"",SUMIFS(T_PlannedOrders[EffectiveQty],T_PlannedOrders[Part Name],$A1079,T_PlannedOrders[WeekIndex],26)&amp;" ("&amp;TEXT(SUMPRODUCT(MAX((T_PlannedOrders[Part Name]=$A1079)*(T_PlannedOrders[WeekIndex]=26)*(T_PlannedOrders[EffectiveQty]&gt;0)*T_PlannedOrders[Order_Month])),"m月")&amp;"発注)")</f>
        <v/>
      </c>
      <c r="AD1085">
        <f>IF(SUMIFS(T_PlannedOrders[EffectiveQty],T_PlannedOrders[Part Name],$A1079,T_PlannedOrders[WeekIndex],27)=0,"",SUMIFS(T_PlannedOrders[EffectiveQty],T_PlannedOrders[Part Name],$A1079,T_PlannedOrders[WeekIndex],27)&amp;" ("&amp;TEXT(SUMPRODUCT(MAX((T_PlannedOrders[Part Name]=$A1079)*(T_PlannedOrders[WeekIndex]=27)*(T_PlannedOrders[EffectiveQty]&gt;0)*T_PlannedOrders[Order_Month])),"m月")&amp;"発注)")</f>
        <v/>
      </c>
      <c r="AE1085">
        <f>IF(SUMIFS(T_PlannedOrders[EffectiveQty],T_PlannedOrders[Part Name],$A1079,T_PlannedOrders[WeekIndex],28)=0,"",SUMIFS(T_PlannedOrders[EffectiveQty],T_PlannedOrders[Part Name],$A1079,T_PlannedOrders[WeekIndex],28)&amp;" ("&amp;TEXT(SUMPRODUCT(MAX((T_PlannedOrders[Part Name]=$A1079)*(T_PlannedOrders[WeekIndex]=28)*(T_PlannedOrders[EffectiveQty]&gt;0)*T_PlannedOrders[Order_Month])),"m月")&amp;"発注)")</f>
        <v/>
      </c>
      <c r="AF1085">
        <f>IF(SUMIFS(T_PlannedOrders[EffectiveQty],T_PlannedOrders[Part Name],$A1079,T_PlannedOrders[WeekIndex],29)=0,"",SUMIFS(T_PlannedOrders[EffectiveQty],T_PlannedOrders[Part Name],$A1079,T_PlannedOrders[WeekIndex],29)&amp;" ("&amp;TEXT(SUMPRODUCT(MAX((T_PlannedOrders[Part Name]=$A1079)*(T_PlannedOrders[WeekIndex]=29)*(T_PlannedOrders[EffectiveQty]&gt;0)*T_PlannedOrders[Order_Month])),"m月")&amp;"発注)")</f>
        <v/>
      </c>
      <c r="AG1085">
        <f>IF(SUMIFS(T_PlannedOrders[EffectiveQty],T_PlannedOrders[Part Name],$A1079,T_PlannedOrders[WeekIndex],30)=0,"",SUMIFS(T_PlannedOrders[EffectiveQty],T_PlannedOrders[Part Name],$A1079,T_PlannedOrders[WeekIndex],30)&amp;" ("&amp;TEXT(SUMPRODUCT(MAX((T_PlannedOrders[Part Name]=$A1079)*(T_PlannedOrders[WeekIndex]=30)*(T_PlannedOrders[EffectiveQty]&gt;0)*T_PlannedOrders[Order_Month])),"m月")&amp;"発注)")</f>
        <v/>
      </c>
      <c r="AH1085">
        <f>IF(SUMIFS(T_PlannedOrders[EffectiveQty],T_PlannedOrders[Part Name],$A1079,T_PlannedOrders[WeekIndex],31)=0,"",SUMIFS(T_PlannedOrders[EffectiveQty],T_PlannedOrders[Part Name],$A1079,T_PlannedOrders[WeekIndex],31)&amp;" ("&amp;TEXT(SUMPRODUCT(MAX((T_PlannedOrders[Part Name]=$A1079)*(T_PlannedOrders[WeekIndex]=31)*(T_PlannedOrders[EffectiveQty]&gt;0)*T_PlannedOrders[Order_Month])),"m月")&amp;"発注)")</f>
        <v/>
      </c>
      <c r="AI1085">
        <f>IF(SUMIFS(T_PlannedOrders[EffectiveQty],T_PlannedOrders[Part Name],$A1079,T_PlannedOrders[WeekIndex],32)=0,"",SUMIFS(T_PlannedOrders[EffectiveQty],T_PlannedOrders[Part Name],$A1079,T_PlannedOrders[WeekIndex],32)&amp;" ("&amp;TEXT(SUMPRODUCT(MAX((T_PlannedOrders[Part Name]=$A1079)*(T_PlannedOrders[WeekIndex]=32)*(T_PlannedOrders[EffectiveQty]&gt;0)*T_PlannedOrders[Order_Month])),"m月")&amp;"発注)")</f>
        <v/>
      </c>
      <c r="AJ1085">
        <f>IF(SUMIFS(T_PlannedOrders[EffectiveQty],T_PlannedOrders[Part Name],$A1079,T_PlannedOrders[WeekIndex],33)=0,"",SUMIFS(T_PlannedOrders[EffectiveQty],T_PlannedOrders[Part Name],$A1079,T_PlannedOrders[WeekIndex],33)&amp;" ("&amp;TEXT(SUMPRODUCT(MAX((T_PlannedOrders[Part Name]=$A1079)*(T_PlannedOrders[WeekIndex]=33)*(T_PlannedOrders[EffectiveQty]&gt;0)*T_PlannedOrders[Order_Month])),"m月")&amp;"発注)")</f>
        <v/>
      </c>
      <c r="AK1085">
        <f>IF(SUMIFS(T_PlannedOrders[EffectiveQty],T_PlannedOrders[Part Name],$A1079,T_PlannedOrders[WeekIndex],34)=0,"",SUMIFS(T_PlannedOrders[EffectiveQty],T_PlannedOrders[Part Name],$A1079,T_PlannedOrders[WeekIndex],34)&amp;" ("&amp;TEXT(SUMPRODUCT(MAX((T_PlannedOrders[Part Name]=$A1079)*(T_PlannedOrders[WeekIndex]=34)*(T_PlannedOrders[EffectiveQty]&gt;0)*T_PlannedOrders[Order_Month])),"m月")&amp;"発注)")</f>
        <v/>
      </c>
      <c r="AL1085">
        <f>IF(SUMIFS(T_PlannedOrders[EffectiveQty],T_PlannedOrders[Part Name],$A1079,T_PlannedOrders[WeekIndex],35)=0,"",SUMIFS(T_PlannedOrders[EffectiveQty],T_PlannedOrders[Part Name],$A1079,T_PlannedOrders[WeekIndex],35)&amp;" ("&amp;TEXT(SUMPRODUCT(MAX((T_PlannedOrders[Part Name]=$A1079)*(T_PlannedOrders[WeekIndex]=35)*(T_PlannedOrders[EffectiveQty]&gt;0)*T_PlannedOrders[Order_Month])),"m月")&amp;"発注)")</f>
        <v/>
      </c>
      <c r="AM1085">
        <f>IF(SUMIFS(T_PlannedOrders[EffectiveQty],T_PlannedOrders[Part Name],$A1079,T_PlannedOrders[WeekIndex],36)=0,"",SUMIFS(T_PlannedOrders[EffectiveQty],T_PlannedOrders[Part Name],$A1079,T_PlannedOrders[WeekIndex],36)&amp;" ("&amp;TEXT(SUMPRODUCT(MAX((T_PlannedOrders[Part Name]=$A1079)*(T_PlannedOrders[WeekIndex]=36)*(T_PlannedOrders[EffectiveQty]&gt;0)*T_PlannedOrders[Order_Month])),"m月")&amp;"発注)")</f>
        <v/>
      </c>
      <c r="AN1085">
        <f>IF(SUMIFS(T_PlannedOrders[EffectiveQty],T_PlannedOrders[Part Name],$A1079,T_PlannedOrders[WeekIndex],37)=0,"",SUMIFS(T_PlannedOrders[EffectiveQty],T_PlannedOrders[Part Name],$A1079,T_PlannedOrders[WeekIndex],37)&amp;" ("&amp;TEXT(SUMPRODUCT(MAX((T_PlannedOrders[Part Name]=$A1079)*(T_PlannedOrders[WeekIndex]=37)*(T_PlannedOrders[EffectiveQty]&gt;0)*T_PlannedOrders[Order_Month])),"m月")&amp;"発注)")</f>
        <v/>
      </c>
      <c r="AO1085">
        <f>IF(SUMIFS(T_PlannedOrders[EffectiveQty],T_PlannedOrders[Part Name],$A1079,T_PlannedOrders[WeekIndex],38)=0,"",SUMIFS(T_PlannedOrders[EffectiveQty],T_PlannedOrders[Part Name],$A1079,T_PlannedOrders[WeekIndex],38)&amp;" ("&amp;TEXT(SUMPRODUCT(MAX((T_PlannedOrders[Part Name]=$A1079)*(T_PlannedOrders[WeekIndex]=38)*(T_PlannedOrders[EffectiveQty]&gt;0)*T_PlannedOrders[Order_Month])),"m月")&amp;"発注)")</f>
        <v/>
      </c>
      <c r="AP1085">
        <f>IF(SUMIFS(T_PlannedOrders[EffectiveQty],T_PlannedOrders[Part Name],$A1079,T_PlannedOrders[WeekIndex],39)=0,"",SUMIFS(T_PlannedOrders[EffectiveQty],T_PlannedOrders[Part Name],$A1079,T_PlannedOrders[WeekIndex],39)&amp;" ("&amp;TEXT(SUMPRODUCT(MAX((T_PlannedOrders[Part Name]=$A1079)*(T_PlannedOrders[WeekIndex]=39)*(T_PlannedOrders[EffectiveQty]&gt;0)*T_PlannedOrders[Order_Month])),"m月")&amp;"発注)")</f>
        <v/>
      </c>
      <c r="AQ1085">
        <f>IF(SUMIFS(T_PlannedOrders[EffectiveQty],T_PlannedOrders[Part Name],$A1079,T_PlannedOrders[WeekIndex],40)=0,"",SUMIFS(T_PlannedOrders[EffectiveQty],T_PlannedOrders[Part Name],$A1079,T_PlannedOrders[WeekIndex],40)&amp;" ("&amp;TEXT(SUMPRODUCT(MAX((T_PlannedOrders[Part Name]=$A1079)*(T_PlannedOrders[WeekIndex]=40)*(T_PlannedOrders[EffectiveQty]&gt;0)*T_PlannedOrders[Order_Month])),"m月")&amp;"発注)")</f>
        <v/>
      </c>
      <c r="AR1085">
        <f>IF(SUMIFS(T_PlannedOrders[EffectiveQty],T_PlannedOrders[Part Name],$A1079,T_PlannedOrders[WeekIndex],41)=0,"",SUMIFS(T_PlannedOrders[EffectiveQty],T_PlannedOrders[Part Name],$A1079,T_PlannedOrders[WeekIndex],41)&amp;" ("&amp;TEXT(SUMPRODUCT(MAX((T_PlannedOrders[Part Name]=$A1079)*(T_PlannedOrders[WeekIndex]=41)*(T_PlannedOrders[EffectiveQty]&gt;0)*T_PlannedOrders[Order_Month])),"m月")&amp;"発注)")</f>
        <v/>
      </c>
      <c r="AS1085">
        <f>IF(SUMIFS(T_PlannedOrders[EffectiveQty],T_PlannedOrders[Part Name],$A1079,T_PlannedOrders[WeekIndex],42)=0,"",SUMIFS(T_PlannedOrders[EffectiveQty],T_PlannedOrders[Part Name],$A1079,T_PlannedOrders[WeekIndex],42)&amp;" ("&amp;TEXT(SUMPRODUCT(MAX((T_PlannedOrders[Part Name]=$A1079)*(T_PlannedOrders[WeekIndex]=42)*(T_PlannedOrders[EffectiveQty]&gt;0)*T_PlannedOrders[Order_Month])),"m月")&amp;"発注)")</f>
        <v/>
      </c>
      <c r="AT1085">
        <f>IF(SUMIFS(T_PlannedOrders[EffectiveQty],T_PlannedOrders[Part Name],$A1079,T_PlannedOrders[WeekIndex],43)=0,"",SUMIFS(T_PlannedOrders[EffectiveQty],T_PlannedOrders[Part Name],$A1079,T_PlannedOrders[WeekIndex],43)&amp;" ("&amp;TEXT(SUMPRODUCT(MAX((T_PlannedOrders[Part Name]=$A1079)*(T_PlannedOrders[WeekIndex]=43)*(T_PlannedOrders[EffectiveQty]&gt;0)*T_PlannedOrders[Order_Month])),"m月")&amp;"発注)")</f>
        <v/>
      </c>
      <c r="AU1085">
        <f>IF(SUMIFS(T_PlannedOrders[EffectiveQty],T_PlannedOrders[Part Name],$A1079,T_PlannedOrders[WeekIndex],44)=0,"",SUMIFS(T_PlannedOrders[EffectiveQty],T_PlannedOrders[Part Name],$A1079,T_PlannedOrders[WeekIndex],44)&amp;" ("&amp;TEXT(SUMPRODUCT(MAX((T_PlannedOrders[Part Name]=$A1079)*(T_PlannedOrders[WeekIndex]=44)*(T_PlannedOrders[EffectiveQty]&gt;0)*T_PlannedOrders[Order_Month])),"m月")&amp;"発注)")</f>
        <v/>
      </c>
      <c r="AV1085">
        <f>IF(SUMIFS(T_PlannedOrders[EffectiveQty],T_PlannedOrders[Part Name],$A1079,T_PlannedOrders[WeekIndex],45)=0,"",SUMIFS(T_PlannedOrders[EffectiveQty],T_PlannedOrders[Part Name],$A1079,T_PlannedOrders[WeekIndex],45)&amp;" ("&amp;TEXT(SUMPRODUCT(MAX((T_PlannedOrders[Part Name]=$A1079)*(T_PlannedOrders[WeekIndex]=45)*(T_PlannedOrders[EffectiveQty]&gt;0)*T_PlannedOrders[Order_Month])),"m月")&amp;"発注)")</f>
        <v/>
      </c>
      <c r="AW1085">
        <f>IF(SUMIFS(T_PlannedOrders[EffectiveQty],T_PlannedOrders[Part Name],$A1079,T_PlannedOrders[WeekIndex],46)=0,"",SUMIFS(T_PlannedOrders[EffectiveQty],T_PlannedOrders[Part Name],$A1079,T_PlannedOrders[WeekIndex],46)&amp;" ("&amp;TEXT(SUMPRODUCT(MAX((T_PlannedOrders[Part Name]=$A1079)*(T_PlannedOrders[WeekIndex]=46)*(T_PlannedOrders[EffectiveQty]&gt;0)*T_PlannedOrders[Order_Month])),"m月")&amp;"発注)")</f>
        <v/>
      </c>
      <c r="AX1085">
        <f>IF(SUMIFS(T_PlannedOrders[EffectiveQty],T_PlannedOrders[Part Name],$A1079,T_PlannedOrders[WeekIndex],47)=0,"",SUMIFS(T_PlannedOrders[EffectiveQty],T_PlannedOrders[Part Name],$A1079,T_PlannedOrders[WeekIndex],47)&amp;" ("&amp;TEXT(SUMPRODUCT(MAX((T_PlannedOrders[Part Name]=$A1079)*(T_PlannedOrders[WeekIndex]=47)*(T_PlannedOrders[EffectiveQty]&gt;0)*T_PlannedOrders[Order_Month])),"m月")&amp;"発注)")</f>
        <v/>
      </c>
      <c r="AY1085">
        <f>IF(SUMIFS(T_PlannedOrders[EffectiveQty],T_PlannedOrders[Part Name],$A1079,T_PlannedOrders[WeekIndex],48)=0,"",SUMIFS(T_PlannedOrders[EffectiveQty],T_PlannedOrders[Part Name],$A1079,T_PlannedOrders[WeekIndex],48)&amp;" ("&amp;TEXT(SUMPRODUCT(MAX((T_PlannedOrders[Part Name]=$A1079)*(T_PlannedOrders[WeekIndex]=48)*(T_PlannedOrders[EffectiveQty]&gt;0)*T_PlannedOrders[Order_Month])),"m月")&amp;"発注)")</f>
        <v/>
      </c>
      <c r="AZ1085">
        <f>IF(SUMIFS(T_PlannedOrders[EffectiveQty],T_PlannedOrders[Part Name],$A1079,T_PlannedOrders[WeekIndex],49)=0,"",SUMIFS(T_PlannedOrders[EffectiveQty],T_PlannedOrders[Part Name],$A1079,T_PlannedOrders[WeekIndex],49)&amp;" ("&amp;TEXT(SUMPRODUCT(MAX((T_PlannedOrders[Part Name]=$A1079)*(T_PlannedOrders[WeekIndex]=49)*(T_PlannedOrders[EffectiveQty]&gt;0)*T_PlannedOrders[Order_Month])),"m月")&amp;"発注)")</f>
        <v/>
      </c>
      <c r="BA1085">
        <f>IF(SUMIFS(T_PlannedOrders[EffectiveQty],T_PlannedOrders[Part Name],$A1079,T_PlannedOrders[WeekIndex],50)=0,"",SUMIFS(T_PlannedOrders[EffectiveQty],T_PlannedOrders[Part Name],$A1079,T_PlannedOrders[WeekIndex],50)&amp;" ("&amp;TEXT(SUMPRODUCT(MAX((T_PlannedOrders[Part Name]=$A1079)*(T_PlannedOrders[WeekIndex]=50)*(T_PlannedOrders[EffectiveQty]&gt;0)*T_PlannedOrders[Order_Month])),"m月")&amp;"発注)")</f>
        <v/>
      </c>
      <c r="BB1085">
        <f>IF(SUMIFS(T_PlannedOrders[EffectiveQty],T_PlannedOrders[Part Name],$A1079,T_PlannedOrders[WeekIndex],51)=0,"",SUMIFS(T_PlannedOrders[EffectiveQty],T_PlannedOrders[Part Name],$A1079,T_PlannedOrders[WeekIndex],51)&amp;" ("&amp;TEXT(SUMPRODUCT(MAX((T_PlannedOrders[Part Name]=$A1079)*(T_PlannedOrders[WeekIndex]=51)*(T_PlannedOrders[EffectiveQty]&gt;0)*T_PlannedOrders[Order_Month])),"m月")&amp;"発注)")</f>
        <v/>
      </c>
      <c r="BC1085">
        <f>IF(SUMIFS(T_PlannedOrders[EffectiveQty],T_PlannedOrders[Part Name],$A1079,T_PlannedOrders[WeekIndex],52)=0,"",SUMIFS(T_PlannedOrders[EffectiveQty],T_PlannedOrders[Part Name],$A1079,T_PlannedOrders[WeekIndex],52)&amp;" ("&amp;TEXT(SUMPRODUCT(MAX((T_PlannedOrders[Part Name]=$A1079)*(T_PlannedOrders[WeekIndex]=52)*(T_PlannedOrders[EffectiveQty]&gt;0)*T_PlannedOrders[Order_Month])),"m月")&amp;"発注)")</f>
        <v/>
      </c>
      <c r="BD1085">
        <f>IF(SUMIFS(T_PlannedOrders[EffectiveQty],T_PlannedOrders[Part Name],$A1079,T_PlannedOrders[WeekIndex],53)=0,"",SUMIFS(T_PlannedOrders[EffectiveQty],T_PlannedOrders[Part Name],$A1079,T_PlannedOrders[WeekIndex],53)&amp;" ("&amp;TEXT(SUMPRODUCT(MAX((T_PlannedOrders[Part Name]=$A1079)*(T_PlannedOrders[WeekIndex]=53)*(T_PlannedOrders[EffectiveQty]&gt;0)*T_PlannedOrders[Order_Month])),"m月")&amp;"発注)")</f>
        <v/>
      </c>
      <c r="BE1085">
        <f>IF(SUMIFS(T_PlannedOrders[EffectiveQty],T_PlannedOrders[Part Name],$A1079,T_PlannedOrders[WeekIndex],54)=0,"",SUMIFS(T_PlannedOrders[EffectiveQty],T_PlannedOrders[Part Name],$A1079,T_PlannedOrders[WeekIndex],54)&amp;" ("&amp;TEXT(SUMPRODUCT(MAX((T_PlannedOrders[Part Name]=$A1079)*(T_PlannedOrders[WeekIndex]=54)*(T_PlannedOrders[EffectiveQty]&gt;0)*T_PlannedOrders[Order_Month])),"m月")&amp;"発注)")</f>
        <v/>
      </c>
      <c r="BF1085">
        <f>IF(SUMIFS(T_PlannedOrders[EffectiveQty],T_PlannedOrders[Part Name],$A1079,T_PlannedOrders[WeekIndex],55)=0,"",SUMIFS(T_PlannedOrders[EffectiveQty],T_PlannedOrders[Part Name],$A1079,T_PlannedOrders[WeekIndex],55)&amp;" ("&amp;TEXT(SUMPRODUCT(MAX((T_PlannedOrders[Part Name]=$A1079)*(T_PlannedOrders[WeekIndex]=55)*(T_PlannedOrders[EffectiveQty]&gt;0)*T_PlannedOrders[Order_Month])),"m月")&amp;"発注)")</f>
        <v/>
      </c>
      <c r="BG1085">
        <f>IF(SUMIFS(T_PlannedOrders[EffectiveQty],T_PlannedOrders[Part Name],$A1079,T_PlannedOrders[WeekIndex],56)=0,"",SUMIFS(T_PlannedOrders[EffectiveQty],T_PlannedOrders[Part Name],$A1079,T_PlannedOrders[WeekIndex],56)&amp;" ("&amp;TEXT(SUMPRODUCT(MAX((T_PlannedOrders[Part Name]=$A1079)*(T_PlannedOrders[WeekIndex]=56)*(T_PlannedOrders[EffectiveQty]&gt;0)*T_PlannedOrders[Order_Month])),"m月")&amp;"発注)")</f>
        <v/>
      </c>
      <c r="BH1085">
        <f>IF(SUMIFS(T_PlannedOrders[EffectiveQty],T_PlannedOrders[Part Name],$A1079,T_PlannedOrders[WeekIndex],57)=0,"",SUMIFS(T_PlannedOrders[EffectiveQty],T_PlannedOrders[Part Name],$A1079,T_PlannedOrders[WeekIndex],57)&amp;" ("&amp;TEXT(SUMPRODUCT(MAX((T_PlannedOrders[Part Name]=$A1079)*(T_PlannedOrders[WeekIndex]=57)*(T_PlannedOrders[EffectiveQty]&gt;0)*T_PlannedOrders[Order_Month])),"m月")&amp;"発注)")</f>
        <v/>
      </c>
      <c r="BI1085">
        <f>IF(SUMIFS(T_PlannedOrders[EffectiveQty],T_PlannedOrders[Part Name],$A1079,T_PlannedOrders[WeekIndex],58)=0,"",SUMIFS(T_PlannedOrders[EffectiveQty],T_PlannedOrders[Part Name],$A1079,T_PlannedOrders[WeekIndex],58)&amp;" ("&amp;TEXT(SUMPRODUCT(MAX((T_PlannedOrders[Part Name]=$A1079)*(T_PlannedOrders[WeekIndex]=58)*(T_PlannedOrders[EffectiveQty]&gt;0)*T_PlannedOrders[Order_Month])),"m月")&amp;"発注)")</f>
        <v/>
      </c>
      <c r="BJ1085">
        <f>IF(SUMIFS(T_PlannedOrders[EffectiveQty],T_PlannedOrders[Part Name],$A1079,T_PlannedOrders[WeekIndex],59)=0,"",SUMIFS(T_PlannedOrders[EffectiveQty],T_PlannedOrders[Part Name],$A1079,T_PlannedOrders[WeekIndex],59)&amp;" ("&amp;TEXT(SUMPRODUCT(MAX((T_PlannedOrders[Part Name]=$A1079)*(T_PlannedOrders[WeekIndex]=59)*(T_PlannedOrders[EffectiveQty]&gt;0)*T_PlannedOrders[Order_Month])),"m月")&amp;"発注)")</f>
        <v/>
      </c>
      <c r="BK1085">
        <f>IF(SUMIFS(T_PlannedOrders[EffectiveQty],T_PlannedOrders[Part Name],$A1079,T_PlannedOrders[WeekIndex],60)=0,"",SUMIFS(T_PlannedOrders[EffectiveQty],T_PlannedOrders[Part Name],$A1079,T_PlannedOrders[WeekIndex],60)&amp;" ("&amp;TEXT(SUMPRODUCT(MAX((T_PlannedOrders[Part Name]=$A1079)*(T_PlannedOrders[WeekIndex]=60)*(T_PlannedOrders[EffectiveQty]&gt;0)*T_PlannedOrders[Order_Month])),"m月")&amp;"発注)")</f>
        <v/>
      </c>
      <c r="BL1085">
        <f>IF(SUMIFS(T_PlannedOrders[EffectiveQty],T_PlannedOrders[Part Name],$A1079,T_PlannedOrders[WeekIndex],61)=0,"",SUMIFS(T_PlannedOrders[EffectiveQty],T_PlannedOrders[Part Name],$A1079,T_PlannedOrders[WeekIndex],61)&amp;" ("&amp;TEXT(SUMPRODUCT(MAX((T_PlannedOrders[Part Name]=$A1079)*(T_PlannedOrders[WeekIndex]=61)*(T_PlannedOrders[EffectiveQty]&gt;0)*T_PlannedOrders[Order_Month])),"m月")&amp;"発注)")</f>
        <v/>
      </c>
      <c r="BM1085">
        <f>IF(SUMIFS(T_PlannedOrders[EffectiveQty],T_PlannedOrders[Part Name],$A1079,T_PlannedOrders[WeekIndex],62)=0,"",SUMIFS(T_PlannedOrders[EffectiveQty],T_PlannedOrders[Part Name],$A1079,T_PlannedOrders[WeekIndex],62)&amp;" ("&amp;TEXT(SUMPRODUCT(MAX((T_PlannedOrders[Part Name]=$A1079)*(T_PlannedOrders[WeekIndex]=62)*(T_PlannedOrders[EffectiveQty]&gt;0)*T_PlannedOrders[Order_Month])),"m月")&amp;"発注)")</f>
        <v/>
      </c>
      <c r="BN1085">
        <f>IF(SUMIFS(T_PlannedOrders[EffectiveQty],T_PlannedOrders[Part Name],$A1079,T_PlannedOrders[WeekIndex],63)=0,"",SUMIFS(T_PlannedOrders[EffectiveQty],T_PlannedOrders[Part Name],$A1079,T_PlannedOrders[WeekIndex],63)&amp;" ("&amp;TEXT(SUMPRODUCT(MAX((T_PlannedOrders[Part Name]=$A1079)*(T_PlannedOrders[WeekIndex]=63)*(T_PlannedOrders[EffectiveQty]&gt;0)*T_PlannedOrders[Order_Month])),"m月")&amp;"発注)")</f>
        <v/>
      </c>
      <c r="BO1085">
        <f>IF(SUMIFS(T_PlannedOrders[EffectiveQty],T_PlannedOrders[Part Name],$A1079,T_PlannedOrders[WeekIndex],64)=0,"",SUMIFS(T_PlannedOrders[EffectiveQty],T_PlannedOrders[Part Name],$A1079,T_PlannedOrders[WeekIndex],64)&amp;" ("&amp;TEXT(SUMPRODUCT(MAX((T_PlannedOrders[Part Name]=$A1079)*(T_PlannedOrders[WeekIndex]=64)*(T_PlannedOrders[EffectiveQty]&gt;0)*T_PlannedOrders[Order_Month])),"m月")&amp;"発注)")</f>
        <v/>
      </c>
      <c r="BP1085">
        <f>IF(SUMIFS(T_PlannedOrders[EffectiveQty],T_PlannedOrders[Part Name],$A1079,T_PlannedOrders[WeekIndex],65)=0,"",SUMIFS(T_PlannedOrders[EffectiveQty],T_PlannedOrders[Part Name],$A1079,T_PlannedOrders[WeekIndex],65)&amp;" ("&amp;TEXT(SUMPRODUCT(MAX((T_PlannedOrders[Part Name]=$A1079)*(T_PlannedOrders[WeekIndex]=65)*(T_PlannedOrders[EffectiveQty]&gt;0)*T_PlannedOrders[Order_Month])),"m月")&amp;"発注)")</f>
        <v/>
      </c>
      <c r="BQ1085">
        <f>IF(SUMIFS(T_PlannedOrders[EffectiveQty],T_PlannedOrders[Part Name],$A1079,T_PlannedOrders[WeekIndex],66)=0,"",SUMIFS(T_PlannedOrders[EffectiveQty],T_PlannedOrders[Part Name],$A1079,T_PlannedOrders[WeekIndex],66)&amp;" ("&amp;TEXT(SUMPRODUCT(MAX((T_PlannedOrders[Part Name]=$A1079)*(T_PlannedOrders[WeekIndex]=66)*(T_PlannedOrders[EffectiveQty]&gt;0)*T_PlannedOrders[Order_Month])),"m月")&amp;"発注)")</f>
        <v/>
      </c>
      <c r="BR1085">
        <f>IF(SUMIFS(T_PlannedOrders[EffectiveQty],T_PlannedOrders[Part Name],$A1079,T_PlannedOrders[WeekIndex],67)=0,"",SUMIFS(T_PlannedOrders[EffectiveQty],T_PlannedOrders[Part Name],$A1079,T_PlannedOrders[WeekIndex],67)&amp;" ("&amp;TEXT(SUMPRODUCT(MAX((T_PlannedOrders[Part Name]=$A1079)*(T_PlannedOrders[WeekIndex]=67)*(T_PlannedOrders[EffectiveQty]&gt;0)*T_PlannedOrders[Order_Month])),"m月")&amp;"発注)")</f>
        <v/>
      </c>
      <c r="BS1085">
        <f>IF(SUMIFS(T_PlannedOrders[EffectiveQty],T_PlannedOrders[Part Name],$A1079,T_PlannedOrders[WeekIndex],68)=0,"",SUMIFS(T_PlannedOrders[EffectiveQty],T_PlannedOrders[Part Name],$A1079,T_PlannedOrders[WeekIndex],68)&amp;" ("&amp;TEXT(SUMPRODUCT(MAX((T_PlannedOrders[Part Name]=$A1079)*(T_PlannedOrders[WeekIndex]=68)*(T_PlannedOrders[EffectiveQty]&gt;0)*T_PlannedOrders[Order_Month])),"m月")&amp;"発注)")</f>
        <v/>
      </c>
      <c r="BT1085">
        <f>IF(SUMIFS(T_PlannedOrders[EffectiveQty],T_PlannedOrders[Part Name],$A1079,T_PlannedOrders[WeekIndex],69)=0,"",SUMIFS(T_PlannedOrders[EffectiveQty],T_PlannedOrders[Part Name],$A1079,T_PlannedOrders[WeekIndex],69)&amp;" ("&amp;TEXT(SUMPRODUCT(MAX((T_PlannedOrders[Part Name]=$A1079)*(T_PlannedOrders[WeekIndex]=69)*(T_PlannedOrders[EffectiveQty]&gt;0)*T_PlannedOrders[Order_Month])),"m月")&amp;"発注)")</f>
        <v/>
      </c>
      <c r="BU1085">
        <f>IF(SUMIFS(T_PlannedOrders[EffectiveQty],T_PlannedOrders[Part Name],$A1079,T_PlannedOrders[WeekIndex],70)=0,"",SUMIFS(T_PlannedOrders[EffectiveQty],T_PlannedOrders[Part Name],$A1079,T_PlannedOrders[WeekIndex],70)&amp;" ("&amp;TEXT(SUMPRODUCT(MAX((T_PlannedOrders[Part Name]=$A1079)*(T_PlannedOrders[WeekIndex]=70)*(T_PlannedOrders[EffectiveQty]&gt;0)*T_PlannedOrders[Order_Month])),"m月")&amp;"発注)")</f>
        <v/>
      </c>
      <c r="BV1085">
        <f>IF(SUMIFS(T_PlannedOrders[EffectiveQty],T_PlannedOrders[Part Name],$A1079,T_PlannedOrders[WeekIndex],71)=0,"",SUMIFS(T_PlannedOrders[EffectiveQty],T_PlannedOrders[Part Name],$A1079,T_PlannedOrders[WeekIndex],71)&amp;" ("&amp;TEXT(SUMPRODUCT(MAX((T_PlannedOrders[Part Name]=$A1079)*(T_PlannedOrders[WeekIndex]=71)*(T_PlannedOrders[EffectiveQty]&gt;0)*T_PlannedOrders[Order_Month])),"m月")&amp;"発注)")</f>
        <v/>
      </c>
      <c r="BW1085">
        <f>IF(SUMIFS(T_PlannedOrders[EffectiveQty],T_PlannedOrders[Part Name],$A1079,T_PlannedOrders[WeekIndex],72)=0,"",SUMIFS(T_PlannedOrders[EffectiveQty],T_PlannedOrders[Part Name],$A1079,T_PlannedOrders[WeekIndex],72)&amp;" ("&amp;TEXT(SUMPRODUCT(MAX((T_PlannedOrders[Part Name]=$A1079)*(T_PlannedOrders[WeekIndex]=72)*(T_PlannedOrders[EffectiveQty]&gt;0)*T_PlannedOrders[Order_Month])),"m月")&amp;"発注)")</f>
        <v/>
      </c>
      <c r="BX1085">
        <f>IF(SUMIFS(T_PlannedOrders[EffectiveQty],T_PlannedOrders[Part Name],$A1079,T_PlannedOrders[WeekIndex],73)=0,"",SUMIFS(T_PlannedOrders[EffectiveQty],T_PlannedOrders[Part Name],$A1079,T_PlannedOrders[WeekIndex],73)&amp;" ("&amp;TEXT(SUMPRODUCT(MAX((T_PlannedOrders[Part Name]=$A1079)*(T_PlannedOrders[WeekIndex]=73)*(T_PlannedOrders[EffectiveQty]&gt;0)*T_PlannedOrders[Order_Month])),"m月")&amp;"発注)")</f>
        <v/>
      </c>
      <c r="BY1085">
        <f>IF(SUMIFS(T_PlannedOrders[EffectiveQty],T_PlannedOrders[Part Name],$A1079,T_PlannedOrders[WeekIndex],74)=0,"",SUMIFS(T_PlannedOrders[EffectiveQty],T_PlannedOrders[Part Name],$A1079,T_PlannedOrders[WeekIndex],74)&amp;" ("&amp;TEXT(SUMPRODUCT(MAX((T_PlannedOrders[Part Name]=$A1079)*(T_PlannedOrders[WeekIndex]=74)*(T_PlannedOrders[EffectiveQty]&gt;0)*T_PlannedOrders[Order_Month])),"m月")&amp;"発注)")</f>
        <v/>
      </c>
      <c r="BZ1085">
        <f>IF(SUMIFS(T_PlannedOrders[EffectiveQty],T_PlannedOrders[Part Name],$A1079,T_PlannedOrders[WeekIndex],75)=0,"",SUMIFS(T_PlannedOrders[EffectiveQty],T_PlannedOrders[Part Name],$A1079,T_PlannedOrders[WeekIndex],75)&amp;" ("&amp;TEXT(SUMPRODUCT(MAX((T_PlannedOrders[Part Name]=$A1079)*(T_PlannedOrders[WeekIndex]=75)*(T_PlannedOrders[EffectiveQty]&gt;0)*T_PlannedOrders[Order_Month])),"m月")&amp;"発注)")</f>
        <v/>
      </c>
      <c r="CA1085">
        <f>IF(SUMIFS(T_PlannedOrders[EffectiveQty],T_PlannedOrders[Part Name],$A1079,T_PlannedOrders[WeekIndex],76)=0,"",SUMIFS(T_PlannedOrders[EffectiveQty],T_PlannedOrders[Part Name],$A1079,T_PlannedOrders[WeekIndex],76)&amp;" ("&amp;TEXT(SUMPRODUCT(MAX((T_PlannedOrders[Part Name]=$A1079)*(T_PlannedOrders[WeekIndex]=76)*(T_PlannedOrders[EffectiveQty]&gt;0)*T_PlannedOrders[Order_Month])),"m月")&amp;"発注)")</f>
        <v/>
      </c>
      <c r="CB1085">
        <f>IF(SUMIFS(T_PlannedOrders[EffectiveQty],T_PlannedOrders[Part Name],$A1079,T_PlannedOrders[WeekIndex],77)=0,"",SUMIFS(T_PlannedOrders[EffectiveQty],T_PlannedOrders[Part Name],$A1079,T_PlannedOrders[WeekIndex],77)&amp;" ("&amp;TEXT(SUMPRODUCT(MAX((T_PlannedOrders[Part Name]=$A1079)*(T_PlannedOrders[WeekIndex]=77)*(T_PlannedOrders[EffectiveQty]&gt;0)*T_PlannedOrders[Order_Month])),"m月")&amp;"発注)")</f>
        <v/>
      </c>
      <c r="CC1085">
        <f>IF(SUMIFS(T_PlannedOrders[EffectiveQty],T_PlannedOrders[Part Name],$A1079,T_PlannedOrders[WeekIndex],78)=0,"",SUMIFS(T_PlannedOrders[EffectiveQty],T_PlannedOrders[Part Name],$A1079,T_PlannedOrders[WeekIndex],78)&amp;" ("&amp;TEXT(SUMPRODUCT(MAX((T_PlannedOrders[Part Name]=$A1079)*(T_PlannedOrders[WeekIndex]=78)*(T_PlannedOrders[EffectiveQty]&gt;0)*T_PlannedOrders[Order_Month])),"m月")&amp;"発注)")</f>
        <v/>
      </c>
      <c r="CD1085">
        <f>IF(SUMIFS(T_PlannedOrders[EffectiveQty],T_PlannedOrders[Part Name],$A1079,T_PlannedOrders[WeekIndex],79)=0,"",SUMIFS(T_PlannedOrders[EffectiveQty],T_PlannedOrders[Part Name],$A1079,T_PlannedOrders[WeekIndex],79)&amp;" ("&amp;TEXT(SUMPRODUCT(MAX((T_PlannedOrders[Part Name]=$A1079)*(T_PlannedOrders[WeekIndex]=79)*(T_PlannedOrders[EffectiveQty]&gt;0)*T_PlannedOrders[Order_Month])),"m月")&amp;"発注)")</f>
        <v/>
      </c>
      <c r="CE1085">
        <f>IF(SUMIFS(T_PlannedOrders[EffectiveQty],T_PlannedOrders[Part Name],$A1079,T_PlannedOrders[WeekIndex],80)=0,"",SUMIFS(T_PlannedOrders[EffectiveQty],T_PlannedOrders[Part Name],$A1079,T_PlannedOrders[WeekIndex],80)&amp;" ("&amp;TEXT(SUMPRODUCT(MAX((T_PlannedOrders[Part Name]=$A1079)*(T_PlannedOrders[WeekIndex]=80)*(T_PlannedOrders[EffectiveQty]&gt;0)*T_PlannedOrders[Order_Month])),"m月")&amp;"発注)")</f>
        <v/>
      </c>
      <c r="CF1085">
        <f>IF(SUMIFS(T_PlannedOrders[EffectiveQty],T_PlannedOrders[Part Name],$A1079,T_PlannedOrders[WeekIndex],81)=0,"",SUMIFS(T_PlannedOrders[EffectiveQty],T_PlannedOrders[Part Name],$A1079,T_PlannedOrders[WeekIndex],81)&amp;" ("&amp;TEXT(SUMPRODUCT(MAX((T_PlannedOrders[Part Name]=$A1079)*(T_PlannedOrders[WeekIndex]=81)*(T_PlannedOrders[EffectiveQty]&gt;0)*T_PlannedOrders[Order_Month])),"m月")&amp;"発注)")</f>
        <v/>
      </c>
      <c r="CG1085">
        <f>IF(SUMIFS(T_PlannedOrders[EffectiveQty],T_PlannedOrders[Part Name],$A1079,T_PlannedOrders[WeekIndex],82)=0,"",SUMIFS(T_PlannedOrders[EffectiveQty],T_PlannedOrders[Part Name],$A1079,T_PlannedOrders[WeekIndex],82)&amp;" ("&amp;TEXT(SUMPRODUCT(MAX((T_PlannedOrders[Part Name]=$A1079)*(T_PlannedOrders[WeekIndex]=82)*(T_PlannedOrders[EffectiveQty]&gt;0)*T_PlannedOrders[Order_Month])),"m月")&amp;"発注)")</f>
        <v/>
      </c>
      <c r="CH1085">
        <f>IF(SUMIFS(T_PlannedOrders[EffectiveQty],T_PlannedOrders[Part Name],$A1079,T_PlannedOrders[WeekIndex],83)=0,"",SUMIFS(T_PlannedOrders[EffectiveQty],T_PlannedOrders[Part Name],$A1079,T_PlannedOrders[WeekIndex],83)&amp;" ("&amp;TEXT(SUMPRODUCT(MAX((T_PlannedOrders[Part Name]=$A1079)*(T_PlannedOrders[WeekIndex]=83)*(T_PlannedOrders[EffectiveQty]&gt;0)*T_PlannedOrders[Order_Month])),"m月")&amp;"発注)")</f>
        <v/>
      </c>
      <c r="CI1085">
        <f>IF(SUMIFS(T_PlannedOrders[EffectiveQty],T_PlannedOrders[Part Name],$A1079,T_PlannedOrders[WeekIndex],84)=0,"",SUMIFS(T_PlannedOrders[EffectiveQty],T_PlannedOrders[Part Name],$A1079,T_PlannedOrders[WeekIndex],84)&amp;" ("&amp;TEXT(SUMPRODUCT(MAX((T_PlannedOrders[Part Name]=$A1079)*(T_PlannedOrders[WeekIndex]=84)*(T_PlannedOrders[EffectiveQty]&gt;0)*T_PlannedOrders[Order_Month])),"m月")&amp;"発注)")</f>
        <v/>
      </c>
      <c r="CJ1085">
        <f>IF(SUMIFS(T_PlannedOrders[EffectiveQty],T_PlannedOrders[Part Name],$A1079,T_PlannedOrders[WeekIndex],85)=0,"",SUMIFS(T_PlannedOrders[EffectiveQty],T_PlannedOrders[Part Name],$A1079,T_PlannedOrders[WeekIndex],85)&amp;" ("&amp;TEXT(SUMPRODUCT(MAX((T_PlannedOrders[Part Name]=$A1079)*(T_PlannedOrders[WeekIndex]=85)*(T_PlannedOrders[EffectiveQty]&gt;0)*T_PlannedOrders[Order_Month])),"m月")&amp;"発注)")</f>
        <v/>
      </c>
      <c r="CK1085">
        <f>IF(SUMIFS(T_PlannedOrders[EffectiveQty],T_PlannedOrders[Part Name],$A1079,T_PlannedOrders[WeekIndex],86)=0,"",SUMIFS(T_PlannedOrders[EffectiveQty],T_PlannedOrders[Part Name],$A1079,T_PlannedOrders[WeekIndex],86)&amp;" ("&amp;TEXT(SUMPRODUCT(MAX((T_PlannedOrders[Part Name]=$A1079)*(T_PlannedOrders[WeekIndex]=86)*(T_PlannedOrders[EffectiveQty]&gt;0)*T_PlannedOrders[Order_Month])),"m月")&amp;"発注)")</f>
        <v/>
      </c>
      <c r="CL1085">
        <f>IF(SUMIFS(T_PlannedOrders[EffectiveQty],T_PlannedOrders[Part Name],$A1079,T_PlannedOrders[WeekIndex],87)=0,"",SUMIFS(T_PlannedOrders[EffectiveQty],T_PlannedOrders[Part Name],$A1079,T_PlannedOrders[WeekIndex],87)&amp;" ("&amp;TEXT(SUMPRODUCT(MAX((T_PlannedOrders[Part Name]=$A1079)*(T_PlannedOrders[WeekIndex]=87)*(T_PlannedOrders[EffectiveQty]&gt;0)*T_PlannedOrders[Order_Month])),"m月")&amp;"発注)")</f>
        <v/>
      </c>
      <c r="CM1085">
        <f>IF(SUMIFS(T_PlannedOrders[EffectiveQty],T_PlannedOrders[Part Name],$A1079,T_PlannedOrders[WeekIndex],88)=0,"",SUMIFS(T_PlannedOrders[EffectiveQty],T_PlannedOrders[Part Name],$A1079,T_PlannedOrders[WeekIndex],88)&amp;" ("&amp;TEXT(SUMPRODUCT(MAX((T_PlannedOrders[Part Name]=$A1079)*(T_PlannedOrders[WeekIndex]=88)*(T_PlannedOrders[EffectiveQty]&gt;0)*T_PlannedOrders[Order_Month])),"m月")&amp;"発注)")</f>
        <v/>
      </c>
      <c r="CN1085">
        <f>IF(SUMIFS(T_PlannedOrders[EffectiveQty],T_PlannedOrders[Part Name],$A1079,T_PlannedOrders[WeekIndex],89)=0,"",SUMIFS(T_PlannedOrders[EffectiveQty],T_PlannedOrders[Part Name],$A1079,T_PlannedOrders[WeekIndex],89)&amp;" ("&amp;TEXT(SUMPRODUCT(MAX((T_PlannedOrders[Part Name]=$A1079)*(T_PlannedOrders[WeekIndex]=89)*(T_PlannedOrders[EffectiveQty]&gt;0)*T_PlannedOrders[Order_Month])),"m月")&amp;"発注)")</f>
        <v/>
      </c>
      <c r="CO1085">
        <f>IF(SUMIFS(T_PlannedOrders[EffectiveQty],T_PlannedOrders[Part Name],$A1079,T_PlannedOrders[WeekIndex],90)=0,"",SUMIFS(T_PlannedOrders[EffectiveQty],T_PlannedOrders[Part Name],$A1079,T_PlannedOrders[WeekIndex],90)&amp;" ("&amp;TEXT(SUMPRODUCT(MAX((T_PlannedOrders[Part Name]=$A1079)*(T_PlannedOrders[WeekIndex]=90)*(T_PlannedOrders[EffectiveQty]&gt;0)*T_PlannedOrders[Order_Month])),"m月")&amp;"発注)")</f>
        <v/>
      </c>
      <c r="CP1085">
        <f>IF(SUMIFS(T_PlannedOrders[EffectiveQty],T_PlannedOrders[Part Name],$A1079,T_PlannedOrders[WeekIndex],91)=0,"",SUMIFS(T_PlannedOrders[EffectiveQty],T_PlannedOrders[Part Name],$A1079,T_PlannedOrders[WeekIndex],91)&amp;" ("&amp;TEXT(SUMPRODUCT(MAX((T_PlannedOrders[Part Name]=$A1079)*(T_PlannedOrders[WeekIndex]=91)*(T_PlannedOrders[EffectiveQty]&gt;0)*T_PlannedOrders[Order_Month])),"m月")&amp;"発注)")</f>
        <v/>
      </c>
      <c r="CQ1085">
        <f>IF(SUMIFS(T_PlannedOrders[EffectiveQty],T_PlannedOrders[Part Name],$A1079,T_PlannedOrders[WeekIndex],92)=0,"",SUMIFS(T_PlannedOrders[EffectiveQty],T_PlannedOrders[Part Name],$A1079,T_PlannedOrders[WeekIndex],92)&amp;" ("&amp;TEXT(SUMPRODUCT(MAX((T_PlannedOrders[Part Name]=$A1079)*(T_PlannedOrders[WeekIndex]=92)*(T_PlannedOrders[EffectiveQty]&gt;0)*T_PlannedOrders[Order_Month])),"m月")&amp;"発注)")</f>
        <v/>
      </c>
      <c r="CR1085">
        <f>IF(SUMIFS(T_PlannedOrders[EffectiveQty],T_PlannedOrders[Part Name],$A1079,T_PlannedOrders[WeekIndex],93)=0,"",SUMIFS(T_PlannedOrders[EffectiveQty],T_PlannedOrders[Part Name],$A1079,T_PlannedOrders[WeekIndex],93)&amp;" ("&amp;TEXT(SUMPRODUCT(MAX((T_PlannedOrders[Part Name]=$A1079)*(T_PlannedOrders[WeekIndex]=93)*(T_PlannedOrders[EffectiveQty]&gt;0)*T_PlannedOrders[Order_Month])),"m月")&amp;"発注)")</f>
        <v/>
      </c>
      <c r="CS1085">
        <f>IF(SUMIFS(T_PlannedOrders[EffectiveQty],T_PlannedOrders[Part Name],$A1079,T_PlannedOrders[WeekIndex],94)=0,"",SUMIFS(T_PlannedOrders[EffectiveQty],T_PlannedOrders[Part Name],$A1079,T_PlannedOrders[WeekIndex],94)&amp;" ("&amp;TEXT(SUMPRODUCT(MAX((T_PlannedOrders[Part Name]=$A1079)*(T_PlannedOrders[WeekIndex]=94)*(T_PlannedOrders[EffectiveQty]&gt;0)*T_PlannedOrders[Order_Month])),"m月")&amp;"発注)")</f>
        <v/>
      </c>
      <c r="CT1085">
        <f>IF(SUMIFS(T_PlannedOrders[EffectiveQty],T_PlannedOrders[Part Name],$A1079,T_PlannedOrders[WeekIndex],95)=0,"",SUMIFS(T_PlannedOrders[EffectiveQty],T_PlannedOrders[Part Name],$A1079,T_PlannedOrders[WeekIndex],95)&amp;" ("&amp;TEXT(SUMPRODUCT(MAX((T_PlannedOrders[Part Name]=$A1079)*(T_PlannedOrders[WeekIndex]=95)*(T_PlannedOrders[EffectiveQty]&gt;0)*T_PlannedOrders[Order_Month])),"m月")&amp;"発注)")</f>
        <v/>
      </c>
      <c r="CU1085">
        <f>IF(SUMIFS(T_PlannedOrders[EffectiveQty],T_PlannedOrders[Part Name],$A1079,T_PlannedOrders[WeekIndex],96)=0,"",SUMIFS(T_PlannedOrders[EffectiveQty],T_PlannedOrders[Part Name],$A1079,T_PlannedOrders[WeekIndex],96)&amp;" ("&amp;TEXT(SUMPRODUCT(MAX((T_PlannedOrders[Part Name]=$A1079)*(T_PlannedOrders[WeekIndex]=96)*(T_PlannedOrders[EffectiveQty]&gt;0)*T_PlannedOrders[Order_Month])),"m月")&amp;"発注)")</f>
        <v/>
      </c>
      <c r="CV1085">
        <f>IF(SUMIFS(T_PlannedOrders[EffectiveQty],T_PlannedOrders[Part Name],$A1079,T_PlannedOrders[WeekIndex],97)=0,"",SUMIFS(T_PlannedOrders[EffectiveQty],T_PlannedOrders[Part Name],$A1079,T_PlannedOrders[WeekIndex],97)&amp;" ("&amp;TEXT(SUMPRODUCT(MAX((T_PlannedOrders[Part Name]=$A1079)*(T_PlannedOrders[WeekIndex]=97)*(T_PlannedOrders[EffectiveQty]&gt;0)*T_PlannedOrders[Order_Month])),"m月")&amp;"発注)")</f>
        <v/>
      </c>
      <c r="CW1085">
        <f>IF(SUMIFS(T_PlannedOrders[EffectiveQty],T_PlannedOrders[Part Name],$A1079,T_PlannedOrders[WeekIndex],98)=0,"",SUMIFS(T_PlannedOrders[EffectiveQty],T_PlannedOrders[Part Name],$A1079,T_PlannedOrders[WeekIndex],98)&amp;" ("&amp;TEXT(SUMPRODUCT(MAX((T_PlannedOrders[Part Name]=$A1079)*(T_PlannedOrders[WeekIndex]=98)*(T_PlannedOrders[EffectiveQty]&gt;0)*T_PlannedOrders[Order_Month])),"m月")&amp;"発注)")</f>
        <v/>
      </c>
      <c r="CX1085">
        <f>IF(SUMIFS(T_PlannedOrders[EffectiveQty],T_PlannedOrders[Part Name],$A1079,T_PlannedOrders[WeekIndex],99)=0,"",SUMIFS(T_PlannedOrders[EffectiveQty],T_PlannedOrders[Part Name],$A1079,T_PlannedOrders[WeekIndex],99)&amp;" ("&amp;TEXT(SUMPRODUCT(MAX((T_PlannedOrders[Part Name]=$A1079)*(T_PlannedOrders[WeekIndex]=99)*(T_PlannedOrders[EffectiveQty]&gt;0)*T_PlannedOrders[Order_Month])),"m月")&amp;"発注)")</f>
        <v/>
      </c>
      <c r="CY1085">
        <f>IF(SUMIFS(T_PlannedOrders[EffectiveQty],T_PlannedOrders[Part Name],$A1079,T_PlannedOrders[WeekIndex],100)=0,"",SUMIFS(T_PlannedOrders[EffectiveQty],T_PlannedOrders[Part Name],$A1079,T_PlannedOrders[WeekIndex],100)&amp;" ("&amp;TEXT(SUMPRODUCT(MAX((T_PlannedOrders[Part Name]=$A1079)*(T_PlannedOrders[WeekIndex]=100)*(T_PlannedOrders[EffectiveQty]&gt;0)*T_PlannedOrders[Order_Month])),"m月")&amp;"発注)")</f>
        <v/>
      </c>
      <c r="CZ1085">
        <f>IF(SUMIFS(T_PlannedOrders[EffectiveQty],T_PlannedOrders[Part Name],$A1079,T_PlannedOrders[WeekIndex],101)=0,"",SUMIFS(T_PlannedOrders[EffectiveQty],T_PlannedOrders[Part Name],$A1079,T_PlannedOrders[WeekIndex],101)&amp;" ("&amp;TEXT(SUMPRODUCT(MAX((T_PlannedOrders[Part Name]=$A1079)*(T_PlannedOrders[WeekIndex]=101)*(T_PlannedOrders[EffectiveQty]&gt;0)*T_PlannedOrders[Order_Month])),"m月")&amp;"発注)")</f>
        <v/>
      </c>
      <c r="DA1085">
        <f>IF(SUMIFS(T_PlannedOrders[EffectiveQty],T_PlannedOrders[Part Name],$A1079,T_PlannedOrders[WeekIndex],102)=0,"",SUMIFS(T_PlannedOrders[EffectiveQty],T_PlannedOrders[Part Name],$A1079,T_PlannedOrders[WeekIndex],102)&amp;" ("&amp;TEXT(SUMPRODUCT(MAX((T_PlannedOrders[Part Name]=$A1079)*(T_PlannedOrders[WeekIndex]=102)*(T_PlannedOrders[EffectiveQty]&gt;0)*T_PlannedOrders[Order_Month])),"m月")&amp;"発注)")</f>
        <v/>
      </c>
      <c r="DB1085">
        <f>IF(SUMIFS(T_PlannedOrders[EffectiveQty],T_PlannedOrders[Part Name],$A1079,T_PlannedOrders[WeekIndex],103)=0,"",SUMIFS(T_PlannedOrders[EffectiveQty],T_PlannedOrders[Part Name],$A1079,T_PlannedOrders[WeekIndex],103)&amp;" ("&amp;TEXT(SUMPRODUCT(MAX((T_PlannedOrders[Part Name]=$A1079)*(T_PlannedOrders[WeekIndex]=103)*(T_PlannedOrders[EffectiveQty]&gt;0)*T_PlannedOrders[Order_Month])),"m月")&amp;"発注)")</f>
        <v/>
      </c>
      <c r="DC1085">
        <f>IF(SUMIFS(T_PlannedOrders[EffectiveQty],T_PlannedOrders[Part Name],$A1079,T_PlannedOrders[WeekIndex],104)=0,"",SUMIFS(T_PlannedOrders[EffectiveQty],T_PlannedOrders[Part Name],$A1079,T_PlannedOrders[WeekIndex],104)&amp;" ("&amp;TEXT(SUMPRODUCT(MAX((T_PlannedOrders[Part Name]=$A1079)*(T_PlannedOrders[WeekIndex]=104)*(T_PlannedOrders[EffectiveQty]&gt;0)*T_PlannedOrders[Order_Month])),"m月")&amp;"発注)")</f>
        <v/>
      </c>
    </row>
    <row r="1086">
      <c r="B1086" s="4" t="inlineStr">
        <is>
          <t>合計在庫(週末時点,kg)</t>
        </is>
      </c>
      <c r="D1086">
        <f>'Grid_Stock'!B14</f>
        <v/>
      </c>
      <c r="E1086">
        <f>'Grid_Stock'!C14</f>
        <v/>
      </c>
      <c r="F1086">
        <f>'Grid_Stock'!D14</f>
        <v/>
      </c>
      <c r="G1086">
        <f>'Grid_Stock'!E14</f>
        <v/>
      </c>
      <c r="H1086">
        <f>'Grid_Stock'!F14</f>
        <v/>
      </c>
      <c r="I1086">
        <f>'Grid_Stock'!G14</f>
        <v/>
      </c>
      <c r="J1086">
        <f>'Grid_Stock'!H14</f>
        <v/>
      </c>
      <c r="K1086">
        <f>'Grid_Stock'!I14</f>
        <v/>
      </c>
      <c r="L1086">
        <f>'Grid_Stock'!J14</f>
        <v/>
      </c>
      <c r="M1086">
        <f>'Grid_Stock'!K14</f>
        <v/>
      </c>
      <c r="N1086">
        <f>'Grid_Stock'!L14</f>
        <v/>
      </c>
      <c r="O1086">
        <f>'Grid_Stock'!M14</f>
        <v/>
      </c>
      <c r="P1086">
        <f>'Grid_Stock'!N14</f>
        <v/>
      </c>
      <c r="Q1086">
        <f>'Grid_Stock'!O14</f>
        <v/>
      </c>
      <c r="R1086">
        <f>'Grid_Stock'!P14</f>
        <v/>
      </c>
      <c r="S1086">
        <f>'Grid_Stock'!Q14</f>
        <v/>
      </c>
      <c r="T1086">
        <f>'Grid_Stock'!R14</f>
        <v/>
      </c>
      <c r="U1086">
        <f>'Grid_Stock'!S14</f>
        <v/>
      </c>
      <c r="V1086">
        <f>'Grid_Stock'!T14</f>
        <v/>
      </c>
      <c r="W1086">
        <f>'Grid_Stock'!U14</f>
        <v/>
      </c>
      <c r="X1086">
        <f>'Grid_Stock'!V14</f>
        <v/>
      </c>
      <c r="Y1086">
        <f>'Grid_Stock'!W14</f>
        <v/>
      </c>
      <c r="Z1086">
        <f>'Grid_Stock'!X14</f>
        <v/>
      </c>
      <c r="AA1086">
        <f>'Grid_Stock'!Y14</f>
        <v/>
      </c>
      <c r="AB1086">
        <f>'Grid_Stock'!Z14</f>
        <v/>
      </c>
      <c r="AC1086">
        <f>'Grid_Stock'!AA14</f>
        <v/>
      </c>
      <c r="AD1086">
        <f>'Grid_Stock'!AB14</f>
        <v/>
      </c>
      <c r="AE1086">
        <f>'Grid_Stock'!AC14</f>
        <v/>
      </c>
      <c r="AF1086">
        <f>'Grid_Stock'!AD14</f>
        <v/>
      </c>
      <c r="AG1086">
        <f>'Grid_Stock'!AE14</f>
        <v/>
      </c>
      <c r="AH1086">
        <f>'Grid_Stock'!AF14</f>
        <v/>
      </c>
      <c r="AI1086">
        <f>'Grid_Stock'!AG14</f>
        <v/>
      </c>
      <c r="AJ1086">
        <f>'Grid_Stock'!AH14</f>
        <v/>
      </c>
      <c r="AK1086">
        <f>'Grid_Stock'!AI14</f>
        <v/>
      </c>
      <c r="AL1086">
        <f>'Grid_Stock'!AJ14</f>
        <v/>
      </c>
      <c r="AM1086">
        <f>'Grid_Stock'!AK14</f>
        <v/>
      </c>
      <c r="AN1086">
        <f>'Grid_Stock'!AL14</f>
        <v/>
      </c>
      <c r="AO1086">
        <f>'Grid_Stock'!AM14</f>
        <v/>
      </c>
      <c r="AP1086">
        <f>'Grid_Stock'!AN14</f>
        <v/>
      </c>
      <c r="AQ1086">
        <f>'Grid_Stock'!AO14</f>
        <v/>
      </c>
      <c r="AR1086">
        <f>'Grid_Stock'!AP14</f>
        <v/>
      </c>
      <c r="AS1086">
        <f>'Grid_Stock'!AQ14</f>
        <v/>
      </c>
      <c r="AT1086">
        <f>'Grid_Stock'!AR14</f>
        <v/>
      </c>
      <c r="AU1086">
        <f>'Grid_Stock'!AS14</f>
        <v/>
      </c>
      <c r="AV1086">
        <f>'Grid_Stock'!AT14</f>
        <v/>
      </c>
      <c r="AW1086">
        <f>'Grid_Stock'!AU14</f>
        <v/>
      </c>
      <c r="AX1086">
        <f>'Grid_Stock'!AV14</f>
        <v/>
      </c>
      <c r="AY1086">
        <f>'Grid_Stock'!AW14</f>
        <v/>
      </c>
      <c r="AZ1086">
        <f>'Grid_Stock'!AX14</f>
        <v/>
      </c>
      <c r="BA1086">
        <f>'Grid_Stock'!AY14</f>
        <v/>
      </c>
      <c r="BB1086">
        <f>'Grid_Stock'!AZ14</f>
        <v/>
      </c>
      <c r="BC1086">
        <f>'Grid_Stock'!BA14</f>
        <v/>
      </c>
      <c r="BD1086">
        <f>'Grid_Stock'!BB14</f>
        <v/>
      </c>
      <c r="BE1086">
        <f>'Grid_Stock'!BC14</f>
        <v/>
      </c>
      <c r="BF1086">
        <f>'Grid_Stock'!BD14</f>
        <v/>
      </c>
      <c r="BG1086">
        <f>'Grid_Stock'!BE14</f>
        <v/>
      </c>
      <c r="BH1086">
        <f>'Grid_Stock'!BF14</f>
        <v/>
      </c>
      <c r="BI1086">
        <f>'Grid_Stock'!BG14</f>
        <v/>
      </c>
      <c r="BJ1086">
        <f>'Grid_Stock'!BH14</f>
        <v/>
      </c>
      <c r="BK1086">
        <f>'Grid_Stock'!BI14</f>
        <v/>
      </c>
      <c r="BL1086">
        <f>'Grid_Stock'!BJ14</f>
        <v/>
      </c>
      <c r="BM1086">
        <f>'Grid_Stock'!BK14</f>
        <v/>
      </c>
      <c r="BN1086">
        <f>'Grid_Stock'!BL14</f>
        <v/>
      </c>
      <c r="BO1086">
        <f>'Grid_Stock'!BM14</f>
        <v/>
      </c>
      <c r="BP1086">
        <f>'Grid_Stock'!BN14</f>
        <v/>
      </c>
      <c r="BQ1086">
        <f>'Grid_Stock'!BO14</f>
        <v/>
      </c>
      <c r="BR1086">
        <f>'Grid_Stock'!BP14</f>
        <v/>
      </c>
      <c r="BS1086">
        <f>'Grid_Stock'!BQ14</f>
        <v/>
      </c>
      <c r="BT1086">
        <f>'Grid_Stock'!BR14</f>
        <v/>
      </c>
      <c r="BU1086">
        <f>'Grid_Stock'!BS14</f>
        <v/>
      </c>
      <c r="BV1086">
        <f>'Grid_Stock'!BT14</f>
        <v/>
      </c>
      <c r="BW1086">
        <f>'Grid_Stock'!BU14</f>
        <v/>
      </c>
      <c r="BX1086">
        <f>'Grid_Stock'!BV14</f>
        <v/>
      </c>
      <c r="BY1086">
        <f>'Grid_Stock'!BW14</f>
        <v/>
      </c>
      <c r="BZ1086">
        <f>'Grid_Stock'!BX14</f>
        <v/>
      </c>
      <c r="CA1086">
        <f>'Grid_Stock'!BY14</f>
        <v/>
      </c>
      <c r="CB1086">
        <f>'Grid_Stock'!BZ14</f>
        <v/>
      </c>
      <c r="CC1086">
        <f>'Grid_Stock'!CA14</f>
        <v/>
      </c>
      <c r="CD1086">
        <f>'Grid_Stock'!CB14</f>
        <v/>
      </c>
      <c r="CE1086">
        <f>'Grid_Stock'!CC14</f>
        <v/>
      </c>
      <c r="CF1086">
        <f>'Grid_Stock'!CD14</f>
        <v/>
      </c>
      <c r="CG1086">
        <f>'Grid_Stock'!CE14</f>
        <v/>
      </c>
      <c r="CH1086">
        <f>'Grid_Stock'!CF14</f>
        <v/>
      </c>
      <c r="CI1086">
        <f>'Grid_Stock'!CG14</f>
        <v/>
      </c>
      <c r="CJ1086">
        <f>'Grid_Stock'!CH14</f>
        <v/>
      </c>
      <c r="CK1086">
        <f>'Grid_Stock'!CI14</f>
        <v/>
      </c>
      <c r="CL1086">
        <f>'Grid_Stock'!CJ14</f>
        <v/>
      </c>
      <c r="CM1086">
        <f>'Grid_Stock'!CK14</f>
        <v/>
      </c>
      <c r="CN1086">
        <f>'Grid_Stock'!CL14</f>
        <v/>
      </c>
      <c r="CO1086">
        <f>'Grid_Stock'!CM14</f>
        <v/>
      </c>
      <c r="CP1086">
        <f>'Grid_Stock'!CN14</f>
        <v/>
      </c>
      <c r="CQ1086">
        <f>'Grid_Stock'!CO14</f>
        <v/>
      </c>
      <c r="CR1086">
        <f>'Grid_Stock'!CP14</f>
        <v/>
      </c>
      <c r="CS1086">
        <f>'Grid_Stock'!CQ14</f>
        <v/>
      </c>
      <c r="CT1086">
        <f>'Grid_Stock'!CR14</f>
        <v/>
      </c>
      <c r="CU1086">
        <f>'Grid_Stock'!CS14</f>
        <v/>
      </c>
      <c r="CV1086">
        <f>'Grid_Stock'!CT14</f>
        <v/>
      </c>
      <c r="CW1086">
        <f>'Grid_Stock'!CU14</f>
        <v/>
      </c>
      <c r="CX1086">
        <f>'Grid_Stock'!CV14</f>
        <v/>
      </c>
      <c r="CY1086">
        <f>'Grid_Stock'!CW14</f>
        <v/>
      </c>
      <c r="CZ1086">
        <f>'Grid_Stock'!CX14</f>
        <v/>
      </c>
      <c r="DA1086">
        <f>'Grid_Stock'!CY14</f>
        <v/>
      </c>
      <c r="DB1086">
        <f>'Grid_Stock'!CZ14</f>
        <v/>
      </c>
      <c r="DC1086">
        <f>'Grid_Stock'!DA14</f>
        <v/>
      </c>
    </row>
    <row r="1087">
      <c r="B1087" s="16" t="inlineStr">
        <is>
          <t>（発注の目安はDashboardの基準在庫[下限/上限]と色分けを参照）</t>
        </is>
      </c>
    </row>
    <row r="1089">
      <c r="A1089" s="14" t="inlineStr">
        <is>
          <t>PP Film</t>
        </is>
      </c>
      <c r="B1089" s="14" t="inlineStr">
        <is>
          <t>PP Film</t>
        </is>
      </c>
      <c r="C1089" s="15" t="n"/>
      <c r="D1089" s="14" t="n"/>
      <c r="E1089" s="14" t="n"/>
      <c r="F1089" s="14" t="n"/>
      <c r="G1089" s="14" t="n"/>
      <c r="H1089" s="14" t="n"/>
      <c r="I1089" s="14" t="n"/>
      <c r="J1089" s="14" t="n"/>
      <c r="K1089" s="14" t="n"/>
      <c r="L1089" s="14" t="n"/>
      <c r="M1089" s="14" t="n"/>
      <c r="N1089" s="14" t="n"/>
      <c r="O1089" s="14" t="n"/>
      <c r="P1089" s="14" t="n"/>
      <c r="Q1089" s="14" t="n"/>
      <c r="R1089" s="14" t="n"/>
      <c r="S1089" s="14" t="n"/>
      <c r="T1089" s="14" t="n"/>
      <c r="U1089" s="14" t="n"/>
      <c r="V1089" s="14" t="n"/>
      <c r="W1089" s="14" t="n"/>
      <c r="X1089" s="14" t="n"/>
      <c r="Y1089" s="14" t="n"/>
      <c r="Z1089" s="14" t="n"/>
      <c r="AA1089" s="14" t="n"/>
      <c r="AB1089" s="14" t="n"/>
      <c r="AC1089" s="14" t="n"/>
      <c r="AD1089" s="14" t="n"/>
      <c r="AE1089" s="14" t="n"/>
      <c r="AF1089" s="14" t="n"/>
      <c r="AG1089" s="14" t="n"/>
      <c r="AH1089" s="14" t="n"/>
      <c r="AI1089" s="14" t="n"/>
      <c r="AJ1089" s="14" t="n"/>
      <c r="AK1089" s="14" t="n"/>
      <c r="AL1089" s="14" t="n"/>
      <c r="AM1089" s="14" t="n"/>
      <c r="AN1089" s="14" t="n"/>
      <c r="AO1089" s="14" t="n"/>
      <c r="AP1089" s="14" t="n"/>
      <c r="AQ1089" s="14" t="n"/>
      <c r="AR1089" s="14" t="n"/>
      <c r="AS1089" s="14" t="n"/>
      <c r="AT1089" s="14" t="n"/>
      <c r="AU1089" s="14" t="n"/>
      <c r="AV1089" s="14" t="n"/>
      <c r="AW1089" s="14" t="n"/>
      <c r="AX1089" s="14" t="n"/>
      <c r="AY1089" s="14" t="n"/>
      <c r="AZ1089" s="14" t="n"/>
      <c r="BA1089" s="14" t="n"/>
      <c r="BB1089" s="14" t="n"/>
      <c r="BC1089" s="14" t="n"/>
      <c r="BD1089" s="14" t="n"/>
      <c r="BE1089" s="14" t="n"/>
      <c r="BF1089" s="14" t="n"/>
      <c r="BG1089" s="14" t="n"/>
      <c r="BH1089" s="14" t="n"/>
      <c r="BI1089" s="14" t="n"/>
      <c r="BJ1089" s="14" t="n"/>
      <c r="BK1089" s="14" t="n"/>
      <c r="BL1089" s="14" t="n"/>
      <c r="BM1089" s="14" t="n"/>
      <c r="BN1089" s="14" t="n"/>
      <c r="BO1089" s="14" t="n"/>
      <c r="BP1089" s="14" t="n"/>
      <c r="BQ1089" s="14" t="n"/>
      <c r="BR1089" s="14" t="n"/>
      <c r="BS1089" s="14" t="n"/>
      <c r="BT1089" s="14" t="n"/>
      <c r="BU1089" s="14" t="n"/>
      <c r="BV1089" s="14" t="n"/>
      <c r="BW1089" s="14" t="n"/>
      <c r="BX1089" s="14" t="n"/>
      <c r="BY1089" s="14" t="n"/>
      <c r="BZ1089" s="14" t="n"/>
      <c r="CA1089" s="14" t="n"/>
      <c r="CB1089" s="14" t="n"/>
      <c r="CC1089" s="14" t="n"/>
      <c r="CD1089" s="14" t="n"/>
      <c r="CE1089" s="14" t="n"/>
      <c r="CF1089" s="14" t="n"/>
      <c r="CG1089" s="14" t="n"/>
      <c r="CH1089" s="14" t="n"/>
      <c r="CI1089" s="14" t="n"/>
      <c r="CJ1089" s="14" t="n"/>
      <c r="CK1089" s="14" t="n"/>
      <c r="CL1089" s="14" t="n"/>
      <c r="CM1089" s="14" t="n"/>
      <c r="CN1089" s="14" t="n"/>
      <c r="CO1089" s="14" t="n"/>
      <c r="CP1089" s="14" t="n"/>
      <c r="CQ1089" s="14" t="n"/>
      <c r="CR1089" s="14" t="n"/>
      <c r="CS1089" s="14" t="n"/>
      <c r="CT1089" s="14" t="n"/>
      <c r="CU1089" s="14" t="n"/>
      <c r="CV1089" s="14" t="n"/>
      <c r="CW1089" s="14" t="n"/>
      <c r="CX1089" s="14" t="n"/>
      <c r="CY1089" s="14" t="n"/>
      <c r="CZ1089" s="14" t="n"/>
      <c r="DA1089" s="14" t="n"/>
      <c r="DB1089" s="14" t="n"/>
      <c r="DC1089" s="14" t="n"/>
    </row>
    <row r="1090">
      <c r="B1090" t="inlineStr">
        <is>
          <t>PP Film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Name],$A1089)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s="4" t="inlineStr">
        <is>
          <t>合計使用量(kg)/週</t>
        </is>
      </c>
      <c r="D1092">
        <f>'Grid_Requirement'!B39</f>
        <v/>
      </c>
      <c r="E1092">
        <f>'Grid_Requirement'!C39</f>
        <v/>
      </c>
      <c r="F1092">
        <f>'Grid_Requirement'!D39</f>
        <v/>
      </c>
      <c r="G1092">
        <f>'Grid_Requirement'!E39</f>
        <v/>
      </c>
      <c r="H1092">
        <f>'Grid_Requirement'!F39</f>
        <v/>
      </c>
      <c r="I1092">
        <f>'Grid_Requirement'!G39</f>
        <v/>
      </c>
      <c r="J1092">
        <f>'Grid_Requirement'!H39</f>
        <v/>
      </c>
      <c r="K1092">
        <f>'Grid_Requirement'!I39</f>
        <v/>
      </c>
      <c r="L1092">
        <f>'Grid_Requirement'!J39</f>
        <v/>
      </c>
      <c r="M1092">
        <f>'Grid_Requirement'!K39</f>
        <v/>
      </c>
      <c r="N1092">
        <f>'Grid_Requirement'!L39</f>
        <v/>
      </c>
      <c r="O1092">
        <f>'Grid_Requirement'!M39</f>
        <v/>
      </c>
      <c r="P1092">
        <f>'Grid_Requirement'!N39</f>
        <v/>
      </c>
      <c r="Q1092">
        <f>'Grid_Requirement'!O39</f>
        <v/>
      </c>
      <c r="R1092">
        <f>'Grid_Requirement'!P39</f>
        <v/>
      </c>
      <c r="S1092">
        <f>'Grid_Requirement'!Q39</f>
        <v/>
      </c>
      <c r="T1092">
        <f>'Grid_Requirement'!R39</f>
        <v/>
      </c>
      <c r="U1092">
        <f>'Grid_Requirement'!S39</f>
        <v/>
      </c>
      <c r="V1092">
        <f>'Grid_Requirement'!T39</f>
        <v/>
      </c>
      <c r="W1092">
        <f>'Grid_Requirement'!U39</f>
        <v/>
      </c>
      <c r="X1092">
        <f>'Grid_Requirement'!V39</f>
        <v/>
      </c>
      <c r="Y1092">
        <f>'Grid_Requirement'!W39</f>
        <v/>
      </c>
      <c r="Z1092">
        <f>'Grid_Requirement'!X39</f>
        <v/>
      </c>
      <c r="AA1092">
        <f>'Grid_Requirement'!Y39</f>
        <v/>
      </c>
      <c r="AB1092">
        <f>'Grid_Requirement'!Z39</f>
        <v/>
      </c>
      <c r="AC1092">
        <f>'Grid_Requirement'!AA39</f>
        <v/>
      </c>
      <c r="AD1092">
        <f>'Grid_Requirement'!AB39</f>
        <v/>
      </c>
      <c r="AE1092">
        <f>'Grid_Requirement'!AC39</f>
        <v/>
      </c>
      <c r="AF1092">
        <f>'Grid_Requirement'!AD39</f>
        <v/>
      </c>
      <c r="AG1092">
        <f>'Grid_Requirement'!AE39</f>
        <v/>
      </c>
      <c r="AH1092">
        <f>'Grid_Requirement'!AF39</f>
        <v/>
      </c>
      <c r="AI1092">
        <f>'Grid_Requirement'!AG39</f>
        <v/>
      </c>
      <c r="AJ1092">
        <f>'Grid_Requirement'!AH39</f>
        <v/>
      </c>
      <c r="AK1092">
        <f>'Grid_Requirement'!AI39</f>
        <v/>
      </c>
      <c r="AL1092">
        <f>'Grid_Requirement'!AJ39</f>
        <v/>
      </c>
      <c r="AM1092">
        <f>'Grid_Requirement'!AK39</f>
        <v/>
      </c>
      <c r="AN1092">
        <f>'Grid_Requirement'!AL39</f>
        <v/>
      </c>
      <c r="AO1092">
        <f>'Grid_Requirement'!AM39</f>
        <v/>
      </c>
      <c r="AP1092">
        <f>'Grid_Requirement'!AN39</f>
        <v/>
      </c>
      <c r="AQ1092">
        <f>'Grid_Requirement'!AO39</f>
        <v/>
      </c>
      <c r="AR1092">
        <f>'Grid_Requirement'!AP39</f>
        <v/>
      </c>
      <c r="AS1092">
        <f>'Grid_Requirement'!AQ39</f>
        <v/>
      </c>
      <c r="AT1092">
        <f>'Grid_Requirement'!AR39</f>
        <v/>
      </c>
      <c r="AU1092">
        <f>'Grid_Requirement'!AS39</f>
        <v/>
      </c>
      <c r="AV1092">
        <f>'Grid_Requirement'!AT39</f>
        <v/>
      </c>
      <c r="AW1092">
        <f>'Grid_Requirement'!AU39</f>
        <v/>
      </c>
      <c r="AX1092">
        <f>'Grid_Requirement'!AV39</f>
        <v/>
      </c>
      <c r="AY1092">
        <f>'Grid_Requirement'!AW39</f>
        <v/>
      </c>
      <c r="AZ1092">
        <f>'Grid_Requirement'!AX39</f>
        <v/>
      </c>
      <c r="BA1092">
        <f>'Grid_Requirement'!AY39</f>
        <v/>
      </c>
      <c r="BB1092">
        <f>'Grid_Requirement'!AZ39</f>
        <v/>
      </c>
      <c r="BC1092">
        <f>'Grid_Requirement'!BA39</f>
        <v/>
      </c>
      <c r="BD1092">
        <f>'Grid_Requirement'!BB39</f>
        <v/>
      </c>
      <c r="BE1092">
        <f>'Grid_Requirement'!BC39</f>
        <v/>
      </c>
      <c r="BF1092">
        <f>'Grid_Requirement'!BD39</f>
        <v/>
      </c>
      <c r="BG1092">
        <f>'Grid_Requirement'!BE39</f>
        <v/>
      </c>
      <c r="BH1092">
        <f>'Grid_Requirement'!BF39</f>
        <v/>
      </c>
      <c r="BI1092">
        <f>'Grid_Requirement'!BG39</f>
        <v/>
      </c>
      <c r="BJ1092">
        <f>'Grid_Requirement'!BH39</f>
        <v/>
      </c>
      <c r="BK1092">
        <f>'Grid_Requirement'!BI39</f>
        <v/>
      </c>
      <c r="BL1092">
        <f>'Grid_Requirement'!BJ39</f>
        <v/>
      </c>
      <c r="BM1092">
        <f>'Grid_Requirement'!BK39</f>
        <v/>
      </c>
      <c r="BN1092">
        <f>'Grid_Requirement'!BL39</f>
        <v/>
      </c>
      <c r="BO1092">
        <f>'Grid_Requirement'!BM39</f>
        <v/>
      </c>
      <c r="BP1092">
        <f>'Grid_Requirement'!BN39</f>
        <v/>
      </c>
      <c r="BQ1092">
        <f>'Grid_Requirement'!BO39</f>
        <v/>
      </c>
      <c r="BR1092">
        <f>'Grid_Requirement'!BP39</f>
        <v/>
      </c>
      <c r="BS1092">
        <f>'Grid_Requirement'!BQ39</f>
        <v/>
      </c>
      <c r="BT1092">
        <f>'Grid_Requirement'!BR39</f>
        <v/>
      </c>
      <c r="BU1092">
        <f>'Grid_Requirement'!BS39</f>
        <v/>
      </c>
      <c r="BV1092">
        <f>'Grid_Requirement'!BT39</f>
        <v/>
      </c>
      <c r="BW1092">
        <f>'Grid_Requirement'!BU39</f>
        <v/>
      </c>
      <c r="BX1092">
        <f>'Grid_Requirement'!BV39</f>
        <v/>
      </c>
      <c r="BY1092">
        <f>'Grid_Requirement'!BW39</f>
        <v/>
      </c>
      <c r="BZ1092">
        <f>'Grid_Requirement'!BX39</f>
        <v/>
      </c>
      <c r="CA1092">
        <f>'Grid_Requirement'!BY39</f>
        <v/>
      </c>
      <c r="CB1092">
        <f>'Grid_Requirement'!BZ39</f>
        <v/>
      </c>
      <c r="CC1092">
        <f>'Grid_Requirement'!CA39</f>
        <v/>
      </c>
      <c r="CD1092">
        <f>'Grid_Requirement'!CB39</f>
        <v/>
      </c>
      <c r="CE1092">
        <f>'Grid_Requirement'!CC39</f>
        <v/>
      </c>
      <c r="CF1092">
        <f>'Grid_Requirement'!CD39</f>
        <v/>
      </c>
      <c r="CG1092">
        <f>'Grid_Requirement'!CE39</f>
        <v/>
      </c>
      <c r="CH1092">
        <f>'Grid_Requirement'!CF39</f>
        <v/>
      </c>
      <c r="CI1092">
        <f>'Grid_Requirement'!CG39</f>
        <v/>
      </c>
      <c r="CJ1092">
        <f>'Grid_Requirement'!CH39</f>
        <v/>
      </c>
      <c r="CK1092">
        <f>'Grid_Requirement'!CI39</f>
        <v/>
      </c>
      <c r="CL1092">
        <f>'Grid_Requirement'!CJ39</f>
        <v/>
      </c>
      <c r="CM1092">
        <f>'Grid_Requirement'!CK39</f>
        <v/>
      </c>
      <c r="CN1092">
        <f>'Grid_Requirement'!CL39</f>
        <v/>
      </c>
      <c r="CO1092">
        <f>'Grid_Requirement'!CM39</f>
        <v/>
      </c>
      <c r="CP1092">
        <f>'Grid_Requirement'!CN39</f>
        <v/>
      </c>
      <c r="CQ1092">
        <f>'Grid_Requirement'!CO39</f>
        <v/>
      </c>
      <c r="CR1092">
        <f>'Grid_Requirement'!CP39</f>
        <v/>
      </c>
      <c r="CS1092">
        <f>'Grid_Requirement'!CQ39</f>
        <v/>
      </c>
      <c r="CT1092">
        <f>'Grid_Requirement'!CR39</f>
        <v/>
      </c>
      <c r="CU1092">
        <f>'Grid_Requirement'!CS39</f>
        <v/>
      </c>
      <c r="CV1092">
        <f>'Grid_Requirement'!CT39</f>
        <v/>
      </c>
      <c r="CW1092">
        <f>'Grid_Requirement'!CU39</f>
        <v/>
      </c>
      <c r="CX1092">
        <f>'Grid_Requirement'!CV39</f>
        <v/>
      </c>
      <c r="CY1092">
        <f>'Grid_Requirement'!CW39</f>
        <v/>
      </c>
      <c r="CZ1092">
        <f>'Grid_Requirement'!CX39</f>
        <v/>
      </c>
      <c r="DA1092">
        <f>'Grid_Requirement'!CY39</f>
        <v/>
      </c>
      <c r="DB1092">
        <f>'Grid_Requirement'!CZ39</f>
        <v/>
      </c>
      <c r="DC1092">
        <f>'Grid_Requirement'!DA39</f>
        <v/>
      </c>
    </row>
    <row r="1093">
      <c r="B1093" t="inlineStr">
        <is>
          <t>TTAF在庫(実績,kg)</t>
        </is>
      </c>
      <c r="D1093">
        <f>'T_TTAFStock'!B43</f>
        <v/>
      </c>
      <c r="E1093">
        <f>'T_TTAFStock'!C43</f>
        <v/>
      </c>
      <c r="F1093">
        <f>'T_TTAFStock'!D43</f>
        <v/>
      </c>
      <c r="G1093">
        <f>'T_TTAFStock'!E43</f>
        <v/>
      </c>
      <c r="H1093">
        <f>'T_TTAFStock'!F43</f>
        <v/>
      </c>
      <c r="I1093">
        <f>'T_TTAFStock'!G43</f>
        <v/>
      </c>
      <c r="J1093">
        <f>'T_TTAFStock'!H43</f>
        <v/>
      </c>
      <c r="K1093">
        <f>'T_TTAFStock'!I43</f>
        <v/>
      </c>
      <c r="L1093">
        <f>'T_TTAFStock'!J43</f>
        <v/>
      </c>
      <c r="M1093">
        <f>'T_TTAFStock'!K43</f>
        <v/>
      </c>
      <c r="N1093">
        <f>'T_TTAFStock'!L43</f>
        <v/>
      </c>
      <c r="O1093">
        <f>'T_TTAFStock'!M43</f>
        <v/>
      </c>
      <c r="P1093">
        <f>'T_TTAFStock'!N43</f>
        <v/>
      </c>
      <c r="Q1093">
        <f>'T_TTAFStock'!O43</f>
        <v/>
      </c>
      <c r="R1093">
        <f>'T_TTAFStock'!P43</f>
        <v/>
      </c>
      <c r="S1093">
        <f>'T_TTAFStock'!Q43</f>
        <v/>
      </c>
      <c r="T1093">
        <f>'T_TTAFStock'!R43</f>
        <v/>
      </c>
      <c r="U1093">
        <f>'T_TTAFStock'!S43</f>
        <v/>
      </c>
      <c r="V1093">
        <f>'T_TTAFStock'!T43</f>
        <v/>
      </c>
      <c r="W1093">
        <f>'T_TTAFStock'!U43</f>
        <v/>
      </c>
      <c r="X1093">
        <f>'T_TTAFStock'!V43</f>
        <v/>
      </c>
      <c r="Y1093">
        <f>'T_TTAFStock'!W43</f>
        <v/>
      </c>
      <c r="Z1093">
        <f>'T_TTAFStock'!X43</f>
        <v/>
      </c>
      <c r="AA1093">
        <f>'T_TTAFStock'!Y43</f>
        <v/>
      </c>
      <c r="AB1093">
        <f>'T_TTAFStock'!Z43</f>
        <v/>
      </c>
      <c r="AC1093">
        <f>'T_TTAFStock'!AA43</f>
        <v/>
      </c>
      <c r="AD1093">
        <f>'T_TTAFStock'!AB43</f>
        <v/>
      </c>
      <c r="AE1093">
        <f>'T_TTAFStock'!AC43</f>
        <v/>
      </c>
      <c r="AF1093">
        <f>'T_TTAFStock'!AD43</f>
        <v/>
      </c>
      <c r="AG1093">
        <f>'T_TTAFStock'!AE43</f>
        <v/>
      </c>
      <c r="AH1093">
        <f>'T_TTAFStock'!AF43</f>
        <v/>
      </c>
      <c r="AI1093">
        <f>'T_TTAFStock'!AG43</f>
        <v/>
      </c>
      <c r="AJ1093">
        <f>'T_TTAFStock'!AH43</f>
        <v/>
      </c>
      <c r="AK1093">
        <f>'T_TTAFStock'!AI43</f>
        <v/>
      </c>
      <c r="AL1093">
        <f>'T_TTAFStock'!AJ43</f>
        <v/>
      </c>
      <c r="AM1093">
        <f>'T_TTAFStock'!AK43</f>
        <v/>
      </c>
      <c r="AN1093">
        <f>'T_TTAFStock'!AL43</f>
        <v/>
      </c>
      <c r="AO1093">
        <f>'T_TTAFStock'!AM43</f>
        <v/>
      </c>
      <c r="AP1093">
        <f>'T_TTAFStock'!AN43</f>
        <v/>
      </c>
      <c r="AQ1093">
        <f>'T_TTAFStock'!AO43</f>
        <v/>
      </c>
      <c r="AR1093">
        <f>'T_TTAFStock'!AP43</f>
        <v/>
      </c>
      <c r="AS1093">
        <f>'T_TTAFStock'!AQ43</f>
        <v/>
      </c>
      <c r="AT1093">
        <f>'T_TTAFStock'!AR43</f>
        <v/>
      </c>
      <c r="AU1093">
        <f>'T_TTAFStock'!AS43</f>
        <v/>
      </c>
      <c r="AV1093">
        <f>'T_TTAFStock'!AT43</f>
        <v/>
      </c>
      <c r="AW1093">
        <f>'T_TTAFStock'!AU43</f>
        <v/>
      </c>
      <c r="AX1093">
        <f>'T_TTAFStock'!AV43</f>
        <v/>
      </c>
      <c r="AY1093">
        <f>'T_TTAFStock'!AW43</f>
        <v/>
      </c>
      <c r="AZ1093">
        <f>'T_TTAFStock'!AX43</f>
        <v/>
      </c>
      <c r="BA1093">
        <f>'T_TTAFStock'!AY43</f>
        <v/>
      </c>
      <c r="BB1093">
        <f>'T_TTAFStock'!AZ43</f>
        <v/>
      </c>
      <c r="BC1093">
        <f>'T_TTAFStock'!BA43</f>
        <v/>
      </c>
      <c r="BD1093">
        <f>'T_TTAFStock'!BB43</f>
        <v/>
      </c>
      <c r="BE1093">
        <f>'T_TTAFStock'!BC43</f>
        <v/>
      </c>
      <c r="BF1093">
        <f>'T_TTAFStock'!BD43</f>
        <v/>
      </c>
      <c r="BG1093">
        <f>'T_TTAFStock'!BE43</f>
        <v/>
      </c>
      <c r="BH1093">
        <f>'T_TTAFStock'!BF43</f>
        <v/>
      </c>
      <c r="BI1093">
        <f>'T_TTAFStock'!BG43</f>
        <v/>
      </c>
      <c r="BJ1093">
        <f>'T_TTAFStock'!BH43</f>
        <v/>
      </c>
      <c r="BK1093">
        <f>'T_TTAFStock'!BI43</f>
        <v/>
      </c>
      <c r="BL1093">
        <f>'T_TTAFStock'!BJ43</f>
        <v/>
      </c>
      <c r="BM1093">
        <f>'T_TTAFStock'!BK43</f>
        <v/>
      </c>
      <c r="BN1093">
        <f>'T_TTAFStock'!BL43</f>
        <v/>
      </c>
      <c r="BO1093">
        <f>'T_TTAFStock'!BM43</f>
        <v/>
      </c>
      <c r="BP1093">
        <f>'T_TTAFStock'!BN43</f>
        <v/>
      </c>
      <c r="BQ1093">
        <f>'T_TTAFStock'!BO43</f>
        <v/>
      </c>
      <c r="BR1093">
        <f>'T_TTAFStock'!BP43</f>
        <v/>
      </c>
      <c r="BS1093">
        <f>'T_TTAFStock'!BQ43</f>
        <v/>
      </c>
      <c r="BT1093">
        <f>'T_TTAFStock'!BR43</f>
        <v/>
      </c>
      <c r="BU1093">
        <f>'T_TTAFStock'!BS43</f>
        <v/>
      </c>
      <c r="BV1093">
        <f>'T_TTAFStock'!BT43</f>
        <v/>
      </c>
      <c r="BW1093">
        <f>'T_TTAFStock'!BU43</f>
        <v/>
      </c>
      <c r="BX1093">
        <f>'T_TTAFStock'!BV43</f>
        <v/>
      </c>
      <c r="BY1093">
        <f>'T_TTAFStock'!BW43</f>
        <v/>
      </c>
      <c r="BZ1093">
        <f>'T_TTAFStock'!BX43</f>
        <v/>
      </c>
      <c r="CA1093">
        <f>'T_TTAFStock'!BY43</f>
        <v/>
      </c>
      <c r="CB1093">
        <f>'T_TTAFStock'!BZ43</f>
        <v/>
      </c>
      <c r="CC1093">
        <f>'T_TTAFStock'!CA43</f>
        <v/>
      </c>
      <c r="CD1093">
        <f>'T_TTAFStock'!CB43</f>
        <v/>
      </c>
      <c r="CE1093">
        <f>'T_TTAFStock'!CC43</f>
        <v/>
      </c>
      <c r="CF1093">
        <f>'T_TTAFStock'!CD43</f>
        <v/>
      </c>
      <c r="CG1093">
        <f>'T_TTAFStock'!CE43</f>
        <v/>
      </c>
      <c r="CH1093">
        <f>'T_TTAFStock'!CF43</f>
        <v/>
      </c>
      <c r="CI1093">
        <f>'T_TTAFStock'!CG43</f>
        <v/>
      </c>
      <c r="CJ1093">
        <f>'T_TTAFStock'!CH43</f>
        <v/>
      </c>
      <c r="CK1093">
        <f>'T_TTAFStock'!CI43</f>
        <v/>
      </c>
      <c r="CL1093">
        <f>'T_TTAFStock'!CJ43</f>
        <v/>
      </c>
      <c r="CM1093">
        <f>'T_TTAFStock'!CK43</f>
        <v/>
      </c>
      <c r="CN1093">
        <f>'T_TTAFStock'!CL43</f>
        <v/>
      </c>
      <c r="CO1093">
        <f>'T_TTAFStock'!CM43</f>
        <v/>
      </c>
      <c r="CP1093">
        <f>'T_TTAFStock'!CN43</f>
        <v/>
      </c>
      <c r="CQ1093">
        <f>'T_TTAFStock'!CO43</f>
        <v/>
      </c>
      <c r="CR1093">
        <f>'T_TTAFStock'!CP43</f>
        <v/>
      </c>
      <c r="CS1093">
        <f>'T_TTAFStock'!CQ43</f>
        <v/>
      </c>
      <c r="CT1093">
        <f>'T_TTAFStock'!CR43</f>
        <v/>
      </c>
      <c r="CU1093">
        <f>'T_TTAFStock'!CS43</f>
        <v/>
      </c>
      <c r="CV1093">
        <f>'T_TTAFStock'!CT43</f>
        <v/>
      </c>
      <c r="CW1093">
        <f>'T_TTAFStock'!CU43</f>
        <v/>
      </c>
      <c r="CX1093">
        <f>'T_TTAFStock'!CV43</f>
        <v/>
      </c>
      <c r="CY1093">
        <f>'T_TTAFStock'!CW43</f>
        <v/>
      </c>
      <c r="CZ1093">
        <f>'T_TTAFStock'!CX43</f>
        <v/>
      </c>
      <c r="DA1093">
        <f>'T_TTAFStock'!CY43</f>
        <v/>
      </c>
      <c r="DB1093">
        <f>'T_TTAFStock'!CZ43</f>
        <v/>
      </c>
      <c r="DC1093">
        <f>'T_TTAFStock'!DA43</f>
        <v/>
      </c>
    </row>
    <row r="1094">
      <c r="B1094" t="inlineStr">
        <is>
          <t>自社在庫(実績,kg)</t>
        </is>
      </c>
      <c r="D1094">
        <f>'T_SelfStock'!B43</f>
        <v/>
      </c>
      <c r="E1094">
        <f>'T_SelfStock'!C43</f>
        <v/>
      </c>
      <c r="F1094">
        <f>'T_SelfStock'!D43</f>
        <v/>
      </c>
      <c r="G1094">
        <f>'T_SelfStock'!E43</f>
        <v/>
      </c>
      <c r="H1094">
        <f>'T_SelfStock'!F43</f>
        <v/>
      </c>
      <c r="I1094">
        <f>'T_SelfStock'!G43</f>
        <v/>
      </c>
      <c r="J1094">
        <f>'T_SelfStock'!H43</f>
        <v/>
      </c>
      <c r="K1094">
        <f>'T_SelfStock'!I43</f>
        <v/>
      </c>
      <c r="L1094">
        <f>'T_SelfStock'!J43</f>
        <v/>
      </c>
      <c r="M1094">
        <f>'T_SelfStock'!K43</f>
        <v/>
      </c>
      <c r="N1094">
        <f>'T_SelfStock'!L43</f>
        <v/>
      </c>
      <c r="O1094">
        <f>'T_SelfStock'!M43</f>
        <v/>
      </c>
      <c r="P1094">
        <f>'T_SelfStock'!N43</f>
        <v/>
      </c>
      <c r="Q1094">
        <f>'T_SelfStock'!O43</f>
        <v/>
      </c>
      <c r="R1094">
        <f>'T_SelfStock'!P43</f>
        <v/>
      </c>
      <c r="S1094">
        <f>'T_SelfStock'!Q43</f>
        <v/>
      </c>
      <c r="T1094">
        <f>'T_SelfStock'!R43</f>
        <v/>
      </c>
      <c r="U1094">
        <f>'T_SelfStock'!S43</f>
        <v/>
      </c>
      <c r="V1094">
        <f>'T_SelfStock'!T43</f>
        <v/>
      </c>
      <c r="W1094">
        <f>'T_SelfStock'!U43</f>
        <v/>
      </c>
      <c r="X1094">
        <f>'T_SelfStock'!V43</f>
        <v/>
      </c>
      <c r="Y1094">
        <f>'T_SelfStock'!W43</f>
        <v/>
      </c>
      <c r="Z1094">
        <f>'T_SelfStock'!X43</f>
        <v/>
      </c>
      <c r="AA1094">
        <f>'T_SelfStock'!Y43</f>
        <v/>
      </c>
      <c r="AB1094">
        <f>'T_SelfStock'!Z43</f>
        <v/>
      </c>
      <c r="AC1094">
        <f>'T_SelfStock'!AA43</f>
        <v/>
      </c>
      <c r="AD1094">
        <f>'T_SelfStock'!AB43</f>
        <v/>
      </c>
      <c r="AE1094">
        <f>'T_SelfStock'!AC43</f>
        <v/>
      </c>
      <c r="AF1094">
        <f>'T_SelfStock'!AD43</f>
        <v/>
      </c>
      <c r="AG1094">
        <f>'T_SelfStock'!AE43</f>
        <v/>
      </c>
      <c r="AH1094">
        <f>'T_SelfStock'!AF43</f>
        <v/>
      </c>
      <c r="AI1094">
        <f>'T_SelfStock'!AG43</f>
        <v/>
      </c>
      <c r="AJ1094">
        <f>'T_SelfStock'!AH43</f>
        <v/>
      </c>
      <c r="AK1094">
        <f>'T_SelfStock'!AI43</f>
        <v/>
      </c>
      <c r="AL1094">
        <f>'T_SelfStock'!AJ43</f>
        <v/>
      </c>
      <c r="AM1094">
        <f>'T_SelfStock'!AK43</f>
        <v/>
      </c>
      <c r="AN1094">
        <f>'T_SelfStock'!AL43</f>
        <v/>
      </c>
      <c r="AO1094">
        <f>'T_SelfStock'!AM43</f>
        <v/>
      </c>
      <c r="AP1094">
        <f>'T_SelfStock'!AN43</f>
        <v/>
      </c>
      <c r="AQ1094">
        <f>'T_SelfStock'!AO43</f>
        <v/>
      </c>
      <c r="AR1094">
        <f>'T_SelfStock'!AP43</f>
        <v/>
      </c>
      <c r="AS1094">
        <f>'T_SelfStock'!AQ43</f>
        <v/>
      </c>
      <c r="AT1094">
        <f>'T_SelfStock'!AR43</f>
        <v/>
      </c>
      <c r="AU1094">
        <f>'T_SelfStock'!AS43</f>
        <v/>
      </c>
      <c r="AV1094">
        <f>'T_SelfStock'!AT43</f>
        <v/>
      </c>
      <c r="AW1094">
        <f>'T_SelfStock'!AU43</f>
        <v/>
      </c>
      <c r="AX1094">
        <f>'T_SelfStock'!AV43</f>
        <v/>
      </c>
      <c r="AY1094">
        <f>'T_SelfStock'!AW43</f>
        <v/>
      </c>
      <c r="AZ1094">
        <f>'T_SelfStock'!AX43</f>
        <v/>
      </c>
      <c r="BA1094">
        <f>'T_SelfStock'!AY43</f>
        <v/>
      </c>
      <c r="BB1094">
        <f>'T_SelfStock'!AZ43</f>
        <v/>
      </c>
      <c r="BC1094">
        <f>'T_SelfStock'!BA43</f>
        <v/>
      </c>
      <c r="BD1094">
        <f>'T_SelfStock'!BB43</f>
        <v/>
      </c>
      <c r="BE1094">
        <f>'T_SelfStock'!BC43</f>
        <v/>
      </c>
      <c r="BF1094">
        <f>'T_SelfStock'!BD43</f>
        <v/>
      </c>
      <c r="BG1094">
        <f>'T_SelfStock'!BE43</f>
        <v/>
      </c>
      <c r="BH1094">
        <f>'T_SelfStock'!BF43</f>
        <v/>
      </c>
      <c r="BI1094">
        <f>'T_SelfStock'!BG43</f>
        <v/>
      </c>
      <c r="BJ1094">
        <f>'T_SelfStock'!BH43</f>
        <v/>
      </c>
      <c r="BK1094">
        <f>'T_SelfStock'!BI43</f>
        <v/>
      </c>
      <c r="BL1094">
        <f>'T_SelfStock'!BJ43</f>
        <v/>
      </c>
      <c r="BM1094">
        <f>'T_SelfStock'!BK43</f>
        <v/>
      </c>
      <c r="BN1094">
        <f>'T_SelfStock'!BL43</f>
        <v/>
      </c>
      <c r="BO1094">
        <f>'T_SelfStock'!BM43</f>
        <v/>
      </c>
      <c r="BP1094">
        <f>'T_SelfStock'!BN43</f>
        <v/>
      </c>
      <c r="BQ1094">
        <f>'T_SelfStock'!BO43</f>
        <v/>
      </c>
      <c r="BR1094">
        <f>'T_SelfStock'!BP43</f>
        <v/>
      </c>
      <c r="BS1094">
        <f>'T_SelfStock'!BQ43</f>
        <v/>
      </c>
      <c r="BT1094">
        <f>'T_SelfStock'!BR43</f>
        <v/>
      </c>
      <c r="BU1094">
        <f>'T_SelfStock'!BS43</f>
        <v/>
      </c>
      <c r="BV1094">
        <f>'T_SelfStock'!BT43</f>
        <v/>
      </c>
      <c r="BW1094">
        <f>'T_SelfStock'!BU43</f>
        <v/>
      </c>
      <c r="BX1094">
        <f>'T_SelfStock'!BV43</f>
        <v/>
      </c>
      <c r="BY1094">
        <f>'T_SelfStock'!BW43</f>
        <v/>
      </c>
      <c r="BZ1094">
        <f>'T_SelfStock'!BX43</f>
        <v/>
      </c>
      <c r="CA1094">
        <f>'T_SelfStock'!BY43</f>
        <v/>
      </c>
      <c r="CB1094">
        <f>'T_SelfStock'!BZ43</f>
        <v/>
      </c>
      <c r="CC1094">
        <f>'T_SelfStock'!CA43</f>
        <v/>
      </c>
      <c r="CD1094">
        <f>'T_SelfStock'!CB43</f>
        <v/>
      </c>
      <c r="CE1094">
        <f>'T_SelfStock'!CC43</f>
        <v/>
      </c>
      <c r="CF1094">
        <f>'T_SelfStock'!CD43</f>
        <v/>
      </c>
      <c r="CG1094">
        <f>'T_SelfStock'!CE43</f>
        <v/>
      </c>
      <c r="CH1094">
        <f>'T_SelfStock'!CF43</f>
        <v/>
      </c>
      <c r="CI1094">
        <f>'T_SelfStock'!CG43</f>
        <v/>
      </c>
      <c r="CJ1094">
        <f>'T_SelfStock'!CH43</f>
        <v/>
      </c>
      <c r="CK1094">
        <f>'T_SelfStock'!CI43</f>
        <v/>
      </c>
      <c r="CL1094">
        <f>'T_SelfStock'!CJ43</f>
        <v/>
      </c>
      <c r="CM1094">
        <f>'T_SelfStock'!CK43</f>
        <v/>
      </c>
      <c r="CN1094">
        <f>'T_SelfStock'!CL43</f>
        <v/>
      </c>
      <c r="CO1094">
        <f>'T_SelfStock'!CM43</f>
        <v/>
      </c>
      <c r="CP1094">
        <f>'T_SelfStock'!CN43</f>
        <v/>
      </c>
      <c r="CQ1094">
        <f>'T_SelfStock'!CO43</f>
        <v/>
      </c>
      <c r="CR1094">
        <f>'T_SelfStock'!CP43</f>
        <v/>
      </c>
      <c r="CS1094">
        <f>'T_SelfStock'!CQ43</f>
        <v/>
      </c>
      <c r="CT1094">
        <f>'T_SelfStock'!CR43</f>
        <v/>
      </c>
      <c r="CU1094">
        <f>'T_SelfStock'!CS43</f>
        <v/>
      </c>
      <c r="CV1094">
        <f>'T_SelfStock'!CT43</f>
        <v/>
      </c>
      <c r="CW1094">
        <f>'T_SelfStock'!CU43</f>
        <v/>
      </c>
      <c r="CX1094">
        <f>'T_SelfStock'!CV43</f>
        <v/>
      </c>
      <c r="CY1094">
        <f>'T_SelfStock'!CW43</f>
        <v/>
      </c>
      <c r="CZ1094">
        <f>'T_SelfStock'!CX43</f>
        <v/>
      </c>
      <c r="DA1094">
        <f>'T_SelfStock'!CY43</f>
        <v/>
      </c>
      <c r="DB1094">
        <f>'T_SelfStock'!CZ43</f>
        <v/>
      </c>
      <c r="DC1094">
        <f>'T_SelfStock'!DA43</f>
        <v/>
      </c>
    </row>
    <row r="1095">
      <c r="B1095" t="inlineStr">
        <is>
          <t>Order(発注予定,kg)</t>
        </is>
      </c>
      <c r="D1095">
        <f>IF(SUMIFS(T_PlannedOrders[EffectiveQty],T_PlannedOrders[Part Name],$A1089,T_PlannedOrders[WeekIndex],1)=0,"",SUMIFS(T_PlannedOrders[EffectiveQty],T_PlannedOrders[Part Name],$A1089,T_PlannedOrders[WeekIndex],1)&amp;" ("&amp;TEXT(SUMPRODUCT(MAX((T_PlannedOrders[Part Name]=$A1089)*(T_PlannedOrders[WeekIndex]=1)*(T_PlannedOrders[EffectiveQty]&gt;0)*T_PlannedOrders[Order_Month])),"m月")&amp;"発注)")</f>
        <v/>
      </c>
      <c r="E1095">
        <f>IF(SUMIFS(T_PlannedOrders[EffectiveQty],T_PlannedOrders[Part Name],$A1089,T_PlannedOrders[WeekIndex],2)=0,"",SUMIFS(T_PlannedOrders[EffectiveQty],T_PlannedOrders[Part Name],$A1089,T_PlannedOrders[WeekIndex],2)&amp;" ("&amp;TEXT(SUMPRODUCT(MAX((T_PlannedOrders[Part Name]=$A1089)*(T_PlannedOrders[WeekIndex]=2)*(T_PlannedOrders[EffectiveQty]&gt;0)*T_PlannedOrders[Order_Month])),"m月")&amp;"発注)")</f>
        <v/>
      </c>
      <c r="F1095">
        <f>IF(SUMIFS(T_PlannedOrders[EffectiveQty],T_PlannedOrders[Part Name],$A1089,T_PlannedOrders[WeekIndex],3)=0,"",SUMIFS(T_PlannedOrders[EffectiveQty],T_PlannedOrders[Part Name],$A1089,T_PlannedOrders[WeekIndex],3)&amp;" ("&amp;TEXT(SUMPRODUCT(MAX((T_PlannedOrders[Part Name]=$A1089)*(T_PlannedOrders[WeekIndex]=3)*(T_PlannedOrders[EffectiveQty]&gt;0)*T_PlannedOrders[Order_Month])),"m月")&amp;"発注)")</f>
        <v/>
      </c>
      <c r="G1095">
        <f>IF(SUMIFS(T_PlannedOrders[EffectiveQty],T_PlannedOrders[Part Name],$A1089,T_PlannedOrders[WeekIndex],4)=0,"",SUMIFS(T_PlannedOrders[EffectiveQty],T_PlannedOrders[Part Name],$A1089,T_PlannedOrders[WeekIndex],4)&amp;" ("&amp;TEXT(SUMPRODUCT(MAX((T_PlannedOrders[Part Name]=$A1089)*(T_PlannedOrders[WeekIndex]=4)*(T_PlannedOrders[EffectiveQty]&gt;0)*T_PlannedOrders[Order_Month])),"m月")&amp;"発注)")</f>
        <v/>
      </c>
      <c r="H1095">
        <f>IF(SUMIFS(T_PlannedOrders[EffectiveQty],T_PlannedOrders[Part Name],$A1089,T_PlannedOrders[WeekIndex],5)=0,"",SUMIFS(T_PlannedOrders[EffectiveQty],T_PlannedOrders[Part Name],$A1089,T_PlannedOrders[WeekIndex],5)&amp;" ("&amp;TEXT(SUMPRODUCT(MAX((T_PlannedOrders[Part Name]=$A1089)*(T_PlannedOrders[WeekIndex]=5)*(T_PlannedOrders[EffectiveQty]&gt;0)*T_PlannedOrders[Order_Month])),"m月")&amp;"発注)")</f>
        <v/>
      </c>
      <c r="I1095">
        <f>IF(SUMIFS(T_PlannedOrders[EffectiveQty],T_PlannedOrders[Part Name],$A1089,T_PlannedOrders[WeekIndex],6)=0,"",SUMIFS(T_PlannedOrders[EffectiveQty],T_PlannedOrders[Part Name],$A1089,T_PlannedOrders[WeekIndex],6)&amp;" ("&amp;TEXT(SUMPRODUCT(MAX((T_PlannedOrders[Part Name]=$A1089)*(T_PlannedOrders[WeekIndex]=6)*(T_PlannedOrders[EffectiveQty]&gt;0)*T_PlannedOrders[Order_Month])),"m月")&amp;"発注)")</f>
        <v/>
      </c>
      <c r="J1095">
        <f>IF(SUMIFS(T_PlannedOrders[EffectiveQty],T_PlannedOrders[Part Name],$A1089,T_PlannedOrders[WeekIndex],7)=0,"",SUMIFS(T_PlannedOrders[EffectiveQty],T_PlannedOrders[Part Name],$A1089,T_PlannedOrders[WeekIndex],7)&amp;" ("&amp;TEXT(SUMPRODUCT(MAX((T_PlannedOrders[Part Name]=$A1089)*(T_PlannedOrders[WeekIndex]=7)*(T_PlannedOrders[EffectiveQty]&gt;0)*T_PlannedOrders[Order_Month])),"m月")&amp;"発注)")</f>
        <v/>
      </c>
      <c r="K1095">
        <f>IF(SUMIFS(T_PlannedOrders[EffectiveQty],T_PlannedOrders[Part Name],$A1089,T_PlannedOrders[WeekIndex],8)=0,"",SUMIFS(T_PlannedOrders[EffectiveQty],T_PlannedOrders[Part Name],$A1089,T_PlannedOrders[WeekIndex],8)&amp;" ("&amp;TEXT(SUMPRODUCT(MAX((T_PlannedOrders[Part Name]=$A1089)*(T_PlannedOrders[WeekIndex]=8)*(T_PlannedOrders[EffectiveQty]&gt;0)*T_PlannedOrders[Order_Month])),"m月")&amp;"発注)")</f>
        <v/>
      </c>
      <c r="L1095">
        <f>IF(SUMIFS(T_PlannedOrders[EffectiveQty],T_PlannedOrders[Part Name],$A1089,T_PlannedOrders[WeekIndex],9)=0,"",SUMIFS(T_PlannedOrders[EffectiveQty],T_PlannedOrders[Part Name],$A1089,T_PlannedOrders[WeekIndex],9)&amp;" ("&amp;TEXT(SUMPRODUCT(MAX((T_PlannedOrders[Part Name]=$A1089)*(T_PlannedOrders[WeekIndex]=9)*(T_PlannedOrders[EffectiveQty]&gt;0)*T_PlannedOrders[Order_Month])),"m月")&amp;"発注)")</f>
        <v/>
      </c>
      <c r="M1095">
        <f>IF(SUMIFS(T_PlannedOrders[EffectiveQty],T_PlannedOrders[Part Name],$A1089,T_PlannedOrders[WeekIndex],10)=0,"",SUMIFS(T_PlannedOrders[EffectiveQty],T_PlannedOrders[Part Name],$A1089,T_PlannedOrders[WeekIndex],10)&amp;" ("&amp;TEXT(SUMPRODUCT(MAX((T_PlannedOrders[Part Name]=$A1089)*(T_PlannedOrders[WeekIndex]=10)*(T_PlannedOrders[EffectiveQty]&gt;0)*T_PlannedOrders[Order_Month])),"m月")&amp;"発注)")</f>
        <v/>
      </c>
      <c r="N1095">
        <f>IF(SUMIFS(T_PlannedOrders[EffectiveQty],T_PlannedOrders[Part Name],$A1089,T_PlannedOrders[WeekIndex],11)=0,"",SUMIFS(T_PlannedOrders[EffectiveQty],T_PlannedOrders[Part Name],$A1089,T_PlannedOrders[WeekIndex],11)&amp;" ("&amp;TEXT(SUMPRODUCT(MAX((T_PlannedOrders[Part Name]=$A1089)*(T_PlannedOrders[WeekIndex]=11)*(T_PlannedOrders[EffectiveQty]&gt;0)*T_PlannedOrders[Order_Month])),"m月")&amp;"発注)")</f>
        <v/>
      </c>
      <c r="O1095">
        <f>IF(SUMIFS(T_PlannedOrders[EffectiveQty],T_PlannedOrders[Part Name],$A1089,T_PlannedOrders[WeekIndex],12)=0,"",SUMIFS(T_PlannedOrders[EffectiveQty],T_PlannedOrders[Part Name],$A1089,T_PlannedOrders[WeekIndex],12)&amp;" ("&amp;TEXT(SUMPRODUCT(MAX((T_PlannedOrders[Part Name]=$A1089)*(T_PlannedOrders[WeekIndex]=12)*(T_PlannedOrders[EffectiveQty]&gt;0)*T_PlannedOrders[Order_Month])),"m月")&amp;"発注)")</f>
        <v/>
      </c>
      <c r="P1095">
        <f>IF(SUMIFS(T_PlannedOrders[EffectiveQty],T_PlannedOrders[Part Name],$A1089,T_PlannedOrders[WeekIndex],13)=0,"",SUMIFS(T_PlannedOrders[EffectiveQty],T_PlannedOrders[Part Name],$A1089,T_PlannedOrders[WeekIndex],13)&amp;" ("&amp;TEXT(SUMPRODUCT(MAX((T_PlannedOrders[Part Name]=$A1089)*(T_PlannedOrders[WeekIndex]=13)*(T_PlannedOrders[EffectiveQty]&gt;0)*T_PlannedOrders[Order_Month])),"m月")&amp;"発注)")</f>
        <v/>
      </c>
      <c r="Q1095">
        <f>IF(SUMIFS(T_PlannedOrders[EffectiveQty],T_PlannedOrders[Part Name],$A1089,T_PlannedOrders[WeekIndex],14)=0,"",SUMIFS(T_PlannedOrders[EffectiveQty],T_PlannedOrders[Part Name],$A1089,T_PlannedOrders[WeekIndex],14)&amp;" ("&amp;TEXT(SUMPRODUCT(MAX((T_PlannedOrders[Part Name]=$A1089)*(T_PlannedOrders[WeekIndex]=14)*(T_PlannedOrders[EffectiveQty]&gt;0)*T_PlannedOrders[Order_Month])),"m月")&amp;"発注)")</f>
        <v/>
      </c>
      <c r="R1095">
        <f>IF(SUMIFS(T_PlannedOrders[EffectiveQty],T_PlannedOrders[Part Name],$A1089,T_PlannedOrders[WeekIndex],15)=0,"",SUMIFS(T_PlannedOrders[EffectiveQty],T_PlannedOrders[Part Name],$A1089,T_PlannedOrders[WeekIndex],15)&amp;" ("&amp;TEXT(SUMPRODUCT(MAX((T_PlannedOrders[Part Name]=$A1089)*(T_PlannedOrders[WeekIndex]=15)*(T_PlannedOrders[EffectiveQty]&gt;0)*T_PlannedOrders[Order_Month])),"m月")&amp;"発注)")</f>
        <v/>
      </c>
      <c r="S1095">
        <f>IF(SUMIFS(T_PlannedOrders[EffectiveQty],T_PlannedOrders[Part Name],$A1089,T_PlannedOrders[WeekIndex],16)=0,"",SUMIFS(T_PlannedOrders[EffectiveQty],T_PlannedOrders[Part Name],$A1089,T_PlannedOrders[WeekIndex],16)&amp;" ("&amp;TEXT(SUMPRODUCT(MAX((T_PlannedOrders[Part Name]=$A1089)*(T_PlannedOrders[WeekIndex]=16)*(T_PlannedOrders[EffectiveQty]&gt;0)*T_PlannedOrders[Order_Month])),"m月")&amp;"発注)")</f>
        <v/>
      </c>
      <c r="T1095">
        <f>IF(SUMIFS(T_PlannedOrders[EffectiveQty],T_PlannedOrders[Part Name],$A1089,T_PlannedOrders[WeekIndex],17)=0,"",SUMIFS(T_PlannedOrders[EffectiveQty],T_PlannedOrders[Part Name],$A1089,T_PlannedOrders[WeekIndex],17)&amp;" ("&amp;TEXT(SUMPRODUCT(MAX((T_PlannedOrders[Part Name]=$A1089)*(T_PlannedOrders[WeekIndex]=17)*(T_PlannedOrders[EffectiveQty]&gt;0)*T_PlannedOrders[Order_Month])),"m月")&amp;"発注)")</f>
        <v/>
      </c>
      <c r="U1095">
        <f>IF(SUMIFS(T_PlannedOrders[EffectiveQty],T_PlannedOrders[Part Name],$A1089,T_PlannedOrders[WeekIndex],18)=0,"",SUMIFS(T_PlannedOrders[EffectiveQty],T_PlannedOrders[Part Name],$A1089,T_PlannedOrders[WeekIndex],18)&amp;" ("&amp;TEXT(SUMPRODUCT(MAX((T_PlannedOrders[Part Name]=$A1089)*(T_PlannedOrders[WeekIndex]=18)*(T_PlannedOrders[EffectiveQty]&gt;0)*T_PlannedOrders[Order_Month])),"m月")&amp;"発注)")</f>
        <v/>
      </c>
      <c r="V1095">
        <f>IF(SUMIFS(T_PlannedOrders[EffectiveQty],T_PlannedOrders[Part Name],$A1089,T_PlannedOrders[WeekIndex],19)=0,"",SUMIFS(T_PlannedOrders[EffectiveQty],T_PlannedOrders[Part Name],$A1089,T_PlannedOrders[WeekIndex],19)&amp;" ("&amp;TEXT(SUMPRODUCT(MAX((T_PlannedOrders[Part Name]=$A1089)*(T_PlannedOrders[WeekIndex]=19)*(T_PlannedOrders[EffectiveQty]&gt;0)*T_PlannedOrders[Order_Month])),"m月")&amp;"発注)")</f>
        <v/>
      </c>
      <c r="W1095">
        <f>IF(SUMIFS(T_PlannedOrders[EffectiveQty],T_PlannedOrders[Part Name],$A1089,T_PlannedOrders[WeekIndex],20)=0,"",SUMIFS(T_PlannedOrders[EffectiveQty],T_PlannedOrders[Part Name],$A1089,T_PlannedOrders[WeekIndex],20)&amp;" ("&amp;TEXT(SUMPRODUCT(MAX((T_PlannedOrders[Part Name]=$A1089)*(T_PlannedOrders[WeekIndex]=20)*(T_PlannedOrders[EffectiveQty]&gt;0)*T_PlannedOrders[Order_Month])),"m月")&amp;"発注)")</f>
        <v/>
      </c>
      <c r="X1095">
        <f>IF(SUMIFS(T_PlannedOrders[EffectiveQty],T_PlannedOrders[Part Name],$A1089,T_PlannedOrders[WeekIndex],21)=0,"",SUMIFS(T_PlannedOrders[EffectiveQty],T_PlannedOrders[Part Name],$A1089,T_PlannedOrders[WeekIndex],21)&amp;" ("&amp;TEXT(SUMPRODUCT(MAX((T_PlannedOrders[Part Name]=$A1089)*(T_PlannedOrders[WeekIndex]=21)*(T_PlannedOrders[EffectiveQty]&gt;0)*T_PlannedOrders[Order_Month])),"m月")&amp;"発注)")</f>
        <v/>
      </c>
      <c r="Y1095">
        <f>IF(SUMIFS(T_PlannedOrders[EffectiveQty],T_PlannedOrders[Part Name],$A1089,T_PlannedOrders[WeekIndex],22)=0,"",SUMIFS(T_PlannedOrders[EffectiveQty],T_PlannedOrders[Part Name],$A1089,T_PlannedOrders[WeekIndex],22)&amp;" ("&amp;TEXT(SUMPRODUCT(MAX((T_PlannedOrders[Part Name]=$A1089)*(T_PlannedOrders[WeekIndex]=22)*(T_PlannedOrders[EffectiveQty]&gt;0)*T_PlannedOrders[Order_Month])),"m月")&amp;"発注)")</f>
        <v/>
      </c>
      <c r="Z1095">
        <f>IF(SUMIFS(T_PlannedOrders[EffectiveQty],T_PlannedOrders[Part Name],$A1089,T_PlannedOrders[WeekIndex],23)=0,"",SUMIFS(T_PlannedOrders[EffectiveQty],T_PlannedOrders[Part Name],$A1089,T_PlannedOrders[WeekIndex],23)&amp;" ("&amp;TEXT(SUMPRODUCT(MAX((T_PlannedOrders[Part Name]=$A1089)*(T_PlannedOrders[WeekIndex]=23)*(T_PlannedOrders[EffectiveQty]&gt;0)*T_PlannedOrders[Order_Month])),"m月")&amp;"発注)")</f>
        <v/>
      </c>
      <c r="AA1095">
        <f>IF(SUMIFS(T_PlannedOrders[EffectiveQty],T_PlannedOrders[Part Name],$A1089,T_PlannedOrders[WeekIndex],24)=0,"",SUMIFS(T_PlannedOrders[EffectiveQty],T_PlannedOrders[Part Name],$A1089,T_PlannedOrders[WeekIndex],24)&amp;" ("&amp;TEXT(SUMPRODUCT(MAX((T_PlannedOrders[Part Name]=$A1089)*(T_PlannedOrders[WeekIndex]=24)*(T_PlannedOrders[EffectiveQty]&gt;0)*T_PlannedOrders[Order_Month])),"m月")&amp;"発注)")</f>
        <v/>
      </c>
      <c r="AB1095">
        <f>IF(SUMIFS(T_PlannedOrders[EffectiveQty],T_PlannedOrders[Part Name],$A1089,T_PlannedOrders[WeekIndex],25)=0,"",SUMIFS(T_PlannedOrders[EffectiveQty],T_PlannedOrders[Part Name],$A1089,T_PlannedOrders[WeekIndex],25)&amp;" ("&amp;TEXT(SUMPRODUCT(MAX((T_PlannedOrders[Part Name]=$A1089)*(T_PlannedOrders[WeekIndex]=25)*(T_PlannedOrders[EffectiveQty]&gt;0)*T_PlannedOrders[Order_Month])),"m月")&amp;"発注)")</f>
        <v/>
      </c>
      <c r="AC1095">
        <f>IF(SUMIFS(T_PlannedOrders[EffectiveQty],T_PlannedOrders[Part Name],$A1089,T_PlannedOrders[WeekIndex],26)=0,"",SUMIFS(T_PlannedOrders[EffectiveQty],T_PlannedOrders[Part Name],$A1089,T_PlannedOrders[WeekIndex],26)&amp;" ("&amp;TEXT(SUMPRODUCT(MAX((T_PlannedOrders[Part Name]=$A1089)*(T_PlannedOrders[WeekIndex]=26)*(T_PlannedOrders[EffectiveQty]&gt;0)*T_PlannedOrders[Order_Month])),"m月")&amp;"発注)")</f>
        <v/>
      </c>
      <c r="AD1095">
        <f>IF(SUMIFS(T_PlannedOrders[EffectiveQty],T_PlannedOrders[Part Name],$A1089,T_PlannedOrders[WeekIndex],27)=0,"",SUMIFS(T_PlannedOrders[EffectiveQty],T_PlannedOrders[Part Name],$A1089,T_PlannedOrders[WeekIndex],27)&amp;" ("&amp;TEXT(SUMPRODUCT(MAX((T_PlannedOrders[Part Name]=$A1089)*(T_PlannedOrders[WeekIndex]=27)*(T_PlannedOrders[EffectiveQty]&gt;0)*T_PlannedOrders[Order_Month])),"m月")&amp;"発注)")</f>
        <v/>
      </c>
      <c r="AE1095">
        <f>IF(SUMIFS(T_PlannedOrders[EffectiveQty],T_PlannedOrders[Part Name],$A1089,T_PlannedOrders[WeekIndex],28)=0,"",SUMIFS(T_PlannedOrders[EffectiveQty],T_PlannedOrders[Part Name],$A1089,T_PlannedOrders[WeekIndex],28)&amp;" ("&amp;TEXT(SUMPRODUCT(MAX((T_PlannedOrders[Part Name]=$A1089)*(T_PlannedOrders[WeekIndex]=28)*(T_PlannedOrders[EffectiveQty]&gt;0)*T_PlannedOrders[Order_Month])),"m月")&amp;"発注)")</f>
        <v/>
      </c>
      <c r="AF1095">
        <f>IF(SUMIFS(T_PlannedOrders[EffectiveQty],T_PlannedOrders[Part Name],$A1089,T_PlannedOrders[WeekIndex],29)=0,"",SUMIFS(T_PlannedOrders[EffectiveQty],T_PlannedOrders[Part Name],$A1089,T_PlannedOrders[WeekIndex],29)&amp;" ("&amp;TEXT(SUMPRODUCT(MAX((T_PlannedOrders[Part Name]=$A1089)*(T_PlannedOrders[WeekIndex]=29)*(T_PlannedOrders[EffectiveQty]&gt;0)*T_PlannedOrders[Order_Month])),"m月")&amp;"発注)")</f>
        <v/>
      </c>
      <c r="AG1095">
        <f>IF(SUMIFS(T_PlannedOrders[EffectiveQty],T_PlannedOrders[Part Name],$A1089,T_PlannedOrders[WeekIndex],30)=0,"",SUMIFS(T_PlannedOrders[EffectiveQty],T_PlannedOrders[Part Name],$A1089,T_PlannedOrders[WeekIndex],30)&amp;" ("&amp;TEXT(SUMPRODUCT(MAX((T_PlannedOrders[Part Name]=$A1089)*(T_PlannedOrders[WeekIndex]=30)*(T_PlannedOrders[EffectiveQty]&gt;0)*T_PlannedOrders[Order_Month])),"m月")&amp;"発注)")</f>
        <v/>
      </c>
      <c r="AH1095">
        <f>IF(SUMIFS(T_PlannedOrders[EffectiveQty],T_PlannedOrders[Part Name],$A1089,T_PlannedOrders[WeekIndex],31)=0,"",SUMIFS(T_PlannedOrders[EffectiveQty],T_PlannedOrders[Part Name],$A1089,T_PlannedOrders[WeekIndex],31)&amp;" ("&amp;TEXT(SUMPRODUCT(MAX((T_PlannedOrders[Part Name]=$A1089)*(T_PlannedOrders[WeekIndex]=31)*(T_PlannedOrders[EffectiveQty]&gt;0)*T_PlannedOrders[Order_Month])),"m月")&amp;"発注)")</f>
        <v/>
      </c>
      <c r="AI1095">
        <f>IF(SUMIFS(T_PlannedOrders[EffectiveQty],T_PlannedOrders[Part Name],$A1089,T_PlannedOrders[WeekIndex],32)=0,"",SUMIFS(T_PlannedOrders[EffectiveQty],T_PlannedOrders[Part Name],$A1089,T_PlannedOrders[WeekIndex],32)&amp;" ("&amp;TEXT(SUMPRODUCT(MAX((T_PlannedOrders[Part Name]=$A1089)*(T_PlannedOrders[WeekIndex]=32)*(T_PlannedOrders[EffectiveQty]&gt;0)*T_PlannedOrders[Order_Month])),"m月")&amp;"発注)")</f>
        <v/>
      </c>
      <c r="AJ1095">
        <f>IF(SUMIFS(T_PlannedOrders[EffectiveQty],T_PlannedOrders[Part Name],$A1089,T_PlannedOrders[WeekIndex],33)=0,"",SUMIFS(T_PlannedOrders[EffectiveQty],T_PlannedOrders[Part Name],$A1089,T_PlannedOrders[WeekIndex],33)&amp;" ("&amp;TEXT(SUMPRODUCT(MAX((T_PlannedOrders[Part Name]=$A1089)*(T_PlannedOrders[WeekIndex]=33)*(T_PlannedOrders[EffectiveQty]&gt;0)*T_PlannedOrders[Order_Month])),"m月")&amp;"発注)")</f>
        <v/>
      </c>
      <c r="AK1095">
        <f>IF(SUMIFS(T_PlannedOrders[EffectiveQty],T_PlannedOrders[Part Name],$A1089,T_PlannedOrders[WeekIndex],34)=0,"",SUMIFS(T_PlannedOrders[EffectiveQty],T_PlannedOrders[Part Name],$A1089,T_PlannedOrders[WeekIndex],34)&amp;" ("&amp;TEXT(SUMPRODUCT(MAX((T_PlannedOrders[Part Name]=$A1089)*(T_PlannedOrders[WeekIndex]=34)*(T_PlannedOrders[EffectiveQty]&gt;0)*T_PlannedOrders[Order_Month])),"m月")&amp;"発注)")</f>
        <v/>
      </c>
      <c r="AL1095">
        <f>IF(SUMIFS(T_PlannedOrders[EffectiveQty],T_PlannedOrders[Part Name],$A1089,T_PlannedOrders[WeekIndex],35)=0,"",SUMIFS(T_PlannedOrders[EffectiveQty],T_PlannedOrders[Part Name],$A1089,T_PlannedOrders[WeekIndex],35)&amp;" ("&amp;TEXT(SUMPRODUCT(MAX((T_PlannedOrders[Part Name]=$A1089)*(T_PlannedOrders[WeekIndex]=35)*(T_PlannedOrders[EffectiveQty]&gt;0)*T_PlannedOrders[Order_Month])),"m月")&amp;"発注)")</f>
        <v/>
      </c>
      <c r="AM1095">
        <f>IF(SUMIFS(T_PlannedOrders[EffectiveQty],T_PlannedOrders[Part Name],$A1089,T_PlannedOrders[WeekIndex],36)=0,"",SUMIFS(T_PlannedOrders[EffectiveQty],T_PlannedOrders[Part Name],$A1089,T_PlannedOrders[WeekIndex],36)&amp;" ("&amp;TEXT(SUMPRODUCT(MAX((T_PlannedOrders[Part Name]=$A1089)*(T_PlannedOrders[WeekIndex]=36)*(T_PlannedOrders[EffectiveQty]&gt;0)*T_PlannedOrders[Order_Month])),"m月")&amp;"発注)")</f>
        <v/>
      </c>
      <c r="AN1095">
        <f>IF(SUMIFS(T_PlannedOrders[EffectiveQty],T_PlannedOrders[Part Name],$A1089,T_PlannedOrders[WeekIndex],37)=0,"",SUMIFS(T_PlannedOrders[EffectiveQty],T_PlannedOrders[Part Name],$A1089,T_PlannedOrders[WeekIndex],37)&amp;" ("&amp;TEXT(SUMPRODUCT(MAX((T_PlannedOrders[Part Name]=$A1089)*(T_PlannedOrders[WeekIndex]=37)*(T_PlannedOrders[EffectiveQty]&gt;0)*T_PlannedOrders[Order_Month])),"m月")&amp;"発注)")</f>
        <v/>
      </c>
      <c r="AO1095">
        <f>IF(SUMIFS(T_PlannedOrders[EffectiveQty],T_PlannedOrders[Part Name],$A1089,T_PlannedOrders[WeekIndex],38)=0,"",SUMIFS(T_PlannedOrders[EffectiveQty],T_PlannedOrders[Part Name],$A1089,T_PlannedOrders[WeekIndex],38)&amp;" ("&amp;TEXT(SUMPRODUCT(MAX((T_PlannedOrders[Part Name]=$A1089)*(T_PlannedOrders[WeekIndex]=38)*(T_PlannedOrders[EffectiveQty]&gt;0)*T_PlannedOrders[Order_Month])),"m月")&amp;"発注)")</f>
        <v/>
      </c>
      <c r="AP1095">
        <f>IF(SUMIFS(T_PlannedOrders[EffectiveQty],T_PlannedOrders[Part Name],$A1089,T_PlannedOrders[WeekIndex],39)=0,"",SUMIFS(T_PlannedOrders[EffectiveQty],T_PlannedOrders[Part Name],$A1089,T_PlannedOrders[WeekIndex],39)&amp;" ("&amp;TEXT(SUMPRODUCT(MAX((T_PlannedOrders[Part Name]=$A1089)*(T_PlannedOrders[WeekIndex]=39)*(T_PlannedOrders[EffectiveQty]&gt;0)*T_PlannedOrders[Order_Month])),"m月")&amp;"発注)")</f>
        <v/>
      </c>
      <c r="AQ1095">
        <f>IF(SUMIFS(T_PlannedOrders[EffectiveQty],T_PlannedOrders[Part Name],$A1089,T_PlannedOrders[WeekIndex],40)=0,"",SUMIFS(T_PlannedOrders[EffectiveQty],T_PlannedOrders[Part Name],$A1089,T_PlannedOrders[WeekIndex],40)&amp;" ("&amp;TEXT(SUMPRODUCT(MAX((T_PlannedOrders[Part Name]=$A1089)*(T_PlannedOrders[WeekIndex]=40)*(T_PlannedOrders[EffectiveQty]&gt;0)*T_PlannedOrders[Order_Month])),"m月")&amp;"発注)")</f>
        <v/>
      </c>
      <c r="AR1095">
        <f>IF(SUMIFS(T_PlannedOrders[EffectiveQty],T_PlannedOrders[Part Name],$A1089,T_PlannedOrders[WeekIndex],41)=0,"",SUMIFS(T_PlannedOrders[EffectiveQty],T_PlannedOrders[Part Name],$A1089,T_PlannedOrders[WeekIndex],41)&amp;" ("&amp;TEXT(SUMPRODUCT(MAX((T_PlannedOrders[Part Name]=$A1089)*(T_PlannedOrders[WeekIndex]=41)*(T_PlannedOrders[EffectiveQty]&gt;0)*T_PlannedOrders[Order_Month])),"m月")&amp;"発注)")</f>
        <v/>
      </c>
      <c r="AS1095">
        <f>IF(SUMIFS(T_PlannedOrders[EffectiveQty],T_PlannedOrders[Part Name],$A1089,T_PlannedOrders[WeekIndex],42)=0,"",SUMIFS(T_PlannedOrders[EffectiveQty],T_PlannedOrders[Part Name],$A1089,T_PlannedOrders[WeekIndex],42)&amp;" ("&amp;TEXT(SUMPRODUCT(MAX((T_PlannedOrders[Part Name]=$A1089)*(T_PlannedOrders[WeekIndex]=42)*(T_PlannedOrders[EffectiveQty]&gt;0)*T_PlannedOrders[Order_Month])),"m月")&amp;"発注)")</f>
        <v/>
      </c>
      <c r="AT1095">
        <f>IF(SUMIFS(T_PlannedOrders[EffectiveQty],T_PlannedOrders[Part Name],$A1089,T_PlannedOrders[WeekIndex],43)=0,"",SUMIFS(T_PlannedOrders[EffectiveQty],T_PlannedOrders[Part Name],$A1089,T_PlannedOrders[WeekIndex],43)&amp;" ("&amp;TEXT(SUMPRODUCT(MAX((T_PlannedOrders[Part Name]=$A1089)*(T_PlannedOrders[WeekIndex]=43)*(T_PlannedOrders[EffectiveQty]&gt;0)*T_PlannedOrders[Order_Month])),"m月")&amp;"発注)")</f>
        <v/>
      </c>
      <c r="AU1095">
        <f>IF(SUMIFS(T_PlannedOrders[EffectiveQty],T_PlannedOrders[Part Name],$A1089,T_PlannedOrders[WeekIndex],44)=0,"",SUMIFS(T_PlannedOrders[EffectiveQty],T_PlannedOrders[Part Name],$A1089,T_PlannedOrders[WeekIndex],44)&amp;" ("&amp;TEXT(SUMPRODUCT(MAX((T_PlannedOrders[Part Name]=$A1089)*(T_PlannedOrders[WeekIndex]=44)*(T_PlannedOrders[EffectiveQty]&gt;0)*T_PlannedOrders[Order_Month])),"m月")&amp;"発注)")</f>
        <v/>
      </c>
      <c r="AV1095">
        <f>IF(SUMIFS(T_PlannedOrders[EffectiveQty],T_PlannedOrders[Part Name],$A1089,T_PlannedOrders[WeekIndex],45)=0,"",SUMIFS(T_PlannedOrders[EffectiveQty],T_PlannedOrders[Part Name],$A1089,T_PlannedOrders[WeekIndex],45)&amp;" ("&amp;TEXT(SUMPRODUCT(MAX((T_PlannedOrders[Part Name]=$A1089)*(T_PlannedOrders[WeekIndex]=45)*(T_PlannedOrders[EffectiveQty]&gt;0)*T_PlannedOrders[Order_Month])),"m月")&amp;"発注)")</f>
        <v/>
      </c>
      <c r="AW1095">
        <f>IF(SUMIFS(T_PlannedOrders[EffectiveQty],T_PlannedOrders[Part Name],$A1089,T_PlannedOrders[WeekIndex],46)=0,"",SUMIFS(T_PlannedOrders[EffectiveQty],T_PlannedOrders[Part Name],$A1089,T_PlannedOrders[WeekIndex],46)&amp;" ("&amp;TEXT(SUMPRODUCT(MAX((T_PlannedOrders[Part Name]=$A1089)*(T_PlannedOrders[WeekIndex]=46)*(T_PlannedOrders[EffectiveQty]&gt;0)*T_PlannedOrders[Order_Month])),"m月")&amp;"発注)")</f>
        <v/>
      </c>
      <c r="AX1095">
        <f>IF(SUMIFS(T_PlannedOrders[EffectiveQty],T_PlannedOrders[Part Name],$A1089,T_PlannedOrders[WeekIndex],47)=0,"",SUMIFS(T_PlannedOrders[EffectiveQty],T_PlannedOrders[Part Name],$A1089,T_PlannedOrders[WeekIndex],47)&amp;" ("&amp;TEXT(SUMPRODUCT(MAX((T_PlannedOrders[Part Name]=$A1089)*(T_PlannedOrders[WeekIndex]=47)*(T_PlannedOrders[EffectiveQty]&gt;0)*T_PlannedOrders[Order_Month])),"m月")&amp;"発注)")</f>
        <v/>
      </c>
      <c r="AY1095">
        <f>IF(SUMIFS(T_PlannedOrders[EffectiveQty],T_PlannedOrders[Part Name],$A1089,T_PlannedOrders[WeekIndex],48)=0,"",SUMIFS(T_PlannedOrders[EffectiveQty],T_PlannedOrders[Part Name],$A1089,T_PlannedOrders[WeekIndex],48)&amp;" ("&amp;TEXT(SUMPRODUCT(MAX((T_PlannedOrders[Part Name]=$A1089)*(T_PlannedOrders[WeekIndex]=48)*(T_PlannedOrders[EffectiveQty]&gt;0)*T_PlannedOrders[Order_Month])),"m月")&amp;"発注)")</f>
        <v/>
      </c>
      <c r="AZ1095">
        <f>IF(SUMIFS(T_PlannedOrders[EffectiveQty],T_PlannedOrders[Part Name],$A1089,T_PlannedOrders[WeekIndex],49)=0,"",SUMIFS(T_PlannedOrders[EffectiveQty],T_PlannedOrders[Part Name],$A1089,T_PlannedOrders[WeekIndex],49)&amp;" ("&amp;TEXT(SUMPRODUCT(MAX((T_PlannedOrders[Part Name]=$A1089)*(T_PlannedOrders[WeekIndex]=49)*(T_PlannedOrders[EffectiveQty]&gt;0)*T_PlannedOrders[Order_Month])),"m月")&amp;"発注)")</f>
        <v/>
      </c>
      <c r="BA1095">
        <f>IF(SUMIFS(T_PlannedOrders[EffectiveQty],T_PlannedOrders[Part Name],$A1089,T_PlannedOrders[WeekIndex],50)=0,"",SUMIFS(T_PlannedOrders[EffectiveQty],T_PlannedOrders[Part Name],$A1089,T_PlannedOrders[WeekIndex],50)&amp;" ("&amp;TEXT(SUMPRODUCT(MAX((T_PlannedOrders[Part Name]=$A1089)*(T_PlannedOrders[WeekIndex]=50)*(T_PlannedOrders[EffectiveQty]&gt;0)*T_PlannedOrders[Order_Month])),"m月")&amp;"発注)")</f>
        <v/>
      </c>
      <c r="BB1095">
        <f>IF(SUMIFS(T_PlannedOrders[EffectiveQty],T_PlannedOrders[Part Name],$A1089,T_PlannedOrders[WeekIndex],51)=0,"",SUMIFS(T_PlannedOrders[EffectiveQty],T_PlannedOrders[Part Name],$A1089,T_PlannedOrders[WeekIndex],51)&amp;" ("&amp;TEXT(SUMPRODUCT(MAX((T_PlannedOrders[Part Name]=$A1089)*(T_PlannedOrders[WeekIndex]=51)*(T_PlannedOrders[EffectiveQty]&gt;0)*T_PlannedOrders[Order_Month])),"m月")&amp;"発注)")</f>
        <v/>
      </c>
      <c r="BC1095">
        <f>IF(SUMIFS(T_PlannedOrders[EffectiveQty],T_PlannedOrders[Part Name],$A1089,T_PlannedOrders[WeekIndex],52)=0,"",SUMIFS(T_PlannedOrders[EffectiveQty],T_PlannedOrders[Part Name],$A1089,T_PlannedOrders[WeekIndex],52)&amp;" ("&amp;TEXT(SUMPRODUCT(MAX((T_PlannedOrders[Part Name]=$A1089)*(T_PlannedOrders[WeekIndex]=52)*(T_PlannedOrders[EffectiveQty]&gt;0)*T_PlannedOrders[Order_Month])),"m月")&amp;"発注)")</f>
        <v/>
      </c>
      <c r="BD1095">
        <f>IF(SUMIFS(T_PlannedOrders[EffectiveQty],T_PlannedOrders[Part Name],$A1089,T_PlannedOrders[WeekIndex],53)=0,"",SUMIFS(T_PlannedOrders[EffectiveQty],T_PlannedOrders[Part Name],$A1089,T_PlannedOrders[WeekIndex],53)&amp;" ("&amp;TEXT(SUMPRODUCT(MAX((T_PlannedOrders[Part Name]=$A1089)*(T_PlannedOrders[WeekIndex]=53)*(T_PlannedOrders[EffectiveQty]&gt;0)*T_PlannedOrders[Order_Month])),"m月")&amp;"発注)")</f>
        <v/>
      </c>
      <c r="BE1095">
        <f>IF(SUMIFS(T_PlannedOrders[EffectiveQty],T_PlannedOrders[Part Name],$A1089,T_PlannedOrders[WeekIndex],54)=0,"",SUMIFS(T_PlannedOrders[EffectiveQty],T_PlannedOrders[Part Name],$A1089,T_PlannedOrders[WeekIndex],54)&amp;" ("&amp;TEXT(SUMPRODUCT(MAX((T_PlannedOrders[Part Name]=$A1089)*(T_PlannedOrders[WeekIndex]=54)*(T_PlannedOrders[EffectiveQty]&gt;0)*T_PlannedOrders[Order_Month])),"m月")&amp;"発注)")</f>
        <v/>
      </c>
      <c r="BF1095">
        <f>IF(SUMIFS(T_PlannedOrders[EffectiveQty],T_PlannedOrders[Part Name],$A1089,T_PlannedOrders[WeekIndex],55)=0,"",SUMIFS(T_PlannedOrders[EffectiveQty],T_PlannedOrders[Part Name],$A1089,T_PlannedOrders[WeekIndex],55)&amp;" ("&amp;TEXT(SUMPRODUCT(MAX((T_PlannedOrders[Part Name]=$A1089)*(T_PlannedOrders[WeekIndex]=55)*(T_PlannedOrders[EffectiveQty]&gt;0)*T_PlannedOrders[Order_Month])),"m月")&amp;"発注)")</f>
        <v/>
      </c>
      <c r="BG1095">
        <f>IF(SUMIFS(T_PlannedOrders[EffectiveQty],T_PlannedOrders[Part Name],$A1089,T_PlannedOrders[WeekIndex],56)=0,"",SUMIFS(T_PlannedOrders[EffectiveQty],T_PlannedOrders[Part Name],$A1089,T_PlannedOrders[WeekIndex],56)&amp;" ("&amp;TEXT(SUMPRODUCT(MAX((T_PlannedOrders[Part Name]=$A1089)*(T_PlannedOrders[WeekIndex]=56)*(T_PlannedOrders[EffectiveQty]&gt;0)*T_PlannedOrders[Order_Month])),"m月")&amp;"発注)")</f>
        <v/>
      </c>
      <c r="BH1095">
        <f>IF(SUMIFS(T_PlannedOrders[EffectiveQty],T_PlannedOrders[Part Name],$A1089,T_PlannedOrders[WeekIndex],57)=0,"",SUMIFS(T_PlannedOrders[EffectiveQty],T_PlannedOrders[Part Name],$A1089,T_PlannedOrders[WeekIndex],57)&amp;" ("&amp;TEXT(SUMPRODUCT(MAX((T_PlannedOrders[Part Name]=$A1089)*(T_PlannedOrders[WeekIndex]=57)*(T_PlannedOrders[EffectiveQty]&gt;0)*T_PlannedOrders[Order_Month])),"m月")&amp;"発注)")</f>
        <v/>
      </c>
      <c r="BI1095">
        <f>IF(SUMIFS(T_PlannedOrders[EffectiveQty],T_PlannedOrders[Part Name],$A1089,T_PlannedOrders[WeekIndex],58)=0,"",SUMIFS(T_PlannedOrders[EffectiveQty],T_PlannedOrders[Part Name],$A1089,T_PlannedOrders[WeekIndex],58)&amp;" ("&amp;TEXT(SUMPRODUCT(MAX((T_PlannedOrders[Part Name]=$A1089)*(T_PlannedOrders[WeekIndex]=58)*(T_PlannedOrders[EffectiveQty]&gt;0)*T_PlannedOrders[Order_Month])),"m月")&amp;"発注)")</f>
        <v/>
      </c>
      <c r="BJ1095">
        <f>IF(SUMIFS(T_PlannedOrders[EffectiveQty],T_PlannedOrders[Part Name],$A1089,T_PlannedOrders[WeekIndex],59)=0,"",SUMIFS(T_PlannedOrders[EffectiveQty],T_PlannedOrders[Part Name],$A1089,T_PlannedOrders[WeekIndex],59)&amp;" ("&amp;TEXT(SUMPRODUCT(MAX((T_PlannedOrders[Part Name]=$A1089)*(T_PlannedOrders[WeekIndex]=59)*(T_PlannedOrders[EffectiveQty]&gt;0)*T_PlannedOrders[Order_Month])),"m月")&amp;"発注)")</f>
        <v/>
      </c>
      <c r="BK1095">
        <f>IF(SUMIFS(T_PlannedOrders[EffectiveQty],T_PlannedOrders[Part Name],$A1089,T_PlannedOrders[WeekIndex],60)=0,"",SUMIFS(T_PlannedOrders[EffectiveQty],T_PlannedOrders[Part Name],$A1089,T_PlannedOrders[WeekIndex],60)&amp;" ("&amp;TEXT(SUMPRODUCT(MAX((T_PlannedOrders[Part Name]=$A1089)*(T_PlannedOrders[WeekIndex]=60)*(T_PlannedOrders[EffectiveQty]&gt;0)*T_PlannedOrders[Order_Month])),"m月")&amp;"発注)")</f>
        <v/>
      </c>
      <c r="BL1095">
        <f>IF(SUMIFS(T_PlannedOrders[EffectiveQty],T_PlannedOrders[Part Name],$A1089,T_PlannedOrders[WeekIndex],61)=0,"",SUMIFS(T_PlannedOrders[EffectiveQty],T_PlannedOrders[Part Name],$A1089,T_PlannedOrders[WeekIndex],61)&amp;" ("&amp;TEXT(SUMPRODUCT(MAX((T_PlannedOrders[Part Name]=$A1089)*(T_PlannedOrders[WeekIndex]=61)*(T_PlannedOrders[EffectiveQty]&gt;0)*T_PlannedOrders[Order_Month])),"m月")&amp;"発注)")</f>
        <v/>
      </c>
      <c r="BM1095">
        <f>IF(SUMIFS(T_PlannedOrders[EffectiveQty],T_PlannedOrders[Part Name],$A1089,T_PlannedOrders[WeekIndex],62)=0,"",SUMIFS(T_PlannedOrders[EffectiveQty],T_PlannedOrders[Part Name],$A1089,T_PlannedOrders[WeekIndex],62)&amp;" ("&amp;TEXT(SUMPRODUCT(MAX((T_PlannedOrders[Part Name]=$A1089)*(T_PlannedOrders[WeekIndex]=62)*(T_PlannedOrders[EffectiveQty]&gt;0)*T_PlannedOrders[Order_Month])),"m月")&amp;"発注)")</f>
        <v/>
      </c>
      <c r="BN1095">
        <f>IF(SUMIFS(T_PlannedOrders[EffectiveQty],T_PlannedOrders[Part Name],$A1089,T_PlannedOrders[WeekIndex],63)=0,"",SUMIFS(T_PlannedOrders[EffectiveQty],T_PlannedOrders[Part Name],$A1089,T_PlannedOrders[WeekIndex],63)&amp;" ("&amp;TEXT(SUMPRODUCT(MAX((T_PlannedOrders[Part Name]=$A1089)*(T_PlannedOrders[WeekIndex]=63)*(T_PlannedOrders[EffectiveQty]&gt;0)*T_PlannedOrders[Order_Month])),"m月")&amp;"発注)")</f>
        <v/>
      </c>
      <c r="BO1095">
        <f>IF(SUMIFS(T_PlannedOrders[EffectiveQty],T_PlannedOrders[Part Name],$A1089,T_PlannedOrders[WeekIndex],64)=0,"",SUMIFS(T_PlannedOrders[EffectiveQty],T_PlannedOrders[Part Name],$A1089,T_PlannedOrders[WeekIndex],64)&amp;" ("&amp;TEXT(SUMPRODUCT(MAX((T_PlannedOrders[Part Name]=$A1089)*(T_PlannedOrders[WeekIndex]=64)*(T_PlannedOrders[EffectiveQty]&gt;0)*T_PlannedOrders[Order_Month])),"m月")&amp;"発注)")</f>
        <v/>
      </c>
      <c r="BP1095">
        <f>IF(SUMIFS(T_PlannedOrders[EffectiveQty],T_PlannedOrders[Part Name],$A1089,T_PlannedOrders[WeekIndex],65)=0,"",SUMIFS(T_PlannedOrders[EffectiveQty],T_PlannedOrders[Part Name],$A1089,T_PlannedOrders[WeekIndex],65)&amp;" ("&amp;TEXT(SUMPRODUCT(MAX((T_PlannedOrders[Part Name]=$A1089)*(T_PlannedOrders[WeekIndex]=65)*(T_PlannedOrders[EffectiveQty]&gt;0)*T_PlannedOrders[Order_Month])),"m月")&amp;"発注)")</f>
        <v/>
      </c>
      <c r="BQ1095">
        <f>IF(SUMIFS(T_PlannedOrders[EffectiveQty],T_PlannedOrders[Part Name],$A1089,T_PlannedOrders[WeekIndex],66)=0,"",SUMIFS(T_PlannedOrders[EffectiveQty],T_PlannedOrders[Part Name],$A1089,T_PlannedOrders[WeekIndex],66)&amp;" ("&amp;TEXT(SUMPRODUCT(MAX((T_PlannedOrders[Part Name]=$A1089)*(T_PlannedOrders[WeekIndex]=66)*(T_PlannedOrders[EffectiveQty]&gt;0)*T_PlannedOrders[Order_Month])),"m月")&amp;"発注)")</f>
        <v/>
      </c>
      <c r="BR1095">
        <f>IF(SUMIFS(T_PlannedOrders[EffectiveQty],T_PlannedOrders[Part Name],$A1089,T_PlannedOrders[WeekIndex],67)=0,"",SUMIFS(T_PlannedOrders[EffectiveQty],T_PlannedOrders[Part Name],$A1089,T_PlannedOrders[WeekIndex],67)&amp;" ("&amp;TEXT(SUMPRODUCT(MAX((T_PlannedOrders[Part Name]=$A1089)*(T_PlannedOrders[WeekIndex]=67)*(T_PlannedOrders[EffectiveQty]&gt;0)*T_PlannedOrders[Order_Month])),"m月")&amp;"発注)")</f>
        <v/>
      </c>
      <c r="BS1095">
        <f>IF(SUMIFS(T_PlannedOrders[EffectiveQty],T_PlannedOrders[Part Name],$A1089,T_PlannedOrders[WeekIndex],68)=0,"",SUMIFS(T_PlannedOrders[EffectiveQty],T_PlannedOrders[Part Name],$A1089,T_PlannedOrders[WeekIndex],68)&amp;" ("&amp;TEXT(SUMPRODUCT(MAX((T_PlannedOrders[Part Name]=$A1089)*(T_PlannedOrders[WeekIndex]=68)*(T_PlannedOrders[EffectiveQty]&gt;0)*T_PlannedOrders[Order_Month])),"m月")&amp;"発注)")</f>
        <v/>
      </c>
      <c r="BT1095">
        <f>IF(SUMIFS(T_PlannedOrders[EffectiveQty],T_PlannedOrders[Part Name],$A1089,T_PlannedOrders[WeekIndex],69)=0,"",SUMIFS(T_PlannedOrders[EffectiveQty],T_PlannedOrders[Part Name],$A1089,T_PlannedOrders[WeekIndex],69)&amp;" ("&amp;TEXT(SUMPRODUCT(MAX((T_PlannedOrders[Part Name]=$A1089)*(T_PlannedOrders[WeekIndex]=69)*(T_PlannedOrders[EffectiveQty]&gt;0)*T_PlannedOrders[Order_Month])),"m月")&amp;"発注)")</f>
        <v/>
      </c>
      <c r="BU1095">
        <f>IF(SUMIFS(T_PlannedOrders[EffectiveQty],T_PlannedOrders[Part Name],$A1089,T_PlannedOrders[WeekIndex],70)=0,"",SUMIFS(T_PlannedOrders[EffectiveQty],T_PlannedOrders[Part Name],$A1089,T_PlannedOrders[WeekIndex],70)&amp;" ("&amp;TEXT(SUMPRODUCT(MAX((T_PlannedOrders[Part Name]=$A1089)*(T_PlannedOrders[WeekIndex]=70)*(T_PlannedOrders[EffectiveQty]&gt;0)*T_PlannedOrders[Order_Month])),"m月")&amp;"発注)")</f>
        <v/>
      </c>
      <c r="BV1095">
        <f>IF(SUMIFS(T_PlannedOrders[EffectiveQty],T_PlannedOrders[Part Name],$A1089,T_PlannedOrders[WeekIndex],71)=0,"",SUMIFS(T_PlannedOrders[EffectiveQty],T_PlannedOrders[Part Name],$A1089,T_PlannedOrders[WeekIndex],71)&amp;" ("&amp;TEXT(SUMPRODUCT(MAX((T_PlannedOrders[Part Name]=$A1089)*(T_PlannedOrders[WeekIndex]=71)*(T_PlannedOrders[EffectiveQty]&gt;0)*T_PlannedOrders[Order_Month])),"m月")&amp;"発注)")</f>
        <v/>
      </c>
      <c r="BW1095">
        <f>IF(SUMIFS(T_PlannedOrders[EffectiveQty],T_PlannedOrders[Part Name],$A1089,T_PlannedOrders[WeekIndex],72)=0,"",SUMIFS(T_PlannedOrders[EffectiveQty],T_PlannedOrders[Part Name],$A1089,T_PlannedOrders[WeekIndex],72)&amp;" ("&amp;TEXT(SUMPRODUCT(MAX((T_PlannedOrders[Part Name]=$A1089)*(T_PlannedOrders[WeekIndex]=72)*(T_PlannedOrders[EffectiveQty]&gt;0)*T_PlannedOrders[Order_Month])),"m月")&amp;"発注)")</f>
        <v/>
      </c>
      <c r="BX1095">
        <f>IF(SUMIFS(T_PlannedOrders[EffectiveQty],T_PlannedOrders[Part Name],$A1089,T_PlannedOrders[WeekIndex],73)=0,"",SUMIFS(T_PlannedOrders[EffectiveQty],T_PlannedOrders[Part Name],$A1089,T_PlannedOrders[WeekIndex],73)&amp;" ("&amp;TEXT(SUMPRODUCT(MAX((T_PlannedOrders[Part Name]=$A1089)*(T_PlannedOrders[WeekIndex]=73)*(T_PlannedOrders[EffectiveQty]&gt;0)*T_PlannedOrders[Order_Month])),"m月")&amp;"発注)")</f>
        <v/>
      </c>
      <c r="BY1095">
        <f>IF(SUMIFS(T_PlannedOrders[EffectiveQty],T_PlannedOrders[Part Name],$A1089,T_PlannedOrders[WeekIndex],74)=0,"",SUMIFS(T_PlannedOrders[EffectiveQty],T_PlannedOrders[Part Name],$A1089,T_PlannedOrders[WeekIndex],74)&amp;" ("&amp;TEXT(SUMPRODUCT(MAX((T_PlannedOrders[Part Name]=$A1089)*(T_PlannedOrders[WeekIndex]=74)*(T_PlannedOrders[EffectiveQty]&gt;0)*T_PlannedOrders[Order_Month])),"m月")&amp;"発注)")</f>
        <v/>
      </c>
      <c r="BZ1095">
        <f>IF(SUMIFS(T_PlannedOrders[EffectiveQty],T_PlannedOrders[Part Name],$A1089,T_PlannedOrders[WeekIndex],75)=0,"",SUMIFS(T_PlannedOrders[EffectiveQty],T_PlannedOrders[Part Name],$A1089,T_PlannedOrders[WeekIndex],75)&amp;" ("&amp;TEXT(SUMPRODUCT(MAX((T_PlannedOrders[Part Name]=$A1089)*(T_PlannedOrders[WeekIndex]=75)*(T_PlannedOrders[EffectiveQty]&gt;0)*T_PlannedOrders[Order_Month])),"m月")&amp;"発注)")</f>
        <v/>
      </c>
      <c r="CA1095">
        <f>IF(SUMIFS(T_PlannedOrders[EffectiveQty],T_PlannedOrders[Part Name],$A1089,T_PlannedOrders[WeekIndex],76)=0,"",SUMIFS(T_PlannedOrders[EffectiveQty],T_PlannedOrders[Part Name],$A1089,T_PlannedOrders[WeekIndex],76)&amp;" ("&amp;TEXT(SUMPRODUCT(MAX((T_PlannedOrders[Part Name]=$A1089)*(T_PlannedOrders[WeekIndex]=76)*(T_PlannedOrders[EffectiveQty]&gt;0)*T_PlannedOrders[Order_Month])),"m月")&amp;"発注)")</f>
        <v/>
      </c>
      <c r="CB1095">
        <f>IF(SUMIFS(T_PlannedOrders[EffectiveQty],T_PlannedOrders[Part Name],$A1089,T_PlannedOrders[WeekIndex],77)=0,"",SUMIFS(T_PlannedOrders[EffectiveQty],T_PlannedOrders[Part Name],$A1089,T_PlannedOrders[WeekIndex],77)&amp;" ("&amp;TEXT(SUMPRODUCT(MAX((T_PlannedOrders[Part Name]=$A1089)*(T_PlannedOrders[WeekIndex]=77)*(T_PlannedOrders[EffectiveQty]&gt;0)*T_PlannedOrders[Order_Month])),"m月")&amp;"発注)")</f>
        <v/>
      </c>
      <c r="CC1095">
        <f>IF(SUMIFS(T_PlannedOrders[EffectiveQty],T_PlannedOrders[Part Name],$A1089,T_PlannedOrders[WeekIndex],78)=0,"",SUMIFS(T_PlannedOrders[EffectiveQty],T_PlannedOrders[Part Name],$A1089,T_PlannedOrders[WeekIndex],78)&amp;" ("&amp;TEXT(SUMPRODUCT(MAX((T_PlannedOrders[Part Name]=$A1089)*(T_PlannedOrders[WeekIndex]=78)*(T_PlannedOrders[EffectiveQty]&gt;0)*T_PlannedOrders[Order_Month])),"m月")&amp;"発注)")</f>
        <v/>
      </c>
      <c r="CD1095">
        <f>IF(SUMIFS(T_PlannedOrders[EffectiveQty],T_PlannedOrders[Part Name],$A1089,T_PlannedOrders[WeekIndex],79)=0,"",SUMIFS(T_PlannedOrders[EffectiveQty],T_PlannedOrders[Part Name],$A1089,T_PlannedOrders[WeekIndex],79)&amp;" ("&amp;TEXT(SUMPRODUCT(MAX((T_PlannedOrders[Part Name]=$A1089)*(T_PlannedOrders[WeekIndex]=79)*(T_PlannedOrders[EffectiveQty]&gt;0)*T_PlannedOrders[Order_Month])),"m月")&amp;"発注)")</f>
        <v/>
      </c>
      <c r="CE1095">
        <f>IF(SUMIFS(T_PlannedOrders[EffectiveQty],T_PlannedOrders[Part Name],$A1089,T_PlannedOrders[WeekIndex],80)=0,"",SUMIFS(T_PlannedOrders[EffectiveQty],T_PlannedOrders[Part Name],$A1089,T_PlannedOrders[WeekIndex],80)&amp;" ("&amp;TEXT(SUMPRODUCT(MAX((T_PlannedOrders[Part Name]=$A1089)*(T_PlannedOrders[WeekIndex]=80)*(T_PlannedOrders[EffectiveQty]&gt;0)*T_PlannedOrders[Order_Month])),"m月")&amp;"発注)")</f>
        <v/>
      </c>
      <c r="CF1095">
        <f>IF(SUMIFS(T_PlannedOrders[EffectiveQty],T_PlannedOrders[Part Name],$A1089,T_PlannedOrders[WeekIndex],81)=0,"",SUMIFS(T_PlannedOrders[EffectiveQty],T_PlannedOrders[Part Name],$A1089,T_PlannedOrders[WeekIndex],81)&amp;" ("&amp;TEXT(SUMPRODUCT(MAX((T_PlannedOrders[Part Name]=$A1089)*(T_PlannedOrders[WeekIndex]=81)*(T_PlannedOrders[EffectiveQty]&gt;0)*T_PlannedOrders[Order_Month])),"m月")&amp;"発注)")</f>
        <v/>
      </c>
      <c r="CG1095">
        <f>IF(SUMIFS(T_PlannedOrders[EffectiveQty],T_PlannedOrders[Part Name],$A1089,T_PlannedOrders[WeekIndex],82)=0,"",SUMIFS(T_PlannedOrders[EffectiveQty],T_PlannedOrders[Part Name],$A1089,T_PlannedOrders[WeekIndex],82)&amp;" ("&amp;TEXT(SUMPRODUCT(MAX((T_PlannedOrders[Part Name]=$A1089)*(T_PlannedOrders[WeekIndex]=82)*(T_PlannedOrders[EffectiveQty]&gt;0)*T_PlannedOrders[Order_Month])),"m月")&amp;"発注)")</f>
        <v/>
      </c>
      <c r="CH1095">
        <f>IF(SUMIFS(T_PlannedOrders[EffectiveQty],T_PlannedOrders[Part Name],$A1089,T_PlannedOrders[WeekIndex],83)=0,"",SUMIFS(T_PlannedOrders[EffectiveQty],T_PlannedOrders[Part Name],$A1089,T_PlannedOrders[WeekIndex],83)&amp;" ("&amp;TEXT(SUMPRODUCT(MAX((T_PlannedOrders[Part Name]=$A1089)*(T_PlannedOrders[WeekIndex]=83)*(T_PlannedOrders[EffectiveQty]&gt;0)*T_PlannedOrders[Order_Month])),"m月")&amp;"発注)")</f>
        <v/>
      </c>
      <c r="CI1095">
        <f>IF(SUMIFS(T_PlannedOrders[EffectiveQty],T_PlannedOrders[Part Name],$A1089,T_PlannedOrders[WeekIndex],84)=0,"",SUMIFS(T_PlannedOrders[EffectiveQty],T_PlannedOrders[Part Name],$A1089,T_PlannedOrders[WeekIndex],84)&amp;" ("&amp;TEXT(SUMPRODUCT(MAX((T_PlannedOrders[Part Name]=$A1089)*(T_PlannedOrders[WeekIndex]=84)*(T_PlannedOrders[EffectiveQty]&gt;0)*T_PlannedOrders[Order_Month])),"m月")&amp;"発注)")</f>
        <v/>
      </c>
      <c r="CJ1095">
        <f>IF(SUMIFS(T_PlannedOrders[EffectiveQty],T_PlannedOrders[Part Name],$A1089,T_PlannedOrders[WeekIndex],85)=0,"",SUMIFS(T_PlannedOrders[EffectiveQty],T_PlannedOrders[Part Name],$A1089,T_PlannedOrders[WeekIndex],85)&amp;" ("&amp;TEXT(SUMPRODUCT(MAX((T_PlannedOrders[Part Name]=$A1089)*(T_PlannedOrders[WeekIndex]=85)*(T_PlannedOrders[EffectiveQty]&gt;0)*T_PlannedOrders[Order_Month])),"m月")&amp;"発注)")</f>
        <v/>
      </c>
      <c r="CK1095">
        <f>IF(SUMIFS(T_PlannedOrders[EffectiveQty],T_PlannedOrders[Part Name],$A1089,T_PlannedOrders[WeekIndex],86)=0,"",SUMIFS(T_PlannedOrders[EffectiveQty],T_PlannedOrders[Part Name],$A1089,T_PlannedOrders[WeekIndex],86)&amp;" ("&amp;TEXT(SUMPRODUCT(MAX((T_PlannedOrders[Part Name]=$A1089)*(T_PlannedOrders[WeekIndex]=86)*(T_PlannedOrders[EffectiveQty]&gt;0)*T_PlannedOrders[Order_Month])),"m月")&amp;"発注)")</f>
        <v/>
      </c>
      <c r="CL1095">
        <f>IF(SUMIFS(T_PlannedOrders[EffectiveQty],T_PlannedOrders[Part Name],$A1089,T_PlannedOrders[WeekIndex],87)=0,"",SUMIFS(T_PlannedOrders[EffectiveQty],T_PlannedOrders[Part Name],$A1089,T_PlannedOrders[WeekIndex],87)&amp;" ("&amp;TEXT(SUMPRODUCT(MAX((T_PlannedOrders[Part Name]=$A1089)*(T_PlannedOrders[WeekIndex]=87)*(T_PlannedOrders[EffectiveQty]&gt;0)*T_PlannedOrders[Order_Month])),"m月")&amp;"発注)")</f>
        <v/>
      </c>
      <c r="CM1095">
        <f>IF(SUMIFS(T_PlannedOrders[EffectiveQty],T_PlannedOrders[Part Name],$A1089,T_PlannedOrders[WeekIndex],88)=0,"",SUMIFS(T_PlannedOrders[EffectiveQty],T_PlannedOrders[Part Name],$A1089,T_PlannedOrders[WeekIndex],88)&amp;" ("&amp;TEXT(SUMPRODUCT(MAX((T_PlannedOrders[Part Name]=$A1089)*(T_PlannedOrders[WeekIndex]=88)*(T_PlannedOrders[EffectiveQty]&gt;0)*T_PlannedOrders[Order_Month])),"m月")&amp;"発注)")</f>
        <v/>
      </c>
      <c r="CN1095">
        <f>IF(SUMIFS(T_PlannedOrders[EffectiveQty],T_PlannedOrders[Part Name],$A1089,T_PlannedOrders[WeekIndex],89)=0,"",SUMIFS(T_PlannedOrders[EffectiveQty],T_PlannedOrders[Part Name],$A1089,T_PlannedOrders[WeekIndex],89)&amp;" ("&amp;TEXT(SUMPRODUCT(MAX((T_PlannedOrders[Part Name]=$A1089)*(T_PlannedOrders[WeekIndex]=89)*(T_PlannedOrders[EffectiveQty]&gt;0)*T_PlannedOrders[Order_Month])),"m月")&amp;"発注)")</f>
        <v/>
      </c>
      <c r="CO1095">
        <f>IF(SUMIFS(T_PlannedOrders[EffectiveQty],T_PlannedOrders[Part Name],$A1089,T_PlannedOrders[WeekIndex],90)=0,"",SUMIFS(T_PlannedOrders[EffectiveQty],T_PlannedOrders[Part Name],$A1089,T_PlannedOrders[WeekIndex],90)&amp;" ("&amp;TEXT(SUMPRODUCT(MAX((T_PlannedOrders[Part Name]=$A1089)*(T_PlannedOrders[WeekIndex]=90)*(T_PlannedOrders[EffectiveQty]&gt;0)*T_PlannedOrders[Order_Month])),"m月")&amp;"発注)")</f>
        <v/>
      </c>
      <c r="CP1095">
        <f>IF(SUMIFS(T_PlannedOrders[EffectiveQty],T_PlannedOrders[Part Name],$A1089,T_PlannedOrders[WeekIndex],91)=0,"",SUMIFS(T_PlannedOrders[EffectiveQty],T_PlannedOrders[Part Name],$A1089,T_PlannedOrders[WeekIndex],91)&amp;" ("&amp;TEXT(SUMPRODUCT(MAX((T_PlannedOrders[Part Name]=$A1089)*(T_PlannedOrders[WeekIndex]=91)*(T_PlannedOrders[EffectiveQty]&gt;0)*T_PlannedOrders[Order_Month])),"m月")&amp;"発注)")</f>
        <v/>
      </c>
      <c r="CQ1095">
        <f>IF(SUMIFS(T_PlannedOrders[EffectiveQty],T_PlannedOrders[Part Name],$A1089,T_PlannedOrders[WeekIndex],92)=0,"",SUMIFS(T_PlannedOrders[EffectiveQty],T_PlannedOrders[Part Name],$A1089,T_PlannedOrders[WeekIndex],92)&amp;" ("&amp;TEXT(SUMPRODUCT(MAX((T_PlannedOrders[Part Name]=$A1089)*(T_PlannedOrders[WeekIndex]=92)*(T_PlannedOrders[EffectiveQty]&gt;0)*T_PlannedOrders[Order_Month])),"m月")&amp;"発注)")</f>
        <v/>
      </c>
      <c r="CR1095">
        <f>IF(SUMIFS(T_PlannedOrders[EffectiveQty],T_PlannedOrders[Part Name],$A1089,T_PlannedOrders[WeekIndex],93)=0,"",SUMIFS(T_PlannedOrders[EffectiveQty],T_PlannedOrders[Part Name],$A1089,T_PlannedOrders[WeekIndex],93)&amp;" ("&amp;TEXT(SUMPRODUCT(MAX((T_PlannedOrders[Part Name]=$A1089)*(T_PlannedOrders[WeekIndex]=93)*(T_PlannedOrders[EffectiveQty]&gt;0)*T_PlannedOrders[Order_Month])),"m月")&amp;"発注)")</f>
        <v/>
      </c>
      <c r="CS1095">
        <f>IF(SUMIFS(T_PlannedOrders[EffectiveQty],T_PlannedOrders[Part Name],$A1089,T_PlannedOrders[WeekIndex],94)=0,"",SUMIFS(T_PlannedOrders[EffectiveQty],T_PlannedOrders[Part Name],$A1089,T_PlannedOrders[WeekIndex],94)&amp;" ("&amp;TEXT(SUMPRODUCT(MAX((T_PlannedOrders[Part Name]=$A1089)*(T_PlannedOrders[WeekIndex]=94)*(T_PlannedOrders[EffectiveQty]&gt;0)*T_PlannedOrders[Order_Month])),"m月")&amp;"発注)")</f>
        <v/>
      </c>
      <c r="CT1095">
        <f>IF(SUMIFS(T_PlannedOrders[EffectiveQty],T_PlannedOrders[Part Name],$A1089,T_PlannedOrders[WeekIndex],95)=0,"",SUMIFS(T_PlannedOrders[EffectiveQty],T_PlannedOrders[Part Name],$A1089,T_PlannedOrders[WeekIndex],95)&amp;" ("&amp;TEXT(SUMPRODUCT(MAX((T_PlannedOrders[Part Name]=$A1089)*(T_PlannedOrders[WeekIndex]=95)*(T_PlannedOrders[EffectiveQty]&gt;0)*T_PlannedOrders[Order_Month])),"m月")&amp;"発注)")</f>
        <v/>
      </c>
      <c r="CU1095">
        <f>IF(SUMIFS(T_PlannedOrders[EffectiveQty],T_PlannedOrders[Part Name],$A1089,T_PlannedOrders[WeekIndex],96)=0,"",SUMIFS(T_PlannedOrders[EffectiveQty],T_PlannedOrders[Part Name],$A1089,T_PlannedOrders[WeekIndex],96)&amp;" ("&amp;TEXT(SUMPRODUCT(MAX((T_PlannedOrders[Part Name]=$A1089)*(T_PlannedOrders[WeekIndex]=96)*(T_PlannedOrders[EffectiveQty]&gt;0)*T_PlannedOrders[Order_Month])),"m月")&amp;"発注)")</f>
        <v/>
      </c>
      <c r="CV1095">
        <f>IF(SUMIFS(T_PlannedOrders[EffectiveQty],T_PlannedOrders[Part Name],$A1089,T_PlannedOrders[WeekIndex],97)=0,"",SUMIFS(T_PlannedOrders[EffectiveQty],T_PlannedOrders[Part Name],$A1089,T_PlannedOrders[WeekIndex],97)&amp;" ("&amp;TEXT(SUMPRODUCT(MAX((T_PlannedOrders[Part Name]=$A1089)*(T_PlannedOrders[WeekIndex]=97)*(T_PlannedOrders[EffectiveQty]&gt;0)*T_PlannedOrders[Order_Month])),"m月")&amp;"発注)")</f>
        <v/>
      </c>
      <c r="CW1095">
        <f>IF(SUMIFS(T_PlannedOrders[EffectiveQty],T_PlannedOrders[Part Name],$A1089,T_PlannedOrders[WeekIndex],98)=0,"",SUMIFS(T_PlannedOrders[EffectiveQty],T_PlannedOrders[Part Name],$A1089,T_PlannedOrders[WeekIndex],98)&amp;" ("&amp;TEXT(SUMPRODUCT(MAX((T_PlannedOrders[Part Name]=$A1089)*(T_PlannedOrders[WeekIndex]=98)*(T_PlannedOrders[EffectiveQty]&gt;0)*T_PlannedOrders[Order_Month])),"m月")&amp;"発注)")</f>
        <v/>
      </c>
      <c r="CX1095">
        <f>IF(SUMIFS(T_PlannedOrders[EffectiveQty],T_PlannedOrders[Part Name],$A1089,T_PlannedOrders[WeekIndex],99)=0,"",SUMIFS(T_PlannedOrders[EffectiveQty],T_PlannedOrders[Part Name],$A1089,T_PlannedOrders[WeekIndex],99)&amp;" ("&amp;TEXT(SUMPRODUCT(MAX((T_PlannedOrders[Part Name]=$A1089)*(T_PlannedOrders[WeekIndex]=99)*(T_PlannedOrders[EffectiveQty]&gt;0)*T_PlannedOrders[Order_Month])),"m月")&amp;"発注)")</f>
        <v/>
      </c>
      <c r="CY1095">
        <f>IF(SUMIFS(T_PlannedOrders[EffectiveQty],T_PlannedOrders[Part Name],$A1089,T_PlannedOrders[WeekIndex],100)=0,"",SUMIFS(T_PlannedOrders[EffectiveQty],T_PlannedOrders[Part Name],$A1089,T_PlannedOrders[WeekIndex],100)&amp;" ("&amp;TEXT(SUMPRODUCT(MAX((T_PlannedOrders[Part Name]=$A1089)*(T_PlannedOrders[WeekIndex]=100)*(T_PlannedOrders[EffectiveQty]&gt;0)*T_PlannedOrders[Order_Month])),"m月")&amp;"発注)")</f>
        <v/>
      </c>
      <c r="CZ1095">
        <f>IF(SUMIFS(T_PlannedOrders[EffectiveQty],T_PlannedOrders[Part Name],$A1089,T_PlannedOrders[WeekIndex],101)=0,"",SUMIFS(T_PlannedOrders[EffectiveQty],T_PlannedOrders[Part Name],$A1089,T_PlannedOrders[WeekIndex],101)&amp;" ("&amp;TEXT(SUMPRODUCT(MAX((T_PlannedOrders[Part Name]=$A1089)*(T_PlannedOrders[WeekIndex]=101)*(T_PlannedOrders[EffectiveQty]&gt;0)*T_PlannedOrders[Order_Month])),"m月")&amp;"発注)")</f>
        <v/>
      </c>
      <c r="DA1095">
        <f>IF(SUMIFS(T_PlannedOrders[EffectiveQty],T_PlannedOrders[Part Name],$A1089,T_PlannedOrders[WeekIndex],102)=0,"",SUMIFS(T_PlannedOrders[EffectiveQty],T_PlannedOrders[Part Name],$A1089,T_PlannedOrders[WeekIndex],102)&amp;" ("&amp;TEXT(SUMPRODUCT(MAX((T_PlannedOrders[Part Name]=$A1089)*(T_PlannedOrders[WeekIndex]=102)*(T_PlannedOrders[EffectiveQty]&gt;0)*T_PlannedOrders[Order_Month])),"m月")&amp;"発注)")</f>
        <v/>
      </c>
      <c r="DB1095">
        <f>IF(SUMIFS(T_PlannedOrders[EffectiveQty],T_PlannedOrders[Part Name],$A1089,T_PlannedOrders[WeekIndex],103)=0,"",SUMIFS(T_PlannedOrders[EffectiveQty],T_PlannedOrders[Part Name],$A1089,T_PlannedOrders[WeekIndex],103)&amp;" ("&amp;TEXT(SUMPRODUCT(MAX((T_PlannedOrders[Part Name]=$A1089)*(T_PlannedOrders[WeekIndex]=103)*(T_PlannedOrders[EffectiveQty]&gt;0)*T_PlannedOrders[Order_Month])),"m月")&amp;"発注)")</f>
        <v/>
      </c>
      <c r="DC1095">
        <f>IF(SUMIFS(T_PlannedOrders[EffectiveQty],T_PlannedOrders[Part Name],$A1089,T_PlannedOrders[WeekIndex],104)=0,"",SUMIFS(T_PlannedOrders[EffectiveQty],T_PlannedOrders[Part Name],$A1089,T_PlannedOrders[WeekIndex],104)&amp;" ("&amp;TEXT(SUMPRODUCT(MAX((T_PlannedOrders[Part Name]=$A1089)*(T_PlannedOrders[WeekIndex]=104)*(T_PlannedOrders[EffectiveQty]&gt;0)*T_PlannedOrders[Order_Month])),"m月")&amp;"発注)")</f>
        <v/>
      </c>
    </row>
    <row r="1096">
      <c r="B1096" s="4" t="inlineStr">
        <is>
          <t>合計在庫(週末時点,kg)</t>
        </is>
      </c>
      <c r="D1096">
        <f>'Grid_Stock'!B39</f>
        <v/>
      </c>
      <c r="E1096">
        <f>'Grid_Stock'!C39</f>
        <v/>
      </c>
      <c r="F1096">
        <f>'Grid_Stock'!D39</f>
        <v/>
      </c>
      <c r="G1096">
        <f>'Grid_Stock'!E39</f>
        <v/>
      </c>
      <c r="H1096">
        <f>'Grid_Stock'!F39</f>
        <v/>
      </c>
      <c r="I1096">
        <f>'Grid_Stock'!G39</f>
        <v/>
      </c>
      <c r="J1096">
        <f>'Grid_Stock'!H39</f>
        <v/>
      </c>
      <c r="K1096">
        <f>'Grid_Stock'!I39</f>
        <v/>
      </c>
      <c r="L1096">
        <f>'Grid_Stock'!J39</f>
        <v/>
      </c>
      <c r="M1096">
        <f>'Grid_Stock'!K39</f>
        <v/>
      </c>
      <c r="N1096">
        <f>'Grid_Stock'!L39</f>
        <v/>
      </c>
      <c r="O1096">
        <f>'Grid_Stock'!M39</f>
        <v/>
      </c>
      <c r="P1096">
        <f>'Grid_Stock'!N39</f>
        <v/>
      </c>
      <c r="Q1096">
        <f>'Grid_Stock'!O39</f>
        <v/>
      </c>
      <c r="R1096">
        <f>'Grid_Stock'!P39</f>
        <v/>
      </c>
      <c r="S1096">
        <f>'Grid_Stock'!Q39</f>
        <v/>
      </c>
      <c r="T1096">
        <f>'Grid_Stock'!R39</f>
        <v/>
      </c>
      <c r="U1096">
        <f>'Grid_Stock'!S39</f>
        <v/>
      </c>
      <c r="V1096">
        <f>'Grid_Stock'!T39</f>
        <v/>
      </c>
      <c r="W1096">
        <f>'Grid_Stock'!U39</f>
        <v/>
      </c>
      <c r="X1096">
        <f>'Grid_Stock'!V39</f>
        <v/>
      </c>
      <c r="Y1096">
        <f>'Grid_Stock'!W39</f>
        <v/>
      </c>
      <c r="Z1096">
        <f>'Grid_Stock'!X39</f>
        <v/>
      </c>
      <c r="AA1096">
        <f>'Grid_Stock'!Y39</f>
        <v/>
      </c>
      <c r="AB1096">
        <f>'Grid_Stock'!Z39</f>
        <v/>
      </c>
      <c r="AC1096">
        <f>'Grid_Stock'!AA39</f>
        <v/>
      </c>
      <c r="AD1096">
        <f>'Grid_Stock'!AB39</f>
        <v/>
      </c>
      <c r="AE1096">
        <f>'Grid_Stock'!AC39</f>
        <v/>
      </c>
      <c r="AF1096">
        <f>'Grid_Stock'!AD39</f>
        <v/>
      </c>
      <c r="AG1096">
        <f>'Grid_Stock'!AE39</f>
        <v/>
      </c>
      <c r="AH1096">
        <f>'Grid_Stock'!AF39</f>
        <v/>
      </c>
      <c r="AI1096">
        <f>'Grid_Stock'!AG39</f>
        <v/>
      </c>
      <c r="AJ1096">
        <f>'Grid_Stock'!AH39</f>
        <v/>
      </c>
      <c r="AK1096">
        <f>'Grid_Stock'!AI39</f>
        <v/>
      </c>
      <c r="AL1096">
        <f>'Grid_Stock'!AJ39</f>
        <v/>
      </c>
      <c r="AM1096">
        <f>'Grid_Stock'!AK39</f>
        <v/>
      </c>
      <c r="AN1096">
        <f>'Grid_Stock'!AL39</f>
        <v/>
      </c>
      <c r="AO1096">
        <f>'Grid_Stock'!AM39</f>
        <v/>
      </c>
      <c r="AP1096">
        <f>'Grid_Stock'!AN39</f>
        <v/>
      </c>
      <c r="AQ1096">
        <f>'Grid_Stock'!AO39</f>
        <v/>
      </c>
      <c r="AR1096">
        <f>'Grid_Stock'!AP39</f>
        <v/>
      </c>
      <c r="AS1096">
        <f>'Grid_Stock'!AQ39</f>
        <v/>
      </c>
      <c r="AT1096">
        <f>'Grid_Stock'!AR39</f>
        <v/>
      </c>
      <c r="AU1096">
        <f>'Grid_Stock'!AS39</f>
        <v/>
      </c>
      <c r="AV1096">
        <f>'Grid_Stock'!AT39</f>
        <v/>
      </c>
      <c r="AW1096">
        <f>'Grid_Stock'!AU39</f>
        <v/>
      </c>
      <c r="AX1096">
        <f>'Grid_Stock'!AV39</f>
        <v/>
      </c>
      <c r="AY1096">
        <f>'Grid_Stock'!AW39</f>
        <v/>
      </c>
      <c r="AZ1096">
        <f>'Grid_Stock'!AX39</f>
        <v/>
      </c>
      <c r="BA1096">
        <f>'Grid_Stock'!AY39</f>
        <v/>
      </c>
      <c r="BB1096">
        <f>'Grid_Stock'!AZ39</f>
        <v/>
      </c>
      <c r="BC1096">
        <f>'Grid_Stock'!BA39</f>
        <v/>
      </c>
      <c r="BD1096">
        <f>'Grid_Stock'!BB39</f>
        <v/>
      </c>
      <c r="BE1096">
        <f>'Grid_Stock'!BC39</f>
        <v/>
      </c>
      <c r="BF1096">
        <f>'Grid_Stock'!BD39</f>
        <v/>
      </c>
      <c r="BG1096">
        <f>'Grid_Stock'!BE39</f>
        <v/>
      </c>
      <c r="BH1096">
        <f>'Grid_Stock'!BF39</f>
        <v/>
      </c>
      <c r="BI1096">
        <f>'Grid_Stock'!BG39</f>
        <v/>
      </c>
      <c r="BJ1096">
        <f>'Grid_Stock'!BH39</f>
        <v/>
      </c>
      <c r="BK1096">
        <f>'Grid_Stock'!BI39</f>
        <v/>
      </c>
      <c r="BL1096">
        <f>'Grid_Stock'!BJ39</f>
        <v/>
      </c>
      <c r="BM1096">
        <f>'Grid_Stock'!BK39</f>
        <v/>
      </c>
      <c r="BN1096">
        <f>'Grid_Stock'!BL39</f>
        <v/>
      </c>
      <c r="BO1096">
        <f>'Grid_Stock'!BM39</f>
        <v/>
      </c>
      <c r="BP1096">
        <f>'Grid_Stock'!BN39</f>
        <v/>
      </c>
      <c r="BQ1096">
        <f>'Grid_Stock'!BO39</f>
        <v/>
      </c>
      <c r="BR1096">
        <f>'Grid_Stock'!BP39</f>
        <v/>
      </c>
      <c r="BS1096">
        <f>'Grid_Stock'!BQ39</f>
        <v/>
      </c>
      <c r="BT1096">
        <f>'Grid_Stock'!BR39</f>
        <v/>
      </c>
      <c r="BU1096">
        <f>'Grid_Stock'!BS39</f>
        <v/>
      </c>
      <c r="BV1096">
        <f>'Grid_Stock'!BT39</f>
        <v/>
      </c>
      <c r="BW1096">
        <f>'Grid_Stock'!BU39</f>
        <v/>
      </c>
      <c r="BX1096">
        <f>'Grid_Stock'!BV39</f>
        <v/>
      </c>
      <c r="BY1096">
        <f>'Grid_Stock'!BW39</f>
        <v/>
      </c>
      <c r="BZ1096">
        <f>'Grid_Stock'!BX39</f>
        <v/>
      </c>
      <c r="CA1096">
        <f>'Grid_Stock'!BY39</f>
        <v/>
      </c>
      <c r="CB1096">
        <f>'Grid_Stock'!BZ39</f>
        <v/>
      </c>
      <c r="CC1096">
        <f>'Grid_Stock'!CA39</f>
        <v/>
      </c>
      <c r="CD1096">
        <f>'Grid_Stock'!CB39</f>
        <v/>
      </c>
      <c r="CE1096">
        <f>'Grid_Stock'!CC39</f>
        <v/>
      </c>
      <c r="CF1096">
        <f>'Grid_Stock'!CD39</f>
        <v/>
      </c>
      <c r="CG1096">
        <f>'Grid_Stock'!CE39</f>
        <v/>
      </c>
      <c r="CH1096">
        <f>'Grid_Stock'!CF39</f>
        <v/>
      </c>
      <c r="CI1096">
        <f>'Grid_Stock'!CG39</f>
        <v/>
      </c>
      <c r="CJ1096">
        <f>'Grid_Stock'!CH39</f>
        <v/>
      </c>
      <c r="CK1096">
        <f>'Grid_Stock'!CI39</f>
        <v/>
      </c>
      <c r="CL1096">
        <f>'Grid_Stock'!CJ39</f>
        <v/>
      </c>
      <c r="CM1096">
        <f>'Grid_Stock'!CK39</f>
        <v/>
      </c>
      <c r="CN1096">
        <f>'Grid_Stock'!CL39</f>
        <v/>
      </c>
      <c r="CO1096">
        <f>'Grid_Stock'!CM39</f>
        <v/>
      </c>
      <c r="CP1096">
        <f>'Grid_Stock'!CN39</f>
        <v/>
      </c>
      <c r="CQ1096">
        <f>'Grid_Stock'!CO39</f>
        <v/>
      </c>
      <c r="CR1096">
        <f>'Grid_Stock'!CP39</f>
        <v/>
      </c>
      <c r="CS1096">
        <f>'Grid_Stock'!CQ39</f>
        <v/>
      </c>
      <c r="CT1096">
        <f>'Grid_Stock'!CR39</f>
        <v/>
      </c>
      <c r="CU1096">
        <f>'Grid_Stock'!CS39</f>
        <v/>
      </c>
      <c r="CV1096">
        <f>'Grid_Stock'!CT39</f>
        <v/>
      </c>
      <c r="CW1096">
        <f>'Grid_Stock'!CU39</f>
        <v/>
      </c>
      <c r="CX1096">
        <f>'Grid_Stock'!CV39</f>
        <v/>
      </c>
      <c r="CY1096">
        <f>'Grid_Stock'!CW39</f>
        <v/>
      </c>
      <c r="CZ1096">
        <f>'Grid_Stock'!CX39</f>
        <v/>
      </c>
      <c r="DA1096">
        <f>'Grid_Stock'!CY39</f>
        <v/>
      </c>
      <c r="DB1096">
        <f>'Grid_Stock'!CZ39</f>
        <v/>
      </c>
      <c r="DC1096">
        <f>'Grid_Stock'!DA39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CHEM-1820</t>
        </is>
      </c>
      <c r="B1099" s="14" t="inlineStr">
        <is>
          <t>JCK-472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TPP-1459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TPP-1466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TSP-219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4" t="inlineStr">
        <is>
          <t>合計使用量(kg)/週</t>
        </is>
      </c>
      <c r="D1106">
        <f>'Grid_Requirement'!B28</f>
        <v/>
      </c>
      <c r="E1106">
        <f>'Grid_Requirement'!C28</f>
        <v/>
      </c>
      <c r="F1106">
        <f>'Grid_Requirement'!D28</f>
        <v/>
      </c>
      <c r="G1106">
        <f>'Grid_Requirement'!E28</f>
        <v/>
      </c>
      <c r="H1106">
        <f>'Grid_Requirement'!F28</f>
        <v/>
      </c>
      <c r="I1106">
        <f>'Grid_Requirement'!G28</f>
        <v/>
      </c>
      <c r="J1106">
        <f>'Grid_Requirement'!H28</f>
        <v/>
      </c>
      <c r="K1106">
        <f>'Grid_Requirement'!I28</f>
        <v/>
      </c>
      <c r="L1106">
        <f>'Grid_Requirement'!J28</f>
        <v/>
      </c>
      <c r="M1106">
        <f>'Grid_Requirement'!K28</f>
        <v/>
      </c>
      <c r="N1106">
        <f>'Grid_Requirement'!L28</f>
        <v/>
      </c>
      <c r="O1106">
        <f>'Grid_Requirement'!M28</f>
        <v/>
      </c>
      <c r="P1106">
        <f>'Grid_Requirement'!N28</f>
        <v/>
      </c>
      <c r="Q1106">
        <f>'Grid_Requirement'!O28</f>
        <v/>
      </c>
      <c r="R1106">
        <f>'Grid_Requirement'!P28</f>
        <v/>
      </c>
      <c r="S1106">
        <f>'Grid_Requirement'!Q28</f>
        <v/>
      </c>
      <c r="T1106">
        <f>'Grid_Requirement'!R28</f>
        <v/>
      </c>
      <c r="U1106">
        <f>'Grid_Requirement'!S28</f>
        <v/>
      </c>
      <c r="V1106">
        <f>'Grid_Requirement'!T28</f>
        <v/>
      </c>
      <c r="W1106">
        <f>'Grid_Requirement'!U28</f>
        <v/>
      </c>
      <c r="X1106">
        <f>'Grid_Requirement'!V28</f>
        <v/>
      </c>
      <c r="Y1106">
        <f>'Grid_Requirement'!W28</f>
        <v/>
      </c>
      <c r="Z1106">
        <f>'Grid_Requirement'!X28</f>
        <v/>
      </c>
      <c r="AA1106">
        <f>'Grid_Requirement'!Y28</f>
        <v/>
      </c>
      <c r="AB1106">
        <f>'Grid_Requirement'!Z28</f>
        <v/>
      </c>
      <c r="AC1106">
        <f>'Grid_Requirement'!AA28</f>
        <v/>
      </c>
      <c r="AD1106">
        <f>'Grid_Requirement'!AB28</f>
        <v/>
      </c>
      <c r="AE1106">
        <f>'Grid_Requirement'!AC28</f>
        <v/>
      </c>
      <c r="AF1106">
        <f>'Grid_Requirement'!AD28</f>
        <v/>
      </c>
      <c r="AG1106">
        <f>'Grid_Requirement'!AE28</f>
        <v/>
      </c>
      <c r="AH1106">
        <f>'Grid_Requirement'!AF28</f>
        <v/>
      </c>
      <c r="AI1106">
        <f>'Grid_Requirement'!AG28</f>
        <v/>
      </c>
      <c r="AJ1106">
        <f>'Grid_Requirement'!AH28</f>
        <v/>
      </c>
      <c r="AK1106">
        <f>'Grid_Requirement'!AI28</f>
        <v/>
      </c>
      <c r="AL1106">
        <f>'Grid_Requirement'!AJ28</f>
        <v/>
      </c>
      <c r="AM1106">
        <f>'Grid_Requirement'!AK28</f>
        <v/>
      </c>
      <c r="AN1106">
        <f>'Grid_Requirement'!AL28</f>
        <v/>
      </c>
      <c r="AO1106">
        <f>'Grid_Requirement'!AM28</f>
        <v/>
      </c>
      <c r="AP1106">
        <f>'Grid_Requirement'!AN28</f>
        <v/>
      </c>
      <c r="AQ1106">
        <f>'Grid_Requirement'!AO28</f>
        <v/>
      </c>
      <c r="AR1106">
        <f>'Grid_Requirement'!AP28</f>
        <v/>
      </c>
      <c r="AS1106">
        <f>'Grid_Requirement'!AQ28</f>
        <v/>
      </c>
      <c r="AT1106">
        <f>'Grid_Requirement'!AR28</f>
        <v/>
      </c>
      <c r="AU1106">
        <f>'Grid_Requirement'!AS28</f>
        <v/>
      </c>
      <c r="AV1106">
        <f>'Grid_Requirement'!AT28</f>
        <v/>
      </c>
      <c r="AW1106">
        <f>'Grid_Requirement'!AU28</f>
        <v/>
      </c>
      <c r="AX1106">
        <f>'Grid_Requirement'!AV28</f>
        <v/>
      </c>
      <c r="AY1106">
        <f>'Grid_Requirement'!AW28</f>
        <v/>
      </c>
      <c r="AZ1106">
        <f>'Grid_Requirement'!AX28</f>
        <v/>
      </c>
      <c r="BA1106">
        <f>'Grid_Requirement'!AY28</f>
        <v/>
      </c>
      <c r="BB1106">
        <f>'Grid_Requirement'!AZ28</f>
        <v/>
      </c>
      <c r="BC1106">
        <f>'Grid_Requirement'!BA28</f>
        <v/>
      </c>
      <c r="BD1106">
        <f>'Grid_Requirement'!BB28</f>
        <v/>
      </c>
      <c r="BE1106">
        <f>'Grid_Requirement'!BC28</f>
        <v/>
      </c>
      <c r="BF1106">
        <f>'Grid_Requirement'!BD28</f>
        <v/>
      </c>
      <c r="BG1106">
        <f>'Grid_Requirement'!BE28</f>
        <v/>
      </c>
      <c r="BH1106">
        <f>'Grid_Requirement'!BF28</f>
        <v/>
      </c>
      <c r="BI1106">
        <f>'Grid_Requirement'!BG28</f>
        <v/>
      </c>
      <c r="BJ1106">
        <f>'Grid_Requirement'!BH28</f>
        <v/>
      </c>
      <c r="BK1106">
        <f>'Grid_Requirement'!BI28</f>
        <v/>
      </c>
      <c r="BL1106">
        <f>'Grid_Requirement'!BJ28</f>
        <v/>
      </c>
      <c r="BM1106">
        <f>'Grid_Requirement'!BK28</f>
        <v/>
      </c>
      <c r="BN1106">
        <f>'Grid_Requirement'!BL28</f>
        <v/>
      </c>
      <c r="BO1106">
        <f>'Grid_Requirement'!BM28</f>
        <v/>
      </c>
      <c r="BP1106">
        <f>'Grid_Requirement'!BN28</f>
        <v/>
      </c>
      <c r="BQ1106">
        <f>'Grid_Requirement'!BO28</f>
        <v/>
      </c>
      <c r="BR1106">
        <f>'Grid_Requirement'!BP28</f>
        <v/>
      </c>
      <c r="BS1106">
        <f>'Grid_Requirement'!BQ28</f>
        <v/>
      </c>
      <c r="BT1106">
        <f>'Grid_Requirement'!BR28</f>
        <v/>
      </c>
      <c r="BU1106">
        <f>'Grid_Requirement'!BS28</f>
        <v/>
      </c>
      <c r="BV1106">
        <f>'Grid_Requirement'!BT28</f>
        <v/>
      </c>
      <c r="BW1106">
        <f>'Grid_Requirement'!BU28</f>
        <v/>
      </c>
      <c r="BX1106">
        <f>'Grid_Requirement'!BV28</f>
        <v/>
      </c>
      <c r="BY1106">
        <f>'Grid_Requirement'!BW28</f>
        <v/>
      </c>
      <c r="BZ1106">
        <f>'Grid_Requirement'!BX28</f>
        <v/>
      </c>
      <c r="CA1106">
        <f>'Grid_Requirement'!BY28</f>
        <v/>
      </c>
      <c r="CB1106">
        <f>'Grid_Requirement'!BZ28</f>
        <v/>
      </c>
      <c r="CC1106">
        <f>'Grid_Requirement'!CA28</f>
        <v/>
      </c>
      <c r="CD1106">
        <f>'Grid_Requirement'!CB28</f>
        <v/>
      </c>
      <c r="CE1106">
        <f>'Grid_Requirement'!CC28</f>
        <v/>
      </c>
      <c r="CF1106">
        <f>'Grid_Requirement'!CD28</f>
        <v/>
      </c>
      <c r="CG1106">
        <f>'Grid_Requirement'!CE28</f>
        <v/>
      </c>
      <c r="CH1106">
        <f>'Grid_Requirement'!CF28</f>
        <v/>
      </c>
      <c r="CI1106">
        <f>'Grid_Requirement'!CG28</f>
        <v/>
      </c>
      <c r="CJ1106">
        <f>'Grid_Requirement'!CH28</f>
        <v/>
      </c>
      <c r="CK1106">
        <f>'Grid_Requirement'!CI28</f>
        <v/>
      </c>
      <c r="CL1106">
        <f>'Grid_Requirement'!CJ28</f>
        <v/>
      </c>
      <c r="CM1106">
        <f>'Grid_Requirement'!CK28</f>
        <v/>
      </c>
      <c r="CN1106">
        <f>'Grid_Requirement'!CL28</f>
        <v/>
      </c>
      <c r="CO1106">
        <f>'Grid_Requirement'!CM28</f>
        <v/>
      </c>
      <c r="CP1106">
        <f>'Grid_Requirement'!CN28</f>
        <v/>
      </c>
      <c r="CQ1106">
        <f>'Grid_Requirement'!CO28</f>
        <v/>
      </c>
      <c r="CR1106">
        <f>'Grid_Requirement'!CP28</f>
        <v/>
      </c>
      <c r="CS1106">
        <f>'Grid_Requirement'!CQ28</f>
        <v/>
      </c>
      <c r="CT1106">
        <f>'Grid_Requirement'!CR28</f>
        <v/>
      </c>
      <c r="CU1106">
        <f>'Grid_Requirement'!CS28</f>
        <v/>
      </c>
      <c r="CV1106">
        <f>'Grid_Requirement'!CT28</f>
        <v/>
      </c>
      <c r="CW1106">
        <f>'Grid_Requirement'!CU28</f>
        <v/>
      </c>
      <c r="CX1106">
        <f>'Grid_Requirement'!CV28</f>
        <v/>
      </c>
      <c r="CY1106">
        <f>'Grid_Requirement'!CW28</f>
        <v/>
      </c>
      <c r="CZ1106">
        <f>'Grid_Requirement'!CX28</f>
        <v/>
      </c>
      <c r="DA1106">
        <f>'Grid_Requirement'!CY28</f>
        <v/>
      </c>
      <c r="DB1106">
        <f>'Grid_Requirement'!CZ28</f>
        <v/>
      </c>
      <c r="DC1106">
        <f>'Grid_Requirement'!DA28</f>
        <v/>
      </c>
    </row>
    <row r="1107">
      <c r="B1107" t="inlineStr">
        <is>
          <t>TTAF在庫(実績,kg)</t>
        </is>
      </c>
      <c r="D1107">
        <f>'T_TTAFStock'!B32</f>
        <v/>
      </c>
      <c r="E1107">
        <f>'T_TTAFStock'!C32</f>
        <v/>
      </c>
      <c r="F1107">
        <f>'T_TTAFStock'!D32</f>
        <v/>
      </c>
      <c r="G1107">
        <f>'T_TTAFStock'!E32</f>
        <v/>
      </c>
      <c r="H1107">
        <f>'T_TTAFStock'!F32</f>
        <v/>
      </c>
      <c r="I1107">
        <f>'T_TTAFStock'!G32</f>
        <v/>
      </c>
      <c r="J1107">
        <f>'T_TTAFStock'!H32</f>
        <v/>
      </c>
      <c r="K1107">
        <f>'T_TTAFStock'!I32</f>
        <v/>
      </c>
      <c r="L1107">
        <f>'T_TTAFStock'!J32</f>
        <v/>
      </c>
      <c r="M1107">
        <f>'T_TTAFStock'!K32</f>
        <v/>
      </c>
      <c r="N1107">
        <f>'T_TTAFStock'!L32</f>
        <v/>
      </c>
      <c r="O1107">
        <f>'T_TTAFStock'!M32</f>
        <v/>
      </c>
      <c r="P1107">
        <f>'T_TTAFStock'!N32</f>
        <v/>
      </c>
      <c r="Q1107">
        <f>'T_TTAFStock'!O32</f>
        <v/>
      </c>
      <c r="R1107">
        <f>'T_TTAFStock'!P32</f>
        <v/>
      </c>
      <c r="S1107">
        <f>'T_TTAFStock'!Q32</f>
        <v/>
      </c>
      <c r="T1107">
        <f>'T_TTAFStock'!R32</f>
        <v/>
      </c>
      <c r="U1107">
        <f>'T_TTAFStock'!S32</f>
        <v/>
      </c>
      <c r="V1107">
        <f>'T_TTAFStock'!T32</f>
        <v/>
      </c>
      <c r="W1107">
        <f>'T_TTAFStock'!U32</f>
        <v/>
      </c>
      <c r="X1107">
        <f>'T_TTAFStock'!V32</f>
        <v/>
      </c>
      <c r="Y1107">
        <f>'T_TTAFStock'!W32</f>
        <v/>
      </c>
      <c r="Z1107">
        <f>'T_TTAFStock'!X32</f>
        <v/>
      </c>
      <c r="AA1107">
        <f>'T_TTAFStock'!Y32</f>
        <v/>
      </c>
      <c r="AB1107">
        <f>'T_TTAFStock'!Z32</f>
        <v/>
      </c>
      <c r="AC1107">
        <f>'T_TTAFStock'!AA32</f>
        <v/>
      </c>
      <c r="AD1107">
        <f>'T_TTAFStock'!AB32</f>
        <v/>
      </c>
      <c r="AE1107">
        <f>'T_TTAFStock'!AC32</f>
        <v/>
      </c>
      <c r="AF1107">
        <f>'T_TTAFStock'!AD32</f>
        <v/>
      </c>
      <c r="AG1107">
        <f>'T_TTAFStock'!AE32</f>
        <v/>
      </c>
      <c r="AH1107">
        <f>'T_TTAFStock'!AF32</f>
        <v/>
      </c>
      <c r="AI1107">
        <f>'T_TTAFStock'!AG32</f>
        <v/>
      </c>
      <c r="AJ1107">
        <f>'T_TTAFStock'!AH32</f>
        <v/>
      </c>
      <c r="AK1107">
        <f>'T_TTAFStock'!AI32</f>
        <v/>
      </c>
      <c r="AL1107">
        <f>'T_TTAFStock'!AJ32</f>
        <v/>
      </c>
      <c r="AM1107">
        <f>'T_TTAFStock'!AK32</f>
        <v/>
      </c>
      <c r="AN1107">
        <f>'T_TTAFStock'!AL32</f>
        <v/>
      </c>
      <c r="AO1107">
        <f>'T_TTAFStock'!AM32</f>
        <v/>
      </c>
      <c r="AP1107">
        <f>'T_TTAFStock'!AN32</f>
        <v/>
      </c>
      <c r="AQ1107">
        <f>'T_TTAFStock'!AO32</f>
        <v/>
      </c>
      <c r="AR1107">
        <f>'T_TTAFStock'!AP32</f>
        <v/>
      </c>
      <c r="AS1107">
        <f>'T_TTAFStock'!AQ32</f>
        <v/>
      </c>
      <c r="AT1107">
        <f>'T_TTAFStock'!AR32</f>
        <v/>
      </c>
      <c r="AU1107">
        <f>'T_TTAFStock'!AS32</f>
        <v/>
      </c>
      <c r="AV1107">
        <f>'T_TTAFStock'!AT32</f>
        <v/>
      </c>
      <c r="AW1107">
        <f>'T_TTAFStock'!AU32</f>
        <v/>
      </c>
      <c r="AX1107">
        <f>'T_TTAFStock'!AV32</f>
        <v/>
      </c>
      <c r="AY1107">
        <f>'T_TTAFStock'!AW32</f>
        <v/>
      </c>
      <c r="AZ1107">
        <f>'T_TTAFStock'!AX32</f>
        <v/>
      </c>
      <c r="BA1107">
        <f>'T_TTAFStock'!AY32</f>
        <v/>
      </c>
      <c r="BB1107">
        <f>'T_TTAFStock'!AZ32</f>
        <v/>
      </c>
      <c r="BC1107">
        <f>'T_TTAFStock'!BA32</f>
        <v/>
      </c>
      <c r="BD1107">
        <f>'T_TTAFStock'!BB32</f>
        <v/>
      </c>
      <c r="BE1107">
        <f>'T_TTAFStock'!BC32</f>
        <v/>
      </c>
      <c r="BF1107">
        <f>'T_TTAFStock'!BD32</f>
        <v/>
      </c>
      <c r="BG1107">
        <f>'T_TTAFStock'!BE32</f>
        <v/>
      </c>
      <c r="BH1107">
        <f>'T_TTAFStock'!BF32</f>
        <v/>
      </c>
      <c r="BI1107">
        <f>'T_TTAFStock'!BG32</f>
        <v/>
      </c>
      <c r="BJ1107">
        <f>'T_TTAFStock'!BH32</f>
        <v/>
      </c>
      <c r="BK1107">
        <f>'T_TTAFStock'!BI32</f>
        <v/>
      </c>
      <c r="BL1107">
        <f>'T_TTAFStock'!BJ32</f>
        <v/>
      </c>
      <c r="BM1107">
        <f>'T_TTAFStock'!BK32</f>
        <v/>
      </c>
      <c r="BN1107">
        <f>'T_TTAFStock'!BL32</f>
        <v/>
      </c>
      <c r="BO1107">
        <f>'T_TTAFStock'!BM32</f>
        <v/>
      </c>
      <c r="BP1107">
        <f>'T_TTAFStock'!BN32</f>
        <v/>
      </c>
      <c r="BQ1107">
        <f>'T_TTAFStock'!BO32</f>
        <v/>
      </c>
      <c r="BR1107">
        <f>'T_TTAFStock'!BP32</f>
        <v/>
      </c>
      <c r="BS1107">
        <f>'T_TTAFStock'!BQ32</f>
        <v/>
      </c>
      <c r="BT1107">
        <f>'T_TTAFStock'!BR32</f>
        <v/>
      </c>
      <c r="BU1107">
        <f>'T_TTAFStock'!BS32</f>
        <v/>
      </c>
      <c r="BV1107">
        <f>'T_TTAFStock'!BT32</f>
        <v/>
      </c>
      <c r="BW1107">
        <f>'T_TTAFStock'!BU32</f>
        <v/>
      </c>
      <c r="BX1107">
        <f>'T_TTAFStock'!BV32</f>
        <v/>
      </c>
      <c r="BY1107">
        <f>'T_TTAFStock'!BW32</f>
        <v/>
      </c>
      <c r="BZ1107">
        <f>'T_TTAFStock'!BX32</f>
        <v/>
      </c>
      <c r="CA1107">
        <f>'T_TTAFStock'!BY32</f>
        <v/>
      </c>
      <c r="CB1107">
        <f>'T_TTAFStock'!BZ32</f>
        <v/>
      </c>
      <c r="CC1107">
        <f>'T_TTAFStock'!CA32</f>
        <v/>
      </c>
      <c r="CD1107">
        <f>'T_TTAFStock'!CB32</f>
        <v/>
      </c>
      <c r="CE1107">
        <f>'T_TTAFStock'!CC32</f>
        <v/>
      </c>
      <c r="CF1107">
        <f>'T_TTAFStock'!CD32</f>
        <v/>
      </c>
      <c r="CG1107">
        <f>'T_TTAFStock'!CE32</f>
        <v/>
      </c>
      <c r="CH1107">
        <f>'T_TTAFStock'!CF32</f>
        <v/>
      </c>
      <c r="CI1107">
        <f>'T_TTAFStock'!CG32</f>
        <v/>
      </c>
      <c r="CJ1107">
        <f>'T_TTAFStock'!CH32</f>
        <v/>
      </c>
      <c r="CK1107">
        <f>'T_TTAFStock'!CI32</f>
        <v/>
      </c>
      <c r="CL1107">
        <f>'T_TTAFStock'!CJ32</f>
        <v/>
      </c>
      <c r="CM1107">
        <f>'T_TTAFStock'!CK32</f>
        <v/>
      </c>
      <c r="CN1107">
        <f>'T_TTAFStock'!CL32</f>
        <v/>
      </c>
      <c r="CO1107">
        <f>'T_TTAFStock'!CM32</f>
        <v/>
      </c>
      <c r="CP1107">
        <f>'T_TTAFStock'!CN32</f>
        <v/>
      </c>
      <c r="CQ1107">
        <f>'T_TTAFStock'!CO32</f>
        <v/>
      </c>
      <c r="CR1107">
        <f>'T_TTAFStock'!CP32</f>
        <v/>
      </c>
      <c r="CS1107">
        <f>'T_TTAFStock'!CQ32</f>
        <v/>
      </c>
      <c r="CT1107">
        <f>'T_TTAFStock'!CR32</f>
        <v/>
      </c>
      <c r="CU1107">
        <f>'T_TTAFStock'!CS32</f>
        <v/>
      </c>
      <c r="CV1107">
        <f>'T_TTAFStock'!CT32</f>
        <v/>
      </c>
      <c r="CW1107">
        <f>'T_TTAFStock'!CU32</f>
        <v/>
      </c>
      <c r="CX1107">
        <f>'T_TTAFStock'!CV32</f>
        <v/>
      </c>
      <c r="CY1107">
        <f>'T_TTAFStock'!CW32</f>
        <v/>
      </c>
      <c r="CZ1107">
        <f>'T_TTAFStock'!CX32</f>
        <v/>
      </c>
      <c r="DA1107">
        <f>'T_TTAFStock'!CY32</f>
        <v/>
      </c>
      <c r="DB1107">
        <f>'T_TTAFStock'!CZ32</f>
        <v/>
      </c>
      <c r="DC1107">
        <f>'T_TTAFStock'!DA32</f>
        <v/>
      </c>
    </row>
    <row r="1108">
      <c r="B1108" t="inlineStr">
        <is>
          <t>自社在庫(実績,kg)</t>
        </is>
      </c>
      <c r="D1108">
        <f>'T_SelfStock'!B32</f>
        <v/>
      </c>
      <c r="E1108">
        <f>'T_SelfStock'!C32</f>
        <v/>
      </c>
      <c r="F1108">
        <f>'T_SelfStock'!D32</f>
        <v/>
      </c>
      <c r="G1108">
        <f>'T_SelfStock'!E32</f>
        <v/>
      </c>
      <c r="H1108">
        <f>'T_SelfStock'!F32</f>
        <v/>
      </c>
      <c r="I1108">
        <f>'T_SelfStock'!G32</f>
        <v/>
      </c>
      <c r="J1108">
        <f>'T_SelfStock'!H32</f>
        <v/>
      </c>
      <c r="K1108">
        <f>'T_SelfStock'!I32</f>
        <v/>
      </c>
      <c r="L1108">
        <f>'T_SelfStock'!J32</f>
        <v/>
      </c>
      <c r="M1108">
        <f>'T_SelfStock'!K32</f>
        <v/>
      </c>
      <c r="N1108">
        <f>'T_SelfStock'!L32</f>
        <v/>
      </c>
      <c r="O1108">
        <f>'T_SelfStock'!M32</f>
        <v/>
      </c>
      <c r="P1108">
        <f>'T_SelfStock'!N32</f>
        <v/>
      </c>
      <c r="Q1108">
        <f>'T_SelfStock'!O32</f>
        <v/>
      </c>
      <c r="R1108">
        <f>'T_SelfStock'!P32</f>
        <v/>
      </c>
      <c r="S1108">
        <f>'T_SelfStock'!Q32</f>
        <v/>
      </c>
      <c r="T1108">
        <f>'T_SelfStock'!R32</f>
        <v/>
      </c>
      <c r="U1108">
        <f>'T_SelfStock'!S32</f>
        <v/>
      </c>
      <c r="V1108">
        <f>'T_SelfStock'!T32</f>
        <v/>
      </c>
      <c r="W1108">
        <f>'T_SelfStock'!U32</f>
        <v/>
      </c>
      <c r="X1108">
        <f>'T_SelfStock'!V32</f>
        <v/>
      </c>
      <c r="Y1108">
        <f>'T_SelfStock'!W32</f>
        <v/>
      </c>
      <c r="Z1108">
        <f>'T_SelfStock'!X32</f>
        <v/>
      </c>
      <c r="AA1108">
        <f>'T_SelfStock'!Y32</f>
        <v/>
      </c>
      <c r="AB1108">
        <f>'T_SelfStock'!Z32</f>
        <v/>
      </c>
      <c r="AC1108">
        <f>'T_SelfStock'!AA32</f>
        <v/>
      </c>
      <c r="AD1108">
        <f>'T_SelfStock'!AB32</f>
        <v/>
      </c>
      <c r="AE1108">
        <f>'T_SelfStock'!AC32</f>
        <v/>
      </c>
      <c r="AF1108">
        <f>'T_SelfStock'!AD32</f>
        <v/>
      </c>
      <c r="AG1108">
        <f>'T_SelfStock'!AE32</f>
        <v/>
      </c>
      <c r="AH1108">
        <f>'T_SelfStock'!AF32</f>
        <v/>
      </c>
      <c r="AI1108">
        <f>'T_SelfStock'!AG32</f>
        <v/>
      </c>
      <c r="AJ1108">
        <f>'T_SelfStock'!AH32</f>
        <v/>
      </c>
      <c r="AK1108">
        <f>'T_SelfStock'!AI32</f>
        <v/>
      </c>
      <c r="AL1108">
        <f>'T_SelfStock'!AJ32</f>
        <v/>
      </c>
      <c r="AM1108">
        <f>'T_SelfStock'!AK32</f>
        <v/>
      </c>
      <c r="AN1108">
        <f>'T_SelfStock'!AL32</f>
        <v/>
      </c>
      <c r="AO1108">
        <f>'T_SelfStock'!AM32</f>
        <v/>
      </c>
      <c r="AP1108">
        <f>'T_SelfStock'!AN32</f>
        <v/>
      </c>
      <c r="AQ1108">
        <f>'T_SelfStock'!AO32</f>
        <v/>
      </c>
      <c r="AR1108">
        <f>'T_SelfStock'!AP32</f>
        <v/>
      </c>
      <c r="AS1108">
        <f>'T_SelfStock'!AQ32</f>
        <v/>
      </c>
      <c r="AT1108">
        <f>'T_SelfStock'!AR32</f>
        <v/>
      </c>
      <c r="AU1108">
        <f>'T_SelfStock'!AS32</f>
        <v/>
      </c>
      <c r="AV1108">
        <f>'T_SelfStock'!AT32</f>
        <v/>
      </c>
      <c r="AW1108">
        <f>'T_SelfStock'!AU32</f>
        <v/>
      </c>
      <c r="AX1108">
        <f>'T_SelfStock'!AV32</f>
        <v/>
      </c>
      <c r="AY1108">
        <f>'T_SelfStock'!AW32</f>
        <v/>
      </c>
      <c r="AZ1108">
        <f>'T_SelfStock'!AX32</f>
        <v/>
      </c>
      <c r="BA1108">
        <f>'T_SelfStock'!AY32</f>
        <v/>
      </c>
      <c r="BB1108">
        <f>'T_SelfStock'!AZ32</f>
        <v/>
      </c>
      <c r="BC1108">
        <f>'T_SelfStock'!BA32</f>
        <v/>
      </c>
      <c r="BD1108">
        <f>'T_SelfStock'!BB32</f>
        <v/>
      </c>
      <c r="BE1108">
        <f>'T_SelfStock'!BC32</f>
        <v/>
      </c>
      <c r="BF1108">
        <f>'T_SelfStock'!BD32</f>
        <v/>
      </c>
      <c r="BG1108">
        <f>'T_SelfStock'!BE32</f>
        <v/>
      </c>
      <c r="BH1108">
        <f>'T_SelfStock'!BF32</f>
        <v/>
      </c>
      <c r="BI1108">
        <f>'T_SelfStock'!BG32</f>
        <v/>
      </c>
      <c r="BJ1108">
        <f>'T_SelfStock'!BH32</f>
        <v/>
      </c>
      <c r="BK1108">
        <f>'T_SelfStock'!BI32</f>
        <v/>
      </c>
      <c r="BL1108">
        <f>'T_SelfStock'!BJ32</f>
        <v/>
      </c>
      <c r="BM1108">
        <f>'T_SelfStock'!BK32</f>
        <v/>
      </c>
      <c r="BN1108">
        <f>'T_SelfStock'!BL32</f>
        <v/>
      </c>
      <c r="BO1108">
        <f>'T_SelfStock'!BM32</f>
        <v/>
      </c>
      <c r="BP1108">
        <f>'T_SelfStock'!BN32</f>
        <v/>
      </c>
      <c r="BQ1108">
        <f>'T_SelfStock'!BO32</f>
        <v/>
      </c>
      <c r="BR1108">
        <f>'T_SelfStock'!BP32</f>
        <v/>
      </c>
      <c r="BS1108">
        <f>'T_SelfStock'!BQ32</f>
        <v/>
      </c>
      <c r="BT1108">
        <f>'T_SelfStock'!BR32</f>
        <v/>
      </c>
      <c r="BU1108">
        <f>'T_SelfStock'!BS32</f>
        <v/>
      </c>
      <c r="BV1108">
        <f>'T_SelfStock'!BT32</f>
        <v/>
      </c>
      <c r="BW1108">
        <f>'T_SelfStock'!BU32</f>
        <v/>
      </c>
      <c r="BX1108">
        <f>'T_SelfStock'!BV32</f>
        <v/>
      </c>
      <c r="BY1108">
        <f>'T_SelfStock'!BW32</f>
        <v/>
      </c>
      <c r="BZ1108">
        <f>'T_SelfStock'!BX32</f>
        <v/>
      </c>
      <c r="CA1108">
        <f>'T_SelfStock'!BY32</f>
        <v/>
      </c>
      <c r="CB1108">
        <f>'T_SelfStock'!BZ32</f>
        <v/>
      </c>
      <c r="CC1108">
        <f>'T_SelfStock'!CA32</f>
        <v/>
      </c>
      <c r="CD1108">
        <f>'T_SelfStock'!CB32</f>
        <v/>
      </c>
      <c r="CE1108">
        <f>'T_SelfStock'!CC32</f>
        <v/>
      </c>
      <c r="CF1108">
        <f>'T_SelfStock'!CD32</f>
        <v/>
      </c>
      <c r="CG1108">
        <f>'T_SelfStock'!CE32</f>
        <v/>
      </c>
      <c r="CH1108">
        <f>'T_SelfStock'!CF32</f>
        <v/>
      </c>
      <c r="CI1108">
        <f>'T_SelfStock'!CG32</f>
        <v/>
      </c>
      <c r="CJ1108">
        <f>'T_SelfStock'!CH32</f>
        <v/>
      </c>
      <c r="CK1108">
        <f>'T_SelfStock'!CI32</f>
        <v/>
      </c>
      <c r="CL1108">
        <f>'T_SelfStock'!CJ32</f>
        <v/>
      </c>
      <c r="CM1108">
        <f>'T_SelfStock'!CK32</f>
        <v/>
      </c>
      <c r="CN1108">
        <f>'T_SelfStock'!CL32</f>
        <v/>
      </c>
      <c r="CO1108">
        <f>'T_SelfStock'!CM32</f>
        <v/>
      </c>
      <c r="CP1108">
        <f>'T_SelfStock'!CN32</f>
        <v/>
      </c>
      <c r="CQ1108">
        <f>'T_SelfStock'!CO32</f>
        <v/>
      </c>
      <c r="CR1108">
        <f>'T_SelfStock'!CP32</f>
        <v/>
      </c>
      <c r="CS1108">
        <f>'T_SelfStock'!CQ32</f>
        <v/>
      </c>
      <c r="CT1108">
        <f>'T_SelfStock'!CR32</f>
        <v/>
      </c>
      <c r="CU1108">
        <f>'T_SelfStock'!CS32</f>
        <v/>
      </c>
      <c r="CV1108">
        <f>'T_SelfStock'!CT32</f>
        <v/>
      </c>
      <c r="CW1108">
        <f>'T_SelfStock'!CU32</f>
        <v/>
      </c>
      <c r="CX1108">
        <f>'T_SelfStock'!CV32</f>
        <v/>
      </c>
      <c r="CY1108">
        <f>'T_SelfStock'!CW32</f>
        <v/>
      </c>
      <c r="CZ1108">
        <f>'T_SelfStock'!CX32</f>
        <v/>
      </c>
      <c r="DA1108">
        <f>'T_SelfStock'!CY32</f>
        <v/>
      </c>
      <c r="DB1108">
        <f>'T_SelfStock'!CZ32</f>
        <v/>
      </c>
      <c r="DC1108">
        <f>'T_SelfStock'!DA32</f>
        <v/>
      </c>
    </row>
    <row r="1109">
      <c r="B1109" t="inlineStr">
        <is>
          <t>Order(発注予定,kg)</t>
        </is>
      </c>
      <c r="D1109">
        <f>IF(SUMIFS(T_PlannedOrders[EffectiveQty],T_PlannedOrders[Part Name],$A1099,T_PlannedOrders[WeekIndex],1)=0,"",SUMIFS(T_PlannedOrders[EffectiveQty],T_PlannedOrders[Part Name],$A1099,T_PlannedOrders[WeekIndex],1)&amp;" ("&amp;TEXT(SUMPRODUCT(MAX((T_PlannedOrders[Part Name]=$A1099)*(T_PlannedOrders[WeekIndex]=1)*(T_PlannedOrders[EffectiveQty]&gt;0)*T_PlannedOrders[Order_Month])),"m月")&amp;"発注)")</f>
        <v/>
      </c>
      <c r="E1109">
        <f>IF(SUMIFS(T_PlannedOrders[EffectiveQty],T_PlannedOrders[Part Name],$A1099,T_PlannedOrders[WeekIndex],2)=0,"",SUMIFS(T_PlannedOrders[EffectiveQty],T_PlannedOrders[Part Name],$A1099,T_PlannedOrders[WeekIndex],2)&amp;" ("&amp;TEXT(SUMPRODUCT(MAX((T_PlannedOrders[Part Name]=$A1099)*(T_PlannedOrders[WeekIndex]=2)*(T_PlannedOrders[EffectiveQty]&gt;0)*T_PlannedOrders[Order_Month])),"m月")&amp;"発注)")</f>
        <v/>
      </c>
      <c r="F1109">
        <f>IF(SUMIFS(T_PlannedOrders[EffectiveQty],T_PlannedOrders[Part Name],$A1099,T_PlannedOrders[WeekIndex],3)=0,"",SUMIFS(T_PlannedOrders[EffectiveQty],T_PlannedOrders[Part Name],$A1099,T_PlannedOrders[WeekIndex],3)&amp;" ("&amp;TEXT(SUMPRODUCT(MAX((T_PlannedOrders[Part Name]=$A1099)*(T_PlannedOrders[WeekIndex]=3)*(T_PlannedOrders[EffectiveQty]&gt;0)*T_PlannedOrders[Order_Month])),"m月")&amp;"発注)")</f>
        <v/>
      </c>
      <c r="G1109">
        <f>IF(SUMIFS(T_PlannedOrders[EffectiveQty],T_PlannedOrders[Part Name],$A1099,T_PlannedOrders[WeekIndex],4)=0,"",SUMIFS(T_PlannedOrders[EffectiveQty],T_PlannedOrders[Part Name],$A1099,T_PlannedOrders[WeekIndex],4)&amp;" ("&amp;TEXT(SUMPRODUCT(MAX((T_PlannedOrders[Part Name]=$A1099)*(T_PlannedOrders[WeekIndex]=4)*(T_PlannedOrders[EffectiveQty]&gt;0)*T_PlannedOrders[Order_Month])),"m月")&amp;"発注)")</f>
        <v/>
      </c>
      <c r="H1109">
        <f>IF(SUMIFS(T_PlannedOrders[EffectiveQty],T_PlannedOrders[Part Name],$A1099,T_PlannedOrders[WeekIndex],5)=0,"",SUMIFS(T_PlannedOrders[EffectiveQty],T_PlannedOrders[Part Name],$A1099,T_PlannedOrders[WeekIndex],5)&amp;" ("&amp;TEXT(SUMPRODUCT(MAX((T_PlannedOrders[Part Name]=$A1099)*(T_PlannedOrders[WeekIndex]=5)*(T_PlannedOrders[EffectiveQty]&gt;0)*T_PlannedOrders[Order_Month])),"m月")&amp;"発注)")</f>
        <v/>
      </c>
      <c r="I1109">
        <f>IF(SUMIFS(T_PlannedOrders[EffectiveQty],T_PlannedOrders[Part Name],$A1099,T_PlannedOrders[WeekIndex],6)=0,"",SUMIFS(T_PlannedOrders[EffectiveQty],T_PlannedOrders[Part Name],$A1099,T_PlannedOrders[WeekIndex],6)&amp;" ("&amp;TEXT(SUMPRODUCT(MAX((T_PlannedOrders[Part Name]=$A1099)*(T_PlannedOrders[WeekIndex]=6)*(T_PlannedOrders[EffectiveQty]&gt;0)*T_PlannedOrders[Order_Month])),"m月")&amp;"発注)")</f>
        <v/>
      </c>
      <c r="J1109">
        <f>IF(SUMIFS(T_PlannedOrders[EffectiveQty],T_PlannedOrders[Part Name],$A1099,T_PlannedOrders[WeekIndex],7)=0,"",SUMIFS(T_PlannedOrders[EffectiveQty],T_PlannedOrders[Part Name],$A1099,T_PlannedOrders[WeekIndex],7)&amp;" ("&amp;TEXT(SUMPRODUCT(MAX((T_PlannedOrders[Part Name]=$A1099)*(T_PlannedOrders[WeekIndex]=7)*(T_PlannedOrders[EffectiveQty]&gt;0)*T_PlannedOrders[Order_Month])),"m月")&amp;"発注)")</f>
        <v/>
      </c>
      <c r="K1109">
        <f>IF(SUMIFS(T_PlannedOrders[EffectiveQty],T_PlannedOrders[Part Name],$A1099,T_PlannedOrders[WeekIndex],8)=0,"",SUMIFS(T_PlannedOrders[EffectiveQty],T_PlannedOrders[Part Name],$A1099,T_PlannedOrders[WeekIndex],8)&amp;" ("&amp;TEXT(SUMPRODUCT(MAX((T_PlannedOrders[Part Name]=$A1099)*(T_PlannedOrders[WeekIndex]=8)*(T_PlannedOrders[EffectiveQty]&gt;0)*T_PlannedOrders[Order_Month])),"m月")&amp;"発注)")</f>
        <v/>
      </c>
      <c r="L1109">
        <f>IF(SUMIFS(T_PlannedOrders[EffectiveQty],T_PlannedOrders[Part Name],$A1099,T_PlannedOrders[WeekIndex],9)=0,"",SUMIFS(T_PlannedOrders[EffectiveQty],T_PlannedOrders[Part Name],$A1099,T_PlannedOrders[WeekIndex],9)&amp;" ("&amp;TEXT(SUMPRODUCT(MAX((T_PlannedOrders[Part Name]=$A1099)*(T_PlannedOrders[WeekIndex]=9)*(T_PlannedOrders[EffectiveQty]&gt;0)*T_PlannedOrders[Order_Month])),"m月")&amp;"発注)")</f>
        <v/>
      </c>
      <c r="M1109">
        <f>IF(SUMIFS(T_PlannedOrders[EffectiveQty],T_PlannedOrders[Part Name],$A1099,T_PlannedOrders[WeekIndex],10)=0,"",SUMIFS(T_PlannedOrders[EffectiveQty],T_PlannedOrders[Part Name],$A1099,T_PlannedOrders[WeekIndex],10)&amp;" ("&amp;TEXT(SUMPRODUCT(MAX((T_PlannedOrders[Part Name]=$A1099)*(T_PlannedOrders[WeekIndex]=10)*(T_PlannedOrders[EffectiveQty]&gt;0)*T_PlannedOrders[Order_Month])),"m月")&amp;"発注)")</f>
        <v/>
      </c>
      <c r="N1109">
        <f>IF(SUMIFS(T_PlannedOrders[EffectiveQty],T_PlannedOrders[Part Name],$A1099,T_PlannedOrders[WeekIndex],11)=0,"",SUMIFS(T_PlannedOrders[EffectiveQty],T_PlannedOrders[Part Name],$A1099,T_PlannedOrders[WeekIndex],11)&amp;" ("&amp;TEXT(SUMPRODUCT(MAX((T_PlannedOrders[Part Name]=$A1099)*(T_PlannedOrders[WeekIndex]=11)*(T_PlannedOrders[EffectiveQty]&gt;0)*T_PlannedOrders[Order_Month])),"m月")&amp;"発注)")</f>
        <v/>
      </c>
      <c r="O1109">
        <f>IF(SUMIFS(T_PlannedOrders[EffectiveQty],T_PlannedOrders[Part Name],$A1099,T_PlannedOrders[WeekIndex],12)=0,"",SUMIFS(T_PlannedOrders[EffectiveQty],T_PlannedOrders[Part Name],$A1099,T_PlannedOrders[WeekIndex],12)&amp;" ("&amp;TEXT(SUMPRODUCT(MAX((T_PlannedOrders[Part Name]=$A1099)*(T_PlannedOrders[WeekIndex]=12)*(T_PlannedOrders[EffectiveQty]&gt;0)*T_PlannedOrders[Order_Month])),"m月")&amp;"発注)")</f>
        <v/>
      </c>
      <c r="P1109">
        <f>IF(SUMIFS(T_PlannedOrders[EffectiveQty],T_PlannedOrders[Part Name],$A1099,T_PlannedOrders[WeekIndex],13)=0,"",SUMIFS(T_PlannedOrders[EffectiveQty],T_PlannedOrders[Part Name],$A1099,T_PlannedOrders[WeekIndex],13)&amp;" ("&amp;TEXT(SUMPRODUCT(MAX((T_PlannedOrders[Part Name]=$A1099)*(T_PlannedOrders[WeekIndex]=13)*(T_PlannedOrders[EffectiveQty]&gt;0)*T_PlannedOrders[Order_Month])),"m月")&amp;"発注)")</f>
        <v/>
      </c>
      <c r="Q1109">
        <f>IF(SUMIFS(T_PlannedOrders[EffectiveQty],T_PlannedOrders[Part Name],$A1099,T_PlannedOrders[WeekIndex],14)=0,"",SUMIFS(T_PlannedOrders[EffectiveQty],T_PlannedOrders[Part Name],$A1099,T_PlannedOrders[WeekIndex],14)&amp;" ("&amp;TEXT(SUMPRODUCT(MAX((T_PlannedOrders[Part Name]=$A1099)*(T_PlannedOrders[WeekIndex]=14)*(T_PlannedOrders[EffectiveQty]&gt;0)*T_PlannedOrders[Order_Month])),"m月")&amp;"発注)")</f>
        <v/>
      </c>
      <c r="R1109">
        <f>IF(SUMIFS(T_PlannedOrders[EffectiveQty],T_PlannedOrders[Part Name],$A1099,T_PlannedOrders[WeekIndex],15)=0,"",SUMIFS(T_PlannedOrders[EffectiveQty],T_PlannedOrders[Part Name],$A1099,T_PlannedOrders[WeekIndex],15)&amp;" ("&amp;TEXT(SUMPRODUCT(MAX((T_PlannedOrders[Part Name]=$A1099)*(T_PlannedOrders[WeekIndex]=15)*(T_PlannedOrders[EffectiveQty]&gt;0)*T_PlannedOrders[Order_Month])),"m月")&amp;"発注)")</f>
        <v/>
      </c>
      <c r="S1109">
        <f>IF(SUMIFS(T_PlannedOrders[EffectiveQty],T_PlannedOrders[Part Name],$A1099,T_PlannedOrders[WeekIndex],16)=0,"",SUMIFS(T_PlannedOrders[EffectiveQty],T_PlannedOrders[Part Name],$A1099,T_PlannedOrders[WeekIndex],16)&amp;" ("&amp;TEXT(SUMPRODUCT(MAX((T_PlannedOrders[Part Name]=$A1099)*(T_PlannedOrders[WeekIndex]=16)*(T_PlannedOrders[EffectiveQty]&gt;0)*T_PlannedOrders[Order_Month])),"m月")&amp;"発注)")</f>
        <v/>
      </c>
      <c r="T1109">
        <f>IF(SUMIFS(T_PlannedOrders[EffectiveQty],T_PlannedOrders[Part Name],$A1099,T_PlannedOrders[WeekIndex],17)=0,"",SUMIFS(T_PlannedOrders[EffectiveQty],T_PlannedOrders[Part Name],$A1099,T_PlannedOrders[WeekIndex],17)&amp;" ("&amp;TEXT(SUMPRODUCT(MAX((T_PlannedOrders[Part Name]=$A1099)*(T_PlannedOrders[WeekIndex]=17)*(T_PlannedOrders[EffectiveQty]&gt;0)*T_PlannedOrders[Order_Month])),"m月")&amp;"発注)")</f>
        <v/>
      </c>
      <c r="U1109">
        <f>IF(SUMIFS(T_PlannedOrders[EffectiveQty],T_PlannedOrders[Part Name],$A1099,T_PlannedOrders[WeekIndex],18)=0,"",SUMIFS(T_PlannedOrders[EffectiveQty],T_PlannedOrders[Part Name],$A1099,T_PlannedOrders[WeekIndex],18)&amp;" ("&amp;TEXT(SUMPRODUCT(MAX((T_PlannedOrders[Part Name]=$A1099)*(T_PlannedOrders[WeekIndex]=18)*(T_PlannedOrders[EffectiveQty]&gt;0)*T_PlannedOrders[Order_Month])),"m月")&amp;"発注)")</f>
        <v/>
      </c>
      <c r="V1109">
        <f>IF(SUMIFS(T_PlannedOrders[EffectiveQty],T_PlannedOrders[Part Name],$A1099,T_PlannedOrders[WeekIndex],19)=0,"",SUMIFS(T_PlannedOrders[EffectiveQty],T_PlannedOrders[Part Name],$A1099,T_PlannedOrders[WeekIndex],19)&amp;" ("&amp;TEXT(SUMPRODUCT(MAX((T_PlannedOrders[Part Name]=$A1099)*(T_PlannedOrders[WeekIndex]=19)*(T_PlannedOrders[EffectiveQty]&gt;0)*T_PlannedOrders[Order_Month])),"m月")&amp;"発注)")</f>
        <v/>
      </c>
      <c r="W1109">
        <f>IF(SUMIFS(T_PlannedOrders[EffectiveQty],T_PlannedOrders[Part Name],$A1099,T_PlannedOrders[WeekIndex],20)=0,"",SUMIFS(T_PlannedOrders[EffectiveQty],T_PlannedOrders[Part Name],$A1099,T_PlannedOrders[WeekIndex],20)&amp;" ("&amp;TEXT(SUMPRODUCT(MAX((T_PlannedOrders[Part Name]=$A1099)*(T_PlannedOrders[WeekIndex]=20)*(T_PlannedOrders[EffectiveQty]&gt;0)*T_PlannedOrders[Order_Month])),"m月")&amp;"発注)")</f>
        <v/>
      </c>
      <c r="X1109">
        <f>IF(SUMIFS(T_PlannedOrders[EffectiveQty],T_PlannedOrders[Part Name],$A1099,T_PlannedOrders[WeekIndex],21)=0,"",SUMIFS(T_PlannedOrders[EffectiveQty],T_PlannedOrders[Part Name],$A1099,T_PlannedOrders[WeekIndex],21)&amp;" ("&amp;TEXT(SUMPRODUCT(MAX((T_PlannedOrders[Part Name]=$A1099)*(T_PlannedOrders[WeekIndex]=21)*(T_PlannedOrders[EffectiveQty]&gt;0)*T_PlannedOrders[Order_Month])),"m月")&amp;"発注)")</f>
        <v/>
      </c>
      <c r="Y1109">
        <f>IF(SUMIFS(T_PlannedOrders[EffectiveQty],T_PlannedOrders[Part Name],$A1099,T_PlannedOrders[WeekIndex],22)=0,"",SUMIFS(T_PlannedOrders[EffectiveQty],T_PlannedOrders[Part Name],$A1099,T_PlannedOrders[WeekIndex],22)&amp;" ("&amp;TEXT(SUMPRODUCT(MAX((T_PlannedOrders[Part Name]=$A1099)*(T_PlannedOrders[WeekIndex]=22)*(T_PlannedOrders[EffectiveQty]&gt;0)*T_PlannedOrders[Order_Month])),"m月")&amp;"発注)")</f>
        <v/>
      </c>
      <c r="Z1109">
        <f>IF(SUMIFS(T_PlannedOrders[EffectiveQty],T_PlannedOrders[Part Name],$A1099,T_PlannedOrders[WeekIndex],23)=0,"",SUMIFS(T_PlannedOrders[EffectiveQty],T_PlannedOrders[Part Name],$A1099,T_PlannedOrders[WeekIndex],23)&amp;" ("&amp;TEXT(SUMPRODUCT(MAX((T_PlannedOrders[Part Name]=$A1099)*(T_PlannedOrders[WeekIndex]=23)*(T_PlannedOrders[EffectiveQty]&gt;0)*T_PlannedOrders[Order_Month])),"m月")&amp;"発注)")</f>
        <v/>
      </c>
      <c r="AA1109">
        <f>IF(SUMIFS(T_PlannedOrders[EffectiveQty],T_PlannedOrders[Part Name],$A1099,T_PlannedOrders[WeekIndex],24)=0,"",SUMIFS(T_PlannedOrders[EffectiveQty],T_PlannedOrders[Part Name],$A1099,T_PlannedOrders[WeekIndex],24)&amp;" ("&amp;TEXT(SUMPRODUCT(MAX((T_PlannedOrders[Part Name]=$A1099)*(T_PlannedOrders[WeekIndex]=24)*(T_PlannedOrders[EffectiveQty]&gt;0)*T_PlannedOrders[Order_Month])),"m月")&amp;"発注)")</f>
        <v/>
      </c>
      <c r="AB1109">
        <f>IF(SUMIFS(T_PlannedOrders[EffectiveQty],T_PlannedOrders[Part Name],$A1099,T_PlannedOrders[WeekIndex],25)=0,"",SUMIFS(T_PlannedOrders[EffectiveQty],T_PlannedOrders[Part Name],$A1099,T_PlannedOrders[WeekIndex],25)&amp;" ("&amp;TEXT(SUMPRODUCT(MAX((T_PlannedOrders[Part Name]=$A1099)*(T_PlannedOrders[WeekIndex]=25)*(T_PlannedOrders[EffectiveQty]&gt;0)*T_PlannedOrders[Order_Month])),"m月")&amp;"発注)")</f>
        <v/>
      </c>
      <c r="AC1109">
        <f>IF(SUMIFS(T_PlannedOrders[EffectiveQty],T_PlannedOrders[Part Name],$A1099,T_PlannedOrders[WeekIndex],26)=0,"",SUMIFS(T_PlannedOrders[EffectiveQty],T_PlannedOrders[Part Name],$A1099,T_PlannedOrders[WeekIndex],26)&amp;" ("&amp;TEXT(SUMPRODUCT(MAX((T_PlannedOrders[Part Name]=$A1099)*(T_PlannedOrders[WeekIndex]=26)*(T_PlannedOrders[EffectiveQty]&gt;0)*T_PlannedOrders[Order_Month])),"m月")&amp;"発注)")</f>
        <v/>
      </c>
      <c r="AD1109">
        <f>IF(SUMIFS(T_PlannedOrders[EffectiveQty],T_PlannedOrders[Part Name],$A1099,T_PlannedOrders[WeekIndex],27)=0,"",SUMIFS(T_PlannedOrders[EffectiveQty],T_PlannedOrders[Part Name],$A1099,T_PlannedOrders[WeekIndex],27)&amp;" ("&amp;TEXT(SUMPRODUCT(MAX((T_PlannedOrders[Part Name]=$A1099)*(T_PlannedOrders[WeekIndex]=27)*(T_PlannedOrders[EffectiveQty]&gt;0)*T_PlannedOrders[Order_Month])),"m月")&amp;"発注)")</f>
        <v/>
      </c>
      <c r="AE1109">
        <f>IF(SUMIFS(T_PlannedOrders[EffectiveQty],T_PlannedOrders[Part Name],$A1099,T_PlannedOrders[WeekIndex],28)=0,"",SUMIFS(T_PlannedOrders[EffectiveQty],T_PlannedOrders[Part Name],$A1099,T_PlannedOrders[WeekIndex],28)&amp;" ("&amp;TEXT(SUMPRODUCT(MAX((T_PlannedOrders[Part Name]=$A1099)*(T_PlannedOrders[WeekIndex]=28)*(T_PlannedOrders[EffectiveQty]&gt;0)*T_PlannedOrders[Order_Month])),"m月")&amp;"発注)")</f>
        <v/>
      </c>
      <c r="AF1109">
        <f>IF(SUMIFS(T_PlannedOrders[EffectiveQty],T_PlannedOrders[Part Name],$A1099,T_PlannedOrders[WeekIndex],29)=0,"",SUMIFS(T_PlannedOrders[EffectiveQty],T_PlannedOrders[Part Name],$A1099,T_PlannedOrders[WeekIndex],29)&amp;" ("&amp;TEXT(SUMPRODUCT(MAX((T_PlannedOrders[Part Name]=$A1099)*(T_PlannedOrders[WeekIndex]=29)*(T_PlannedOrders[EffectiveQty]&gt;0)*T_PlannedOrders[Order_Month])),"m月")&amp;"発注)")</f>
        <v/>
      </c>
      <c r="AG1109">
        <f>IF(SUMIFS(T_PlannedOrders[EffectiveQty],T_PlannedOrders[Part Name],$A1099,T_PlannedOrders[WeekIndex],30)=0,"",SUMIFS(T_PlannedOrders[EffectiveQty],T_PlannedOrders[Part Name],$A1099,T_PlannedOrders[WeekIndex],30)&amp;" ("&amp;TEXT(SUMPRODUCT(MAX((T_PlannedOrders[Part Name]=$A1099)*(T_PlannedOrders[WeekIndex]=30)*(T_PlannedOrders[EffectiveQty]&gt;0)*T_PlannedOrders[Order_Month])),"m月")&amp;"発注)")</f>
        <v/>
      </c>
      <c r="AH1109">
        <f>IF(SUMIFS(T_PlannedOrders[EffectiveQty],T_PlannedOrders[Part Name],$A1099,T_PlannedOrders[WeekIndex],31)=0,"",SUMIFS(T_PlannedOrders[EffectiveQty],T_PlannedOrders[Part Name],$A1099,T_PlannedOrders[WeekIndex],31)&amp;" ("&amp;TEXT(SUMPRODUCT(MAX((T_PlannedOrders[Part Name]=$A1099)*(T_PlannedOrders[WeekIndex]=31)*(T_PlannedOrders[EffectiveQty]&gt;0)*T_PlannedOrders[Order_Month])),"m月")&amp;"発注)")</f>
        <v/>
      </c>
      <c r="AI1109">
        <f>IF(SUMIFS(T_PlannedOrders[EffectiveQty],T_PlannedOrders[Part Name],$A1099,T_PlannedOrders[WeekIndex],32)=0,"",SUMIFS(T_PlannedOrders[EffectiveQty],T_PlannedOrders[Part Name],$A1099,T_PlannedOrders[WeekIndex],32)&amp;" ("&amp;TEXT(SUMPRODUCT(MAX((T_PlannedOrders[Part Name]=$A1099)*(T_PlannedOrders[WeekIndex]=32)*(T_PlannedOrders[EffectiveQty]&gt;0)*T_PlannedOrders[Order_Month])),"m月")&amp;"発注)")</f>
        <v/>
      </c>
      <c r="AJ1109">
        <f>IF(SUMIFS(T_PlannedOrders[EffectiveQty],T_PlannedOrders[Part Name],$A1099,T_PlannedOrders[WeekIndex],33)=0,"",SUMIFS(T_PlannedOrders[EffectiveQty],T_PlannedOrders[Part Name],$A1099,T_PlannedOrders[WeekIndex],33)&amp;" ("&amp;TEXT(SUMPRODUCT(MAX((T_PlannedOrders[Part Name]=$A1099)*(T_PlannedOrders[WeekIndex]=33)*(T_PlannedOrders[EffectiveQty]&gt;0)*T_PlannedOrders[Order_Month])),"m月")&amp;"発注)")</f>
        <v/>
      </c>
      <c r="AK1109">
        <f>IF(SUMIFS(T_PlannedOrders[EffectiveQty],T_PlannedOrders[Part Name],$A1099,T_PlannedOrders[WeekIndex],34)=0,"",SUMIFS(T_PlannedOrders[EffectiveQty],T_PlannedOrders[Part Name],$A1099,T_PlannedOrders[WeekIndex],34)&amp;" ("&amp;TEXT(SUMPRODUCT(MAX((T_PlannedOrders[Part Name]=$A1099)*(T_PlannedOrders[WeekIndex]=34)*(T_PlannedOrders[EffectiveQty]&gt;0)*T_PlannedOrders[Order_Month])),"m月")&amp;"発注)")</f>
        <v/>
      </c>
      <c r="AL1109">
        <f>IF(SUMIFS(T_PlannedOrders[EffectiveQty],T_PlannedOrders[Part Name],$A1099,T_PlannedOrders[WeekIndex],35)=0,"",SUMIFS(T_PlannedOrders[EffectiveQty],T_PlannedOrders[Part Name],$A1099,T_PlannedOrders[WeekIndex],35)&amp;" ("&amp;TEXT(SUMPRODUCT(MAX((T_PlannedOrders[Part Name]=$A1099)*(T_PlannedOrders[WeekIndex]=35)*(T_PlannedOrders[EffectiveQty]&gt;0)*T_PlannedOrders[Order_Month])),"m月")&amp;"発注)")</f>
        <v/>
      </c>
      <c r="AM1109">
        <f>IF(SUMIFS(T_PlannedOrders[EffectiveQty],T_PlannedOrders[Part Name],$A1099,T_PlannedOrders[WeekIndex],36)=0,"",SUMIFS(T_PlannedOrders[EffectiveQty],T_PlannedOrders[Part Name],$A1099,T_PlannedOrders[WeekIndex],36)&amp;" ("&amp;TEXT(SUMPRODUCT(MAX((T_PlannedOrders[Part Name]=$A1099)*(T_PlannedOrders[WeekIndex]=36)*(T_PlannedOrders[EffectiveQty]&gt;0)*T_PlannedOrders[Order_Month])),"m月")&amp;"発注)")</f>
        <v/>
      </c>
      <c r="AN1109">
        <f>IF(SUMIFS(T_PlannedOrders[EffectiveQty],T_PlannedOrders[Part Name],$A1099,T_PlannedOrders[WeekIndex],37)=0,"",SUMIFS(T_PlannedOrders[EffectiveQty],T_PlannedOrders[Part Name],$A1099,T_PlannedOrders[WeekIndex],37)&amp;" ("&amp;TEXT(SUMPRODUCT(MAX((T_PlannedOrders[Part Name]=$A1099)*(T_PlannedOrders[WeekIndex]=37)*(T_PlannedOrders[EffectiveQty]&gt;0)*T_PlannedOrders[Order_Month])),"m月")&amp;"発注)")</f>
        <v/>
      </c>
      <c r="AO1109">
        <f>IF(SUMIFS(T_PlannedOrders[EffectiveQty],T_PlannedOrders[Part Name],$A1099,T_PlannedOrders[WeekIndex],38)=0,"",SUMIFS(T_PlannedOrders[EffectiveQty],T_PlannedOrders[Part Name],$A1099,T_PlannedOrders[WeekIndex],38)&amp;" ("&amp;TEXT(SUMPRODUCT(MAX((T_PlannedOrders[Part Name]=$A1099)*(T_PlannedOrders[WeekIndex]=38)*(T_PlannedOrders[EffectiveQty]&gt;0)*T_PlannedOrders[Order_Month])),"m月")&amp;"発注)")</f>
        <v/>
      </c>
      <c r="AP1109">
        <f>IF(SUMIFS(T_PlannedOrders[EffectiveQty],T_PlannedOrders[Part Name],$A1099,T_PlannedOrders[WeekIndex],39)=0,"",SUMIFS(T_PlannedOrders[EffectiveQty],T_PlannedOrders[Part Name],$A1099,T_PlannedOrders[WeekIndex],39)&amp;" ("&amp;TEXT(SUMPRODUCT(MAX((T_PlannedOrders[Part Name]=$A1099)*(T_PlannedOrders[WeekIndex]=39)*(T_PlannedOrders[EffectiveQty]&gt;0)*T_PlannedOrders[Order_Month])),"m月")&amp;"発注)")</f>
        <v/>
      </c>
      <c r="AQ1109">
        <f>IF(SUMIFS(T_PlannedOrders[EffectiveQty],T_PlannedOrders[Part Name],$A1099,T_PlannedOrders[WeekIndex],40)=0,"",SUMIFS(T_PlannedOrders[EffectiveQty],T_PlannedOrders[Part Name],$A1099,T_PlannedOrders[WeekIndex],40)&amp;" ("&amp;TEXT(SUMPRODUCT(MAX((T_PlannedOrders[Part Name]=$A1099)*(T_PlannedOrders[WeekIndex]=40)*(T_PlannedOrders[EffectiveQty]&gt;0)*T_PlannedOrders[Order_Month])),"m月")&amp;"発注)")</f>
        <v/>
      </c>
      <c r="AR1109">
        <f>IF(SUMIFS(T_PlannedOrders[EffectiveQty],T_PlannedOrders[Part Name],$A1099,T_PlannedOrders[WeekIndex],41)=0,"",SUMIFS(T_PlannedOrders[EffectiveQty],T_PlannedOrders[Part Name],$A1099,T_PlannedOrders[WeekIndex],41)&amp;" ("&amp;TEXT(SUMPRODUCT(MAX((T_PlannedOrders[Part Name]=$A1099)*(T_PlannedOrders[WeekIndex]=41)*(T_PlannedOrders[EffectiveQty]&gt;0)*T_PlannedOrders[Order_Month])),"m月")&amp;"発注)")</f>
        <v/>
      </c>
      <c r="AS1109">
        <f>IF(SUMIFS(T_PlannedOrders[EffectiveQty],T_PlannedOrders[Part Name],$A1099,T_PlannedOrders[WeekIndex],42)=0,"",SUMIFS(T_PlannedOrders[EffectiveQty],T_PlannedOrders[Part Name],$A1099,T_PlannedOrders[WeekIndex],42)&amp;" ("&amp;TEXT(SUMPRODUCT(MAX((T_PlannedOrders[Part Name]=$A1099)*(T_PlannedOrders[WeekIndex]=42)*(T_PlannedOrders[EffectiveQty]&gt;0)*T_PlannedOrders[Order_Month])),"m月")&amp;"発注)")</f>
        <v/>
      </c>
      <c r="AT1109">
        <f>IF(SUMIFS(T_PlannedOrders[EffectiveQty],T_PlannedOrders[Part Name],$A1099,T_PlannedOrders[WeekIndex],43)=0,"",SUMIFS(T_PlannedOrders[EffectiveQty],T_PlannedOrders[Part Name],$A1099,T_PlannedOrders[WeekIndex],43)&amp;" ("&amp;TEXT(SUMPRODUCT(MAX((T_PlannedOrders[Part Name]=$A1099)*(T_PlannedOrders[WeekIndex]=43)*(T_PlannedOrders[EffectiveQty]&gt;0)*T_PlannedOrders[Order_Month])),"m月")&amp;"発注)")</f>
        <v/>
      </c>
      <c r="AU1109">
        <f>IF(SUMIFS(T_PlannedOrders[EffectiveQty],T_PlannedOrders[Part Name],$A1099,T_PlannedOrders[WeekIndex],44)=0,"",SUMIFS(T_PlannedOrders[EffectiveQty],T_PlannedOrders[Part Name],$A1099,T_PlannedOrders[WeekIndex],44)&amp;" ("&amp;TEXT(SUMPRODUCT(MAX((T_PlannedOrders[Part Name]=$A1099)*(T_PlannedOrders[WeekIndex]=44)*(T_PlannedOrders[EffectiveQty]&gt;0)*T_PlannedOrders[Order_Month])),"m月")&amp;"発注)")</f>
        <v/>
      </c>
      <c r="AV1109">
        <f>IF(SUMIFS(T_PlannedOrders[EffectiveQty],T_PlannedOrders[Part Name],$A1099,T_PlannedOrders[WeekIndex],45)=0,"",SUMIFS(T_PlannedOrders[EffectiveQty],T_PlannedOrders[Part Name],$A1099,T_PlannedOrders[WeekIndex],45)&amp;" ("&amp;TEXT(SUMPRODUCT(MAX((T_PlannedOrders[Part Name]=$A1099)*(T_PlannedOrders[WeekIndex]=45)*(T_PlannedOrders[EffectiveQty]&gt;0)*T_PlannedOrders[Order_Month])),"m月")&amp;"発注)")</f>
        <v/>
      </c>
      <c r="AW1109">
        <f>IF(SUMIFS(T_PlannedOrders[EffectiveQty],T_PlannedOrders[Part Name],$A1099,T_PlannedOrders[WeekIndex],46)=0,"",SUMIFS(T_PlannedOrders[EffectiveQty],T_PlannedOrders[Part Name],$A1099,T_PlannedOrders[WeekIndex],46)&amp;" ("&amp;TEXT(SUMPRODUCT(MAX((T_PlannedOrders[Part Name]=$A1099)*(T_PlannedOrders[WeekIndex]=46)*(T_PlannedOrders[EffectiveQty]&gt;0)*T_PlannedOrders[Order_Month])),"m月")&amp;"発注)")</f>
        <v/>
      </c>
      <c r="AX1109">
        <f>IF(SUMIFS(T_PlannedOrders[EffectiveQty],T_PlannedOrders[Part Name],$A1099,T_PlannedOrders[WeekIndex],47)=0,"",SUMIFS(T_PlannedOrders[EffectiveQty],T_PlannedOrders[Part Name],$A1099,T_PlannedOrders[WeekIndex],47)&amp;" ("&amp;TEXT(SUMPRODUCT(MAX((T_PlannedOrders[Part Name]=$A1099)*(T_PlannedOrders[WeekIndex]=47)*(T_PlannedOrders[EffectiveQty]&gt;0)*T_PlannedOrders[Order_Month])),"m月")&amp;"発注)")</f>
        <v/>
      </c>
      <c r="AY1109">
        <f>IF(SUMIFS(T_PlannedOrders[EffectiveQty],T_PlannedOrders[Part Name],$A1099,T_PlannedOrders[WeekIndex],48)=0,"",SUMIFS(T_PlannedOrders[EffectiveQty],T_PlannedOrders[Part Name],$A1099,T_PlannedOrders[WeekIndex],48)&amp;" ("&amp;TEXT(SUMPRODUCT(MAX((T_PlannedOrders[Part Name]=$A1099)*(T_PlannedOrders[WeekIndex]=48)*(T_PlannedOrders[EffectiveQty]&gt;0)*T_PlannedOrders[Order_Month])),"m月")&amp;"発注)")</f>
        <v/>
      </c>
      <c r="AZ1109">
        <f>IF(SUMIFS(T_PlannedOrders[EffectiveQty],T_PlannedOrders[Part Name],$A1099,T_PlannedOrders[WeekIndex],49)=0,"",SUMIFS(T_PlannedOrders[EffectiveQty],T_PlannedOrders[Part Name],$A1099,T_PlannedOrders[WeekIndex],49)&amp;" ("&amp;TEXT(SUMPRODUCT(MAX((T_PlannedOrders[Part Name]=$A1099)*(T_PlannedOrders[WeekIndex]=49)*(T_PlannedOrders[EffectiveQty]&gt;0)*T_PlannedOrders[Order_Month])),"m月")&amp;"発注)")</f>
        <v/>
      </c>
      <c r="BA1109">
        <f>IF(SUMIFS(T_PlannedOrders[EffectiveQty],T_PlannedOrders[Part Name],$A1099,T_PlannedOrders[WeekIndex],50)=0,"",SUMIFS(T_PlannedOrders[EffectiveQty],T_PlannedOrders[Part Name],$A1099,T_PlannedOrders[WeekIndex],50)&amp;" ("&amp;TEXT(SUMPRODUCT(MAX((T_PlannedOrders[Part Name]=$A1099)*(T_PlannedOrders[WeekIndex]=50)*(T_PlannedOrders[EffectiveQty]&gt;0)*T_PlannedOrders[Order_Month])),"m月")&amp;"発注)")</f>
        <v/>
      </c>
      <c r="BB1109">
        <f>IF(SUMIFS(T_PlannedOrders[EffectiveQty],T_PlannedOrders[Part Name],$A1099,T_PlannedOrders[WeekIndex],51)=0,"",SUMIFS(T_PlannedOrders[EffectiveQty],T_PlannedOrders[Part Name],$A1099,T_PlannedOrders[WeekIndex],51)&amp;" ("&amp;TEXT(SUMPRODUCT(MAX((T_PlannedOrders[Part Name]=$A1099)*(T_PlannedOrders[WeekIndex]=51)*(T_PlannedOrders[EffectiveQty]&gt;0)*T_PlannedOrders[Order_Month])),"m月")&amp;"発注)")</f>
        <v/>
      </c>
      <c r="BC1109">
        <f>IF(SUMIFS(T_PlannedOrders[EffectiveQty],T_PlannedOrders[Part Name],$A1099,T_PlannedOrders[WeekIndex],52)=0,"",SUMIFS(T_PlannedOrders[EffectiveQty],T_PlannedOrders[Part Name],$A1099,T_PlannedOrders[WeekIndex],52)&amp;" ("&amp;TEXT(SUMPRODUCT(MAX((T_PlannedOrders[Part Name]=$A1099)*(T_PlannedOrders[WeekIndex]=52)*(T_PlannedOrders[EffectiveQty]&gt;0)*T_PlannedOrders[Order_Month])),"m月")&amp;"発注)")</f>
        <v/>
      </c>
      <c r="BD1109">
        <f>IF(SUMIFS(T_PlannedOrders[EffectiveQty],T_PlannedOrders[Part Name],$A1099,T_PlannedOrders[WeekIndex],53)=0,"",SUMIFS(T_PlannedOrders[EffectiveQty],T_PlannedOrders[Part Name],$A1099,T_PlannedOrders[WeekIndex],53)&amp;" ("&amp;TEXT(SUMPRODUCT(MAX((T_PlannedOrders[Part Name]=$A1099)*(T_PlannedOrders[WeekIndex]=53)*(T_PlannedOrders[EffectiveQty]&gt;0)*T_PlannedOrders[Order_Month])),"m月")&amp;"発注)")</f>
        <v/>
      </c>
      <c r="BE1109">
        <f>IF(SUMIFS(T_PlannedOrders[EffectiveQty],T_PlannedOrders[Part Name],$A1099,T_PlannedOrders[WeekIndex],54)=0,"",SUMIFS(T_PlannedOrders[EffectiveQty],T_PlannedOrders[Part Name],$A1099,T_PlannedOrders[WeekIndex],54)&amp;" ("&amp;TEXT(SUMPRODUCT(MAX((T_PlannedOrders[Part Name]=$A1099)*(T_PlannedOrders[WeekIndex]=54)*(T_PlannedOrders[EffectiveQty]&gt;0)*T_PlannedOrders[Order_Month])),"m月")&amp;"発注)")</f>
        <v/>
      </c>
      <c r="BF1109">
        <f>IF(SUMIFS(T_PlannedOrders[EffectiveQty],T_PlannedOrders[Part Name],$A1099,T_PlannedOrders[WeekIndex],55)=0,"",SUMIFS(T_PlannedOrders[EffectiveQty],T_PlannedOrders[Part Name],$A1099,T_PlannedOrders[WeekIndex],55)&amp;" ("&amp;TEXT(SUMPRODUCT(MAX((T_PlannedOrders[Part Name]=$A1099)*(T_PlannedOrders[WeekIndex]=55)*(T_PlannedOrders[EffectiveQty]&gt;0)*T_PlannedOrders[Order_Month])),"m月")&amp;"発注)")</f>
        <v/>
      </c>
      <c r="BG1109">
        <f>IF(SUMIFS(T_PlannedOrders[EffectiveQty],T_PlannedOrders[Part Name],$A1099,T_PlannedOrders[WeekIndex],56)=0,"",SUMIFS(T_PlannedOrders[EffectiveQty],T_PlannedOrders[Part Name],$A1099,T_PlannedOrders[WeekIndex],56)&amp;" ("&amp;TEXT(SUMPRODUCT(MAX((T_PlannedOrders[Part Name]=$A1099)*(T_PlannedOrders[WeekIndex]=56)*(T_PlannedOrders[EffectiveQty]&gt;0)*T_PlannedOrders[Order_Month])),"m月")&amp;"発注)")</f>
        <v/>
      </c>
      <c r="BH1109">
        <f>IF(SUMIFS(T_PlannedOrders[EffectiveQty],T_PlannedOrders[Part Name],$A1099,T_PlannedOrders[WeekIndex],57)=0,"",SUMIFS(T_PlannedOrders[EffectiveQty],T_PlannedOrders[Part Name],$A1099,T_PlannedOrders[WeekIndex],57)&amp;" ("&amp;TEXT(SUMPRODUCT(MAX((T_PlannedOrders[Part Name]=$A1099)*(T_PlannedOrders[WeekIndex]=57)*(T_PlannedOrders[EffectiveQty]&gt;0)*T_PlannedOrders[Order_Month])),"m月")&amp;"発注)")</f>
        <v/>
      </c>
      <c r="BI1109">
        <f>IF(SUMIFS(T_PlannedOrders[EffectiveQty],T_PlannedOrders[Part Name],$A1099,T_PlannedOrders[WeekIndex],58)=0,"",SUMIFS(T_PlannedOrders[EffectiveQty],T_PlannedOrders[Part Name],$A1099,T_PlannedOrders[WeekIndex],58)&amp;" ("&amp;TEXT(SUMPRODUCT(MAX((T_PlannedOrders[Part Name]=$A1099)*(T_PlannedOrders[WeekIndex]=58)*(T_PlannedOrders[EffectiveQty]&gt;0)*T_PlannedOrders[Order_Month])),"m月")&amp;"発注)")</f>
        <v/>
      </c>
      <c r="BJ1109">
        <f>IF(SUMIFS(T_PlannedOrders[EffectiveQty],T_PlannedOrders[Part Name],$A1099,T_PlannedOrders[WeekIndex],59)=0,"",SUMIFS(T_PlannedOrders[EffectiveQty],T_PlannedOrders[Part Name],$A1099,T_PlannedOrders[WeekIndex],59)&amp;" ("&amp;TEXT(SUMPRODUCT(MAX((T_PlannedOrders[Part Name]=$A1099)*(T_PlannedOrders[WeekIndex]=59)*(T_PlannedOrders[EffectiveQty]&gt;0)*T_PlannedOrders[Order_Month])),"m月")&amp;"発注)")</f>
        <v/>
      </c>
      <c r="BK1109">
        <f>IF(SUMIFS(T_PlannedOrders[EffectiveQty],T_PlannedOrders[Part Name],$A1099,T_PlannedOrders[WeekIndex],60)=0,"",SUMIFS(T_PlannedOrders[EffectiveQty],T_PlannedOrders[Part Name],$A1099,T_PlannedOrders[WeekIndex],60)&amp;" ("&amp;TEXT(SUMPRODUCT(MAX((T_PlannedOrders[Part Name]=$A1099)*(T_PlannedOrders[WeekIndex]=60)*(T_PlannedOrders[EffectiveQty]&gt;0)*T_PlannedOrders[Order_Month])),"m月")&amp;"発注)")</f>
        <v/>
      </c>
      <c r="BL1109">
        <f>IF(SUMIFS(T_PlannedOrders[EffectiveQty],T_PlannedOrders[Part Name],$A1099,T_PlannedOrders[WeekIndex],61)=0,"",SUMIFS(T_PlannedOrders[EffectiveQty],T_PlannedOrders[Part Name],$A1099,T_PlannedOrders[WeekIndex],61)&amp;" ("&amp;TEXT(SUMPRODUCT(MAX((T_PlannedOrders[Part Name]=$A1099)*(T_PlannedOrders[WeekIndex]=61)*(T_PlannedOrders[EffectiveQty]&gt;0)*T_PlannedOrders[Order_Month])),"m月")&amp;"発注)")</f>
        <v/>
      </c>
      <c r="BM1109">
        <f>IF(SUMIFS(T_PlannedOrders[EffectiveQty],T_PlannedOrders[Part Name],$A1099,T_PlannedOrders[WeekIndex],62)=0,"",SUMIFS(T_PlannedOrders[EffectiveQty],T_PlannedOrders[Part Name],$A1099,T_PlannedOrders[WeekIndex],62)&amp;" ("&amp;TEXT(SUMPRODUCT(MAX((T_PlannedOrders[Part Name]=$A1099)*(T_PlannedOrders[WeekIndex]=62)*(T_PlannedOrders[EffectiveQty]&gt;0)*T_PlannedOrders[Order_Month])),"m月")&amp;"発注)")</f>
        <v/>
      </c>
      <c r="BN1109">
        <f>IF(SUMIFS(T_PlannedOrders[EffectiveQty],T_PlannedOrders[Part Name],$A1099,T_PlannedOrders[WeekIndex],63)=0,"",SUMIFS(T_PlannedOrders[EffectiveQty],T_PlannedOrders[Part Name],$A1099,T_PlannedOrders[WeekIndex],63)&amp;" ("&amp;TEXT(SUMPRODUCT(MAX((T_PlannedOrders[Part Name]=$A1099)*(T_PlannedOrders[WeekIndex]=63)*(T_PlannedOrders[EffectiveQty]&gt;0)*T_PlannedOrders[Order_Month])),"m月")&amp;"発注)")</f>
        <v/>
      </c>
      <c r="BO1109">
        <f>IF(SUMIFS(T_PlannedOrders[EffectiveQty],T_PlannedOrders[Part Name],$A1099,T_PlannedOrders[WeekIndex],64)=0,"",SUMIFS(T_PlannedOrders[EffectiveQty],T_PlannedOrders[Part Name],$A1099,T_PlannedOrders[WeekIndex],64)&amp;" ("&amp;TEXT(SUMPRODUCT(MAX((T_PlannedOrders[Part Name]=$A1099)*(T_PlannedOrders[WeekIndex]=64)*(T_PlannedOrders[EffectiveQty]&gt;0)*T_PlannedOrders[Order_Month])),"m月")&amp;"発注)")</f>
        <v/>
      </c>
      <c r="BP1109">
        <f>IF(SUMIFS(T_PlannedOrders[EffectiveQty],T_PlannedOrders[Part Name],$A1099,T_PlannedOrders[WeekIndex],65)=0,"",SUMIFS(T_PlannedOrders[EffectiveQty],T_PlannedOrders[Part Name],$A1099,T_PlannedOrders[WeekIndex],65)&amp;" ("&amp;TEXT(SUMPRODUCT(MAX((T_PlannedOrders[Part Name]=$A1099)*(T_PlannedOrders[WeekIndex]=65)*(T_PlannedOrders[EffectiveQty]&gt;0)*T_PlannedOrders[Order_Month])),"m月")&amp;"発注)")</f>
        <v/>
      </c>
      <c r="BQ1109">
        <f>IF(SUMIFS(T_PlannedOrders[EffectiveQty],T_PlannedOrders[Part Name],$A1099,T_PlannedOrders[WeekIndex],66)=0,"",SUMIFS(T_PlannedOrders[EffectiveQty],T_PlannedOrders[Part Name],$A1099,T_PlannedOrders[WeekIndex],66)&amp;" ("&amp;TEXT(SUMPRODUCT(MAX((T_PlannedOrders[Part Name]=$A1099)*(T_PlannedOrders[WeekIndex]=66)*(T_PlannedOrders[EffectiveQty]&gt;0)*T_PlannedOrders[Order_Month])),"m月")&amp;"発注)")</f>
        <v/>
      </c>
      <c r="BR1109">
        <f>IF(SUMIFS(T_PlannedOrders[EffectiveQty],T_PlannedOrders[Part Name],$A1099,T_PlannedOrders[WeekIndex],67)=0,"",SUMIFS(T_PlannedOrders[EffectiveQty],T_PlannedOrders[Part Name],$A1099,T_PlannedOrders[WeekIndex],67)&amp;" ("&amp;TEXT(SUMPRODUCT(MAX((T_PlannedOrders[Part Name]=$A1099)*(T_PlannedOrders[WeekIndex]=67)*(T_PlannedOrders[EffectiveQty]&gt;0)*T_PlannedOrders[Order_Month])),"m月")&amp;"発注)")</f>
        <v/>
      </c>
      <c r="BS1109">
        <f>IF(SUMIFS(T_PlannedOrders[EffectiveQty],T_PlannedOrders[Part Name],$A1099,T_PlannedOrders[WeekIndex],68)=0,"",SUMIFS(T_PlannedOrders[EffectiveQty],T_PlannedOrders[Part Name],$A1099,T_PlannedOrders[WeekIndex],68)&amp;" ("&amp;TEXT(SUMPRODUCT(MAX((T_PlannedOrders[Part Name]=$A1099)*(T_PlannedOrders[WeekIndex]=68)*(T_PlannedOrders[EffectiveQty]&gt;0)*T_PlannedOrders[Order_Month])),"m月")&amp;"発注)")</f>
        <v/>
      </c>
      <c r="BT1109">
        <f>IF(SUMIFS(T_PlannedOrders[EffectiveQty],T_PlannedOrders[Part Name],$A1099,T_PlannedOrders[WeekIndex],69)=0,"",SUMIFS(T_PlannedOrders[EffectiveQty],T_PlannedOrders[Part Name],$A1099,T_PlannedOrders[WeekIndex],69)&amp;" ("&amp;TEXT(SUMPRODUCT(MAX((T_PlannedOrders[Part Name]=$A1099)*(T_PlannedOrders[WeekIndex]=69)*(T_PlannedOrders[EffectiveQty]&gt;0)*T_PlannedOrders[Order_Month])),"m月")&amp;"発注)")</f>
        <v/>
      </c>
      <c r="BU1109">
        <f>IF(SUMIFS(T_PlannedOrders[EffectiveQty],T_PlannedOrders[Part Name],$A1099,T_PlannedOrders[WeekIndex],70)=0,"",SUMIFS(T_PlannedOrders[EffectiveQty],T_PlannedOrders[Part Name],$A1099,T_PlannedOrders[WeekIndex],70)&amp;" ("&amp;TEXT(SUMPRODUCT(MAX((T_PlannedOrders[Part Name]=$A1099)*(T_PlannedOrders[WeekIndex]=70)*(T_PlannedOrders[EffectiveQty]&gt;0)*T_PlannedOrders[Order_Month])),"m月")&amp;"発注)")</f>
        <v/>
      </c>
      <c r="BV1109">
        <f>IF(SUMIFS(T_PlannedOrders[EffectiveQty],T_PlannedOrders[Part Name],$A1099,T_PlannedOrders[WeekIndex],71)=0,"",SUMIFS(T_PlannedOrders[EffectiveQty],T_PlannedOrders[Part Name],$A1099,T_PlannedOrders[WeekIndex],71)&amp;" ("&amp;TEXT(SUMPRODUCT(MAX((T_PlannedOrders[Part Name]=$A1099)*(T_PlannedOrders[WeekIndex]=71)*(T_PlannedOrders[EffectiveQty]&gt;0)*T_PlannedOrders[Order_Month])),"m月")&amp;"発注)")</f>
        <v/>
      </c>
      <c r="BW1109">
        <f>IF(SUMIFS(T_PlannedOrders[EffectiveQty],T_PlannedOrders[Part Name],$A1099,T_PlannedOrders[WeekIndex],72)=0,"",SUMIFS(T_PlannedOrders[EffectiveQty],T_PlannedOrders[Part Name],$A1099,T_PlannedOrders[WeekIndex],72)&amp;" ("&amp;TEXT(SUMPRODUCT(MAX((T_PlannedOrders[Part Name]=$A1099)*(T_PlannedOrders[WeekIndex]=72)*(T_PlannedOrders[EffectiveQty]&gt;0)*T_PlannedOrders[Order_Month])),"m月")&amp;"発注)")</f>
        <v/>
      </c>
      <c r="BX1109">
        <f>IF(SUMIFS(T_PlannedOrders[EffectiveQty],T_PlannedOrders[Part Name],$A1099,T_PlannedOrders[WeekIndex],73)=0,"",SUMIFS(T_PlannedOrders[EffectiveQty],T_PlannedOrders[Part Name],$A1099,T_PlannedOrders[WeekIndex],73)&amp;" ("&amp;TEXT(SUMPRODUCT(MAX((T_PlannedOrders[Part Name]=$A1099)*(T_PlannedOrders[WeekIndex]=73)*(T_PlannedOrders[EffectiveQty]&gt;0)*T_PlannedOrders[Order_Month])),"m月")&amp;"発注)")</f>
        <v/>
      </c>
      <c r="BY1109">
        <f>IF(SUMIFS(T_PlannedOrders[EffectiveQty],T_PlannedOrders[Part Name],$A1099,T_PlannedOrders[WeekIndex],74)=0,"",SUMIFS(T_PlannedOrders[EffectiveQty],T_PlannedOrders[Part Name],$A1099,T_PlannedOrders[WeekIndex],74)&amp;" ("&amp;TEXT(SUMPRODUCT(MAX((T_PlannedOrders[Part Name]=$A1099)*(T_PlannedOrders[WeekIndex]=74)*(T_PlannedOrders[EffectiveQty]&gt;0)*T_PlannedOrders[Order_Month])),"m月")&amp;"発注)")</f>
        <v/>
      </c>
      <c r="BZ1109">
        <f>IF(SUMIFS(T_PlannedOrders[EffectiveQty],T_PlannedOrders[Part Name],$A1099,T_PlannedOrders[WeekIndex],75)=0,"",SUMIFS(T_PlannedOrders[EffectiveQty],T_PlannedOrders[Part Name],$A1099,T_PlannedOrders[WeekIndex],75)&amp;" ("&amp;TEXT(SUMPRODUCT(MAX((T_PlannedOrders[Part Name]=$A1099)*(T_PlannedOrders[WeekIndex]=75)*(T_PlannedOrders[EffectiveQty]&gt;0)*T_PlannedOrders[Order_Month])),"m月")&amp;"発注)")</f>
        <v/>
      </c>
      <c r="CA1109">
        <f>IF(SUMIFS(T_PlannedOrders[EffectiveQty],T_PlannedOrders[Part Name],$A1099,T_PlannedOrders[WeekIndex],76)=0,"",SUMIFS(T_PlannedOrders[EffectiveQty],T_PlannedOrders[Part Name],$A1099,T_PlannedOrders[WeekIndex],76)&amp;" ("&amp;TEXT(SUMPRODUCT(MAX((T_PlannedOrders[Part Name]=$A1099)*(T_PlannedOrders[WeekIndex]=76)*(T_PlannedOrders[EffectiveQty]&gt;0)*T_PlannedOrders[Order_Month])),"m月")&amp;"発注)")</f>
        <v/>
      </c>
      <c r="CB1109">
        <f>IF(SUMIFS(T_PlannedOrders[EffectiveQty],T_PlannedOrders[Part Name],$A1099,T_PlannedOrders[WeekIndex],77)=0,"",SUMIFS(T_PlannedOrders[EffectiveQty],T_PlannedOrders[Part Name],$A1099,T_PlannedOrders[WeekIndex],77)&amp;" ("&amp;TEXT(SUMPRODUCT(MAX((T_PlannedOrders[Part Name]=$A1099)*(T_PlannedOrders[WeekIndex]=77)*(T_PlannedOrders[EffectiveQty]&gt;0)*T_PlannedOrders[Order_Month])),"m月")&amp;"発注)")</f>
        <v/>
      </c>
      <c r="CC1109">
        <f>IF(SUMIFS(T_PlannedOrders[EffectiveQty],T_PlannedOrders[Part Name],$A1099,T_PlannedOrders[WeekIndex],78)=0,"",SUMIFS(T_PlannedOrders[EffectiveQty],T_PlannedOrders[Part Name],$A1099,T_PlannedOrders[WeekIndex],78)&amp;" ("&amp;TEXT(SUMPRODUCT(MAX((T_PlannedOrders[Part Name]=$A1099)*(T_PlannedOrders[WeekIndex]=78)*(T_PlannedOrders[EffectiveQty]&gt;0)*T_PlannedOrders[Order_Month])),"m月")&amp;"発注)")</f>
        <v/>
      </c>
      <c r="CD1109">
        <f>IF(SUMIFS(T_PlannedOrders[EffectiveQty],T_PlannedOrders[Part Name],$A1099,T_PlannedOrders[WeekIndex],79)=0,"",SUMIFS(T_PlannedOrders[EffectiveQty],T_PlannedOrders[Part Name],$A1099,T_PlannedOrders[WeekIndex],79)&amp;" ("&amp;TEXT(SUMPRODUCT(MAX((T_PlannedOrders[Part Name]=$A1099)*(T_PlannedOrders[WeekIndex]=79)*(T_PlannedOrders[EffectiveQty]&gt;0)*T_PlannedOrders[Order_Month])),"m月")&amp;"発注)")</f>
        <v/>
      </c>
      <c r="CE1109">
        <f>IF(SUMIFS(T_PlannedOrders[EffectiveQty],T_PlannedOrders[Part Name],$A1099,T_PlannedOrders[WeekIndex],80)=0,"",SUMIFS(T_PlannedOrders[EffectiveQty],T_PlannedOrders[Part Name],$A1099,T_PlannedOrders[WeekIndex],80)&amp;" ("&amp;TEXT(SUMPRODUCT(MAX((T_PlannedOrders[Part Name]=$A1099)*(T_PlannedOrders[WeekIndex]=80)*(T_PlannedOrders[EffectiveQty]&gt;0)*T_PlannedOrders[Order_Month])),"m月")&amp;"発注)")</f>
        <v/>
      </c>
      <c r="CF1109">
        <f>IF(SUMIFS(T_PlannedOrders[EffectiveQty],T_PlannedOrders[Part Name],$A1099,T_PlannedOrders[WeekIndex],81)=0,"",SUMIFS(T_PlannedOrders[EffectiveQty],T_PlannedOrders[Part Name],$A1099,T_PlannedOrders[WeekIndex],81)&amp;" ("&amp;TEXT(SUMPRODUCT(MAX((T_PlannedOrders[Part Name]=$A1099)*(T_PlannedOrders[WeekIndex]=81)*(T_PlannedOrders[EffectiveQty]&gt;0)*T_PlannedOrders[Order_Month])),"m月")&amp;"発注)")</f>
        <v/>
      </c>
      <c r="CG1109">
        <f>IF(SUMIFS(T_PlannedOrders[EffectiveQty],T_PlannedOrders[Part Name],$A1099,T_PlannedOrders[WeekIndex],82)=0,"",SUMIFS(T_PlannedOrders[EffectiveQty],T_PlannedOrders[Part Name],$A1099,T_PlannedOrders[WeekIndex],82)&amp;" ("&amp;TEXT(SUMPRODUCT(MAX((T_PlannedOrders[Part Name]=$A1099)*(T_PlannedOrders[WeekIndex]=82)*(T_PlannedOrders[EffectiveQty]&gt;0)*T_PlannedOrders[Order_Month])),"m月")&amp;"発注)")</f>
        <v/>
      </c>
      <c r="CH1109">
        <f>IF(SUMIFS(T_PlannedOrders[EffectiveQty],T_PlannedOrders[Part Name],$A1099,T_PlannedOrders[WeekIndex],83)=0,"",SUMIFS(T_PlannedOrders[EffectiveQty],T_PlannedOrders[Part Name],$A1099,T_PlannedOrders[WeekIndex],83)&amp;" ("&amp;TEXT(SUMPRODUCT(MAX((T_PlannedOrders[Part Name]=$A1099)*(T_PlannedOrders[WeekIndex]=83)*(T_PlannedOrders[EffectiveQty]&gt;0)*T_PlannedOrders[Order_Month])),"m月")&amp;"発注)")</f>
        <v/>
      </c>
      <c r="CI1109">
        <f>IF(SUMIFS(T_PlannedOrders[EffectiveQty],T_PlannedOrders[Part Name],$A1099,T_PlannedOrders[WeekIndex],84)=0,"",SUMIFS(T_PlannedOrders[EffectiveQty],T_PlannedOrders[Part Name],$A1099,T_PlannedOrders[WeekIndex],84)&amp;" ("&amp;TEXT(SUMPRODUCT(MAX((T_PlannedOrders[Part Name]=$A1099)*(T_PlannedOrders[WeekIndex]=84)*(T_PlannedOrders[EffectiveQty]&gt;0)*T_PlannedOrders[Order_Month])),"m月")&amp;"発注)")</f>
        <v/>
      </c>
      <c r="CJ1109">
        <f>IF(SUMIFS(T_PlannedOrders[EffectiveQty],T_PlannedOrders[Part Name],$A1099,T_PlannedOrders[WeekIndex],85)=0,"",SUMIFS(T_PlannedOrders[EffectiveQty],T_PlannedOrders[Part Name],$A1099,T_PlannedOrders[WeekIndex],85)&amp;" ("&amp;TEXT(SUMPRODUCT(MAX((T_PlannedOrders[Part Name]=$A1099)*(T_PlannedOrders[WeekIndex]=85)*(T_PlannedOrders[EffectiveQty]&gt;0)*T_PlannedOrders[Order_Month])),"m月")&amp;"発注)")</f>
        <v/>
      </c>
      <c r="CK1109">
        <f>IF(SUMIFS(T_PlannedOrders[EffectiveQty],T_PlannedOrders[Part Name],$A1099,T_PlannedOrders[WeekIndex],86)=0,"",SUMIFS(T_PlannedOrders[EffectiveQty],T_PlannedOrders[Part Name],$A1099,T_PlannedOrders[WeekIndex],86)&amp;" ("&amp;TEXT(SUMPRODUCT(MAX((T_PlannedOrders[Part Name]=$A1099)*(T_PlannedOrders[WeekIndex]=86)*(T_PlannedOrders[EffectiveQty]&gt;0)*T_PlannedOrders[Order_Month])),"m月")&amp;"発注)")</f>
        <v/>
      </c>
      <c r="CL1109">
        <f>IF(SUMIFS(T_PlannedOrders[EffectiveQty],T_PlannedOrders[Part Name],$A1099,T_PlannedOrders[WeekIndex],87)=0,"",SUMIFS(T_PlannedOrders[EffectiveQty],T_PlannedOrders[Part Name],$A1099,T_PlannedOrders[WeekIndex],87)&amp;" ("&amp;TEXT(SUMPRODUCT(MAX((T_PlannedOrders[Part Name]=$A1099)*(T_PlannedOrders[WeekIndex]=87)*(T_PlannedOrders[EffectiveQty]&gt;0)*T_PlannedOrders[Order_Month])),"m月")&amp;"発注)")</f>
        <v/>
      </c>
      <c r="CM1109">
        <f>IF(SUMIFS(T_PlannedOrders[EffectiveQty],T_PlannedOrders[Part Name],$A1099,T_PlannedOrders[WeekIndex],88)=0,"",SUMIFS(T_PlannedOrders[EffectiveQty],T_PlannedOrders[Part Name],$A1099,T_PlannedOrders[WeekIndex],88)&amp;" ("&amp;TEXT(SUMPRODUCT(MAX((T_PlannedOrders[Part Name]=$A1099)*(T_PlannedOrders[WeekIndex]=88)*(T_PlannedOrders[EffectiveQty]&gt;0)*T_PlannedOrders[Order_Month])),"m月")&amp;"発注)")</f>
        <v/>
      </c>
      <c r="CN1109">
        <f>IF(SUMIFS(T_PlannedOrders[EffectiveQty],T_PlannedOrders[Part Name],$A1099,T_PlannedOrders[WeekIndex],89)=0,"",SUMIFS(T_PlannedOrders[EffectiveQty],T_PlannedOrders[Part Name],$A1099,T_PlannedOrders[WeekIndex],89)&amp;" ("&amp;TEXT(SUMPRODUCT(MAX((T_PlannedOrders[Part Name]=$A1099)*(T_PlannedOrders[WeekIndex]=89)*(T_PlannedOrders[EffectiveQty]&gt;0)*T_PlannedOrders[Order_Month])),"m月")&amp;"発注)")</f>
        <v/>
      </c>
      <c r="CO1109">
        <f>IF(SUMIFS(T_PlannedOrders[EffectiveQty],T_PlannedOrders[Part Name],$A1099,T_PlannedOrders[WeekIndex],90)=0,"",SUMIFS(T_PlannedOrders[EffectiveQty],T_PlannedOrders[Part Name],$A1099,T_PlannedOrders[WeekIndex],90)&amp;" ("&amp;TEXT(SUMPRODUCT(MAX((T_PlannedOrders[Part Name]=$A1099)*(T_PlannedOrders[WeekIndex]=90)*(T_PlannedOrders[EffectiveQty]&gt;0)*T_PlannedOrders[Order_Month])),"m月")&amp;"発注)")</f>
        <v/>
      </c>
      <c r="CP1109">
        <f>IF(SUMIFS(T_PlannedOrders[EffectiveQty],T_PlannedOrders[Part Name],$A1099,T_PlannedOrders[WeekIndex],91)=0,"",SUMIFS(T_PlannedOrders[EffectiveQty],T_PlannedOrders[Part Name],$A1099,T_PlannedOrders[WeekIndex],91)&amp;" ("&amp;TEXT(SUMPRODUCT(MAX((T_PlannedOrders[Part Name]=$A1099)*(T_PlannedOrders[WeekIndex]=91)*(T_PlannedOrders[EffectiveQty]&gt;0)*T_PlannedOrders[Order_Month])),"m月")&amp;"発注)")</f>
        <v/>
      </c>
      <c r="CQ1109">
        <f>IF(SUMIFS(T_PlannedOrders[EffectiveQty],T_PlannedOrders[Part Name],$A1099,T_PlannedOrders[WeekIndex],92)=0,"",SUMIFS(T_PlannedOrders[EffectiveQty],T_PlannedOrders[Part Name],$A1099,T_PlannedOrders[WeekIndex],92)&amp;" ("&amp;TEXT(SUMPRODUCT(MAX((T_PlannedOrders[Part Name]=$A1099)*(T_PlannedOrders[WeekIndex]=92)*(T_PlannedOrders[EffectiveQty]&gt;0)*T_PlannedOrders[Order_Month])),"m月")&amp;"発注)")</f>
        <v/>
      </c>
      <c r="CR1109">
        <f>IF(SUMIFS(T_PlannedOrders[EffectiveQty],T_PlannedOrders[Part Name],$A1099,T_PlannedOrders[WeekIndex],93)=0,"",SUMIFS(T_PlannedOrders[EffectiveQty],T_PlannedOrders[Part Name],$A1099,T_PlannedOrders[WeekIndex],93)&amp;" ("&amp;TEXT(SUMPRODUCT(MAX((T_PlannedOrders[Part Name]=$A1099)*(T_PlannedOrders[WeekIndex]=93)*(T_PlannedOrders[EffectiveQty]&gt;0)*T_PlannedOrders[Order_Month])),"m月")&amp;"発注)")</f>
        <v/>
      </c>
      <c r="CS1109">
        <f>IF(SUMIFS(T_PlannedOrders[EffectiveQty],T_PlannedOrders[Part Name],$A1099,T_PlannedOrders[WeekIndex],94)=0,"",SUMIFS(T_PlannedOrders[EffectiveQty],T_PlannedOrders[Part Name],$A1099,T_PlannedOrders[WeekIndex],94)&amp;" ("&amp;TEXT(SUMPRODUCT(MAX((T_PlannedOrders[Part Name]=$A1099)*(T_PlannedOrders[WeekIndex]=94)*(T_PlannedOrders[EffectiveQty]&gt;0)*T_PlannedOrders[Order_Month])),"m月")&amp;"発注)")</f>
        <v/>
      </c>
      <c r="CT1109">
        <f>IF(SUMIFS(T_PlannedOrders[EffectiveQty],T_PlannedOrders[Part Name],$A1099,T_PlannedOrders[WeekIndex],95)=0,"",SUMIFS(T_PlannedOrders[EffectiveQty],T_PlannedOrders[Part Name],$A1099,T_PlannedOrders[WeekIndex],95)&amp;" ("&amp;TEXT(SUMPRODUCT(MAX((T_PlannedOrders[Part Name]=$A1099)*(T_PlannedOrders[WeekIndex]=95)*(T_PlannedOrders[EffectiveQty]&gt;0)*T_PlannedOrders[Order_Month])),"m月")&amp;"発注)")</f>
        <v/>
      </c>
      <c r="CU1109">
        <f>IF(SUMIFS(T_PlannedOrders[EffectiveQty],T_PlannedOrders[Part Name],$A1099,T_PlannedOrders[WeekIndex],96)=0,"",SUMIFS(T_PlannedOrders[EffectiveQty],T_PlannedOrders[Part Name],$A1099,T_PlannedOrders[WeekIndex],96)&amp;" ("&amp;TEXT(SUMPRODUCT(MAX((T_PlannedOrders[Part Name]=$A1099)*(T_PlannedOrders[WeekIndex]=96)*(T_PlannedOrders[EffectiveQty]&gt;0)*T_PlannedOrders[Order_Month])),"m月")&amp;"発注)")</f>
        <v/>
      </c>
      <c r="CV1109">
        <f>IF(SUMIFS(T_PlannedOrders[EffectiveQty],T_PlannedOrders[Part Name],$A1099,T_PlannedOrders[WeekIndex],97)=0,"",SUMIFS(T_PlannedOrders[EffectiveQty],T_PlannedOrders[Part Name],$A1099,T_PlannedOrders[WeekIndex],97)&amp;" ("&amp;TEXT(SUMPRODUCT(MAX((T_PlannedOrders[Part Name]=$A1099)*(T_PlannedOrders[WeekIndex]=97)*(T_PlannedOrders[EffectiveQty]&gt;0)*T_PlannedOrders[Order_Month])),"m月")&amp;"発注)")</f>
        <v/>
      </c>
      <c r="CW1109">
        <f>IF(SUMIFS(T_PlannedOrders[EffectiveQty],T_PlannedOrders[Part Name],$A1099,T_PlannedOrders[WeekIndex],98)=0,"",SUMIFS(T_PlannedOrders[EffectiveQty],T_PlannedOrders[Part Name],$A1099,T_PlannedOrders[WeekIndex],98)&amp;" ("&amp;TEXT(SUMPRODUCT(MAX((T_PlannedOrders[Part Name]=$A1099)*(T_PlannedOrders[WeekIndex]=98)*(T_PlannedOrders[EffectiveQty]&gt;0)*T_PlannedOrders[Order_Month])),"m月")&amp;"発注)")</f>
        <v/>
      </c>
      <c r="CX1109">
        <f>IF(SUMIFS(T_PlannedOrders[EffectiveQty],T_PlannedOrders[Part Name],$A1099,T_PlannedOrders[WeekIndex],99)=0,"",SUMIFS(T_PlannedOrders[EffectiveQty],T_PlannedOrders[Part Name],$A1099,T_PlannedOrders[WeekIndex],99)&amp;" ("&amp;TEXT(SUMPRODUCT(MAX((T_PlannedOrders[Part Name]=$A1099)*(T_PlannedOrders[WeekIndex]=99)*(T_PlannedOrders[EffectiveQty]&gt;0)*T_PlannedOrders[Order_Month])),"m月")&amp;"発注)")</f>
        <v/>
      </c>
      <c r="CY1109">
        <f>IF(SUMIFS(T_PlannedOrders[EffectiveQty],T_PlannedOrders[Part Name],$A1099,T_PlannedOrders[WeekIndex],100)=0,"",SUMIFS(T_PlannedOrders[EffectiveQty],T_PlannedOrders[Part Name],$A1099,T_PlannedOrders[WeekIndex],100)&amp;" ("&amp;TEXT(SUMPRODUCT(MAX((T_PlannedOrders[Part Name]=$A1099)*(T_PlannedOrders[WeekIndex]=100)*(T_PlannedOrders[EffectiveQty]&gt;0)*T_PlannedOrders[Order_Month])),"m月")&amp;"発注)")</f>
        <v/>
      </c>
      <c r="CZ1109">
        <f>IF(SUMIFS(T_PlannedOrders[EffectiveQty],T_PlannedOrders[Part Name],$A1099,T_PlannedOrders[WeekIndex],101)=0,"",SUMIFS(T_PlannedOrders[EffectiveQty],T_PlannedOrders[Part Name],$A1099,T_PlannedOrders[WeekIndex],101)&amp;" ("&amp;TEXT(SUMPRODUCT(MAX((T_PlannedOrders[Part Name]=$A1099)*(T_PlannedOrders[WeekIndex]=101)*(T_PlannedOrders[EffectiveQty]&gt;0)*T_PlannedOrders[Order_Month])),"m月")&amp;"発注)")</f>
        <v/>
      </c>
      <c r="DA1109">
        <f>IF(SUMIFS(T_PlannedOrders[EffectiveQty],T_PlannedOrders[Part Name],$A1099,T_PlannedOrders[WeekIndex],102)=0,"",SUMIFS(T_PlannedOrders[EffectiveQty],T_PlannedOrders[Part Name],$A1099,T_PlannedOrders[WeekIndex],102)&amp;" ("&amp;TEXT(SUMPRODUCT(MAX((T_PlannedOrders[Part Name]=$A1099)*(T_PlannedOrders[WeekIndex]=102)*(T_PlannedOrders[EffectiveQty]&gt;0)*T_PlannedOrders[Order_Month])),"m月")&amp;"発注)")</f>
        <v/>
      </c>
      <c r="DB1109">
        <f>IF(SUMIFS(T_PlannedOrders[EffectiveQty],T_PlannedOrders[Part Name],$A1099,T_PlannedOrders[WeekIndex],103)=0,"",SUMIFS(T_PlannedOrders[EffectiveQty],T_PlannedOrders[Part Name],$A1099,T_PlannedOrders[WeekIndex],103)&amp;" ("&amp;TEXT(SUMPRODUCT(MAX((T_PlannedOrders[Part Name]=$A1099)*(T_PlannedOrders[WeekIndex]=103)*(T_PlannedOrders[EffectiveQty]&gt;0)*T_PlannedOrders[Order_Month])),"m月")&amp;"発注)")</f>
        <v/>
      </c>
      <c r="DC1109">
        <f>IF(SUMIFS(T_PlannedOrders[EffectiveQty],T_PlannedOrders[Part Name],$A1099,T_PlannedOrders[WeekIndex],104)=0,"",SUMIFS(T_PlannedOrders[EffectiveQty],T_PlannedOrders[Part Name],$A1099,T_PlannedOrders[WeekIndex],104)&amp;" ("&amp;TEXT(SUMPRODUCT(MAX((T_PlannedOrders[Part Name]=$A1099)*(T_PlannedOrders[WeekIndex]=104)*(T_PlannedOrders[EffectiveQty]&gt;0)*T_PlannedOrders[Order_Month])),"m月")&amp;"発注)")</f>
        <v/>
      </c>
    </row>
    <row r="1110">
      <c r="B1110" s="4" t="inlineStr">
        <is>
          <t>合計在庫(週末時点,kg)</t>
        </is>
      </c>
      <c r="D1110">
        <f>'Grid_Stock'!B28</f>
        <v/>
      </c>
      <c r="E1110">
        <f>'Grid_Stock'!C28</f>
        <v/>
      </c>
      <c r="F1110">
        <f>'Grid_Stock'!D28</f>
        <v/>
      </c>
      <c r="G1110">
        <f>'Grid_Stock'!E28</f>
        <v/>
      </c>
      <c r="H1110">
        <f>'Grid_Stock'!F28</f>
        <v/>
      </c>
      <c r="I1110">
        <f>'Grid_Stock'!G28</f>
        <v/>
      </c>
      <c r="J1110">
        <f>'Grid_Stock'!H28</f>
        <v/>
      </c>
      <c r="K1110">
        <f>'Grid_Stock'!I28</f>
        <v/>
      </c>
      <c r="L1110">
        <f>'Grid_Stock'!J28</f>
        <v/>
      </c>
      <c r="M1110">
        <f>'Grid_Stock'!K28</f>
        <v/>
      </c>
      <c r="N1110">
        <f>'Grid_Stock'!L28</f>
        <v/>
      </c>
      <c r="O1110">
        <f>'Grid_Stock'!M28</f>
        <v/>
      </c>
      <c r="P1110">
        <f>'Grid_Stock'!N28</f>
        <v/>
      </c>
      <c r="Q1110">
        <f>'Grid_Stock'!O28</f>
        <v/>
      </c>
      <c r="R1110">
        <f>'Grid_Stock'!P28</f>
        <v/>
      </c>
      <c r="S1110">
        <f>'Grid_Stock'!Q28</f>
        <v/>
      </c>
      <c r="T1110">
        <f>'Grid_Stock'!R28</f>
        <v/>
      </c>
      <c r="U1110">
        <f>'Grid_Stock'!S28</f>
        <v/>
      </c>
      <c r="V1110">
        <f>'Grid_Stock'!T28</f>
        <v/>
      </c>
      <c r="W1110">
        <f>'Grid_Stock'!U28</f>
        <v/>
      </c>
      <c r="X1110">
        <f>'Grid_Stock'!V28</f>
        <v/>
      </c>
      <c r="Y1110">
        <f>'Grid_Stock'!W28</f>
        <v/>
      </c>
      <c r="Z1110">
        <f>'Grid_Stock'!X28</f>
        <v/>
      </c>
      <c r="AA1110">
        <f>'Grid_Stock'!Y28</f>
        <v/>
      </c>
      <c r="AB1110">
        <f>'Grid_Stock'!Z28</f>
        <v/>
      </c>
      <c r="AC1110">
        <f>'Grid_Stock'!AA28</f>
        <v/>
      </c>
      <c r="AD1110">
        <f>'Grid_Stock'!AB28</f>
        <v/>
      </c>
      <c r="AE1110">
        <f>'Grid_Stock'!AC28</f>
        <v/>
      </c>
      <c r="AF1110">
        <f>'Grid_Stock'!AD28</f>
        <v/>
      </c>
      <c r="AG1110">
        <f>'Grid_Stock'!AE28</f>
        <v/>
      </c>
      <c r="AH1110">
        <f>'Grid_Stock'!AF28</f>
        <v/>
      </c>
      <c r="AI1110">
        <f>'Grid_Stock'!AG28</f>
        <v/>
      </c>
      <c r="AJ1110">
        <f>'Grid_Stock'!AH28</f>
        <v/>
      </c>
      <c r="AK1110">
        <f>'Grid_Stock'!AI28</f>
        <v/>
      </c>
      <c r="AL1110">
        <f>'Grid_Stock'!AJ28</f>
        <v/>
      </c>
      <c r="AM1110">
        <f>'Grid_Stock'!AK28</f>
        <v/>
      </c>
      <c r="AN1110">
        <f>'Grid_Stock'!AL28</f>
        <v/>
      </c>
      <c r="AO1110">
        <f>'Grid_Stock'!AM28</f>
        <v/>
      </c>
      <c r="AP1110">
        <f>'Grid_Stock'!AN28</f>
        <v/>
      </c>
      <c r="AQ1110">
        <f>'Grid_Stock'!AO28</f>
        <v/>
      </c>
      <c r="AR1110">
        <f>'Grid_Stock'!AP28</f>
        <v/>
      </c>
      <c r="AS1110">
        <f>'Grid_Stock'!AQ28</f>
        <v/>
      </c>
      <c r="AT1110">
        <f>'Grid_Stock'!AR28</f>
        <v/>
      </c>
      <c r="AU1110">
        <f>'Grid_Stock'!AS28</f>
        <v/>
      </c>
      <c r="AV1110">
        <f>'Grid_Stock'!AT28</f>
        <v/>
      </c>
      <c r="AW1110">
        <f>'Grid_Stock'!AU28</f>
        <v/>
      </c>
      <c r="AX1110">
        <f>'Grid_Stock'!AV28</f>
        <v/>
      </c>
      <c r="AY1110">
        <f>'Grid_Stock'!AW28</f>
        <v/>
      </c>
      <c r="AZ1110">
        <f>'Grid_Stock'!AX28</f>
        <v/>
      </c>
      <c r="BA1110">
        <f>'Grid_Stock'!AY28</f>
        <v/>
      </c>
      <c r="BB1110">
        <f>'Grid_Stock'!AZ28</f>
        <v/>
      </c>
      <c r="BC1110">
        <f>'Grid_Stock'!BA28</f>
        <v/>
      </c>
      <c r="BD1110">
        <f>'Grid_Stock'!BB28</f>
        <v/>
      </c>
      <c r="BE1110">
        <f>'Grid_Stock'!BC28</f>
        <v/>
      </c>
      <c r="BF1110">
        <f>'Grid_Stock'!BD28</f>
        <v/>
      </c>
      <c r="BG1110">
        <f>'Grid_Stock'!BE28</f>
        <v/>
      </c>
      <c r="BH1110">
        <f>'Grid_Stock'!BF28</f>
        <v/>
      </c>
      <c r="BI1110">
        <f>'Grid_Stock'!BG28</f>
        <v/>
      </c>
      <c r="BJ1110">
        <f>'Grid_Stock'!BH28</f>
        <v/>
      </c>
      <c r="BK1110">
        <f>'Grid_Stock'!BI28</f>
        <v/>
      </c>
      <c r="BL1110">
        <f>'Grid_Stock'!BJ28</f>
        <v/>
      </c>
      <c r="BM1110">
        <f>'Grid_Stock'!BK28</f>
        <v/>
      </c>
      <c r="BN1110">
        <f>'Grid_Stock'!BL28</f>
        <v/>
      </c>
      <c r="BO1110">
        <f>'Grid_Stock'!BM28</f>
        <v/>
      </c>
      <c r="BP1110">
        <f>'Grid_Stock'!BN28</f>
        <v/>
      </c>
      <c r="BQ1110">
        <f>'Grid_Stock'!BO28</f>
        <v/>
      </c>
      <c r="BR1110">
        <f>'Grid_Stock'!BP28</f>
        <v/>
      </c>
      <c r="BS1110">
        <f>'Grid_Stock'!BQ28</f>
        <v/>
      </c>
      <c r="BT1110">
        <f>'Grid_Stock'!BR28</f>
        <v/>
      </c>
      <c r="BU1110">
        <f>'Grid_Stock'!BS28</f>
        <v/>
      </c>
      <c r="BV1110">
        <f>'Grid_Stock'!BT28</f>
        <v/>
      </c>
      <c r="BW1110">
        <f>'Grid_Stock'!BU28</f>
        <v/>
      </c>
      <c r="BX1110">
        <f>'Grid_Stock'!BV28</f>
        <v/>
      </c>
      <c r="BY1110">
        <f>'Grid_Stock'!BW28</f>
        <v/>
      </c>
      <c r="BZ1110">
        <f>'Grid_Stock'!BX28</f>
        <v/>
      </c>
      <c r="CA1110">
        <f>'Grid_Stock'!BY28</f>
        <v/>
      </c>
      <c r="CB1110">
        <f>'Grid_Stock'!BZ28</f>
        <v/>
      </c>
      <c r="CC1110">
        <f>'Grid_Stock'!CA28</f>
        <v/>
      </c>
      <c r="CD1110">
        <f>'Grid_Stock'!CB28</f>
        <v/>
      </c>
      <c r="CE1110">
        <f>'Grid_Stock'!CC28</f>
        <v/>
      </c>
      <c r="CF1110">
        <f>'Grid_Stock'!CD28</f>
        <v/>
      </c>
      <c r="CG1110">
        <f>'Grid_Stock'!CE28</f>
        <v/>
      </c>
      <c r="CH1110">
        <f>'Grid_Stock'!CF28</f>
        <v/>
      </c>
      <c r="CI1110">
        <f>'Grid_Stock'!CG28</f>
        <v/>
      </c>
      <c r="CJ1110">
        <f>'Grid_Stock'!CH28</f>
        <v/>
      </c>
      <c r="CK1110">
        <f>'Grid_Stock'!CI28</f>
        <v/>
      </c>
      <c r="CL1110">
        <f>'Grid_Stock'!CJ28</f>
        <v/>
      </c>
      <c r="CM1110">
        <f>'Grid_Stock'!CK28</f>
        <v/>
      </c>
      <c r="CN1110">
        <f>'Grid_Stock'!CL28</f>
        <v/>
      </c>
      <c r="CO1110">
        <f>'Grid_Stock'!CM28</f>
        <v/>
      </c>
      <c r="CP1110">
        <f>'Grid_Stock'!CN28</f>
        <v/>
      </c>
      <c r="CQ1110">
        <f>'Grid_Stock'!CO28</f>
        <v/>
      </c>
      <c r="CR1110">
        <f>'Grid_Stock'!CP28</f>
        <v/>
      </c>
      <c r="CS1110">
        <f>'Grid_Stock'!CQ28</f>
        <v/>
      </c>
      <c r="CT1110">
        <f>'Grid_Stock'!CR28</f>
        <v/>
      </c>
      <c r="CU1110">
        <f>'Grid_Stock'!CS28</f>
        <v/>
      </c>
      <c r="CV1110">
        <f>'Grid_Stock'!CT28</f>
        <v/>
      </c>
      <c r="CW1110">
        <f>'Grid_Stock'!CU28</f>
        <v/>
      </c>
      <c r="CX1110">
        <f>'Grid_Stock'!CV28</f>
        <v/>
      </c>
      <c r="CY1110">
        <f>'Grid_Stock'!CW28</f>
        <v/>
      </c>
      <c r="CZ1110">
        <f>'Grid_Stock'!CX28</f>
        <v/>
      </c>
      <c r="DA1110">
        <f>'Grid_Stock'!CY28</f>
        <v/>
      </c>
      <c r="DB1110">
        <f>'Grid_Stock'!CZ28</f>
        <v/>
      </c>
      <c r="DC1110">
        <f>'Grid_Stock'!DA28</f>
        <v/>
      </c>
    </row>
    <row r="1111">
      <c r="B1111" s="16" t="inlineStr">
        <is>
          <t>（発注の目安はDashboardの基準在庫[下限/上限]と色分けを参照）</t>
        </is>
      </c>
    </row>
    <row r="1113">
      <c r="A1113" s="14" t="inlineStr">
        <is>
          <t>CHEM-1830</t>
        </is>
      </c>
      <c r="B1113" s="14" t="inlineStr">
        <is>
          <t>RCT-43</t>
        </is>
      </c>
      <c r="C1113" s="15" t="n"/>
      <c r="D1113" s="14" t="n"/>
      <c r="E1113" s="14" t="n"/>
      <c r="F1113" s="14" t="n"/>
      <c r="G1113" s="14" t="n"/>
      <c r="H1113" s="14" t="n"/>
      <c r="I1113" s="14" t="n"/>
      <c r="J1113" s="14" t="n"/>
      <c r="K1113" s="14" t="n"/>
      <c r="L1113" s="14" t="n"/>
      <c r="M1113" s="14" t="n"/>
      <c r="N1113" s="14" t="n"/>
      <c r="O1113" s="14" t="n"/>
      <c r="P1113" s="14" t="n"/>
      <c r="Q1113" s="14" t="n"/>
      <c r="R1113" s="14" t="n"/>
      <c r="S1113" s="14" t="n"/>
      <c r="T1113" s="14" t="n"/>
      <c r="U1113" s="14" t="n"/>
      <c r="V1113" s="14" t="n"/>
      <c r="W1113" s="14" t="n"/>
      <c r="X1113" s="14" t="n"/>
      <c r="Y1113" s="14" t="n"/>
      <c r="Z1113" s="14" t="n"/>
      <c r="AA1113" s="14" t="n"/>
      <c r="AB1113" s="14" t="n"/>
      <c r="AC1113" s="14" t="n"/>
      <c r="AD1113" s="14" t="n"/>
      <c r="AE1113" s="14" t="n"/>
      <c r="AF1113" s="14" t="n"/>
      <c r="AG1113" s="14" t="n"/>
      <c r="AH1113" s="14" t="n"/>
      <c r="AI1113" s="14" t="n"/>
      <c r="AJ1113" s="14" t="n"/>
      <c r="AK1113" s="14" t="n"/>
      <c r="AL1113" s="14" t="n"/>
      <c r="AM1113" s="14" t="n"/>
      <c r="AN1113" s="14" t="n"/>
      <c r="AO1113" s="14" t="n"/>
      <c r="AP1113" s="14" t="n"/>
      <c r="AQ1113" s="14" t="n"/>
      <c r="AR1113" s="14" t="n"/>
      <c r="AS1113" s="14" t="n"/>
      <c r="AT1113" s="14" t="n"/>
      <c r="AU1113" s="14" t="n"/>
      <c r="AV1113" s="14" t="n"/>
      <c r="AW1113" s="14" t="n"/>
      <c r="AX1113" s="14" t="n"/>
      <c r="AY1113" s="14" t="n"/>
      <c r="AZ1113" s="14" t="n"/>
      <c r="BA1113" s="14" t="n"/>
      <c r="BB1113" s="14" t="n"/>
      <c r="BC1113" s="14" t="n"/>
      <c r="BD1113" s="14" t="n"/>
      <c r="BE1113" s="14" t="n"/>
      <c r="BF1113" s="14" t="n"/>
      <c r="BG1113" s="14" t="n"/>
      <c r="BH1113" s="14" t="n"/>
      <c r="BI1113" s="14" t="n"/>
      <c r="BJ1113" s="14" t="n"/>
      <c r="BK1113" s="14" t="n"/>
      <c r="BL1113" s="14" t="n"/>
      <c r="BM1113" s="14" t="n"/>
      <c r="BN1113" s="14" t="n"/>
      <c r="BO1113" s="14" t="n"/>
      <c r="BP1113" s="14" t="n"/>
      <c r="BQ1113" s="14" t="n"/>
      <c r="BR1113" s="14" t="n"/>
      <c r="BS1113" s="14" t="n"/>
      <c r="BT1113" s="14" t="n"/>
      <c r="BU1113" s="14" t="n"/>
      <c r="BV1113" s="14" t="n"/>
      <c r="BW1113" s="14" t="n"/>
      <c r="BX1113" s="14" t="n"/>
      <c r="BY1113" s="14" t="n"/>
      <c r="BZ1113" s="14" t="n"/>
      <c r="CA1113" s="14" t="n"/>
      <c r="CB1113" s="14" t="n"/>
      <c r="CC1113" s="14" t="n"/>
      <c r="CD1113" s="14" t="n"/>
      <c r="CE1113" s="14" t="n"/>
      <c r="CF1113" s="14" t="n"/>
      <c r="CG1113" s="14" t="n"/>
      <c r="CH1113" s="14" t="n"/>
      <c r="CI1113" s="14" t="n"/>
      <c r="CJ1113" s="14" t="n"/>
      <c r="CK1113" s="14" t="n"/>
      <c r="CL1113" s="14" t="n"/>
      <c r="CM1113" s="14" t="n"/>
      <c r="CN1113" s="14" t="n"/>
      <c r="CO1113" s="14" t="n"/>
      <c r="CP1113" s="14" t="n"/>
      <c r="CQ1113" s="14" t="n"/>
      <c r="CR1113" s="14" t="n"/>
      <c r="CS1113" s="14" t="n"/>
      <c r="CT1113" s="14" t="n"/>
      <c r="CU1113" s="14" t="n"/>
      <c r="CV1113" s="14" t="n"/>
      <c r="CW1113" s="14" t="n"/>
      <c r="CX1113" s="14" t="n"/>
      <c r="CY1113" s="14" t="n"/>
      <c r="CZ1113" s="14" t="n"/>
      <c r="DA1113" s="14" t="n"/>
      <c r="DB1113" s="14" t="n"/>
      <c r="DC1113" s="14" t="n"/>
    </row>
    <row r="1114">
      <c r="B1114" t="inlineStr">
        <is>
          <t>TPP-2245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Name],$A1113)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TSP-1558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Name],$A1113)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TSP-1559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Name],$A1113)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TSP-2157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Name],$A1113)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TSP-2168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Name],$A1113)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s="4" t="inlineStr">
        <is>
          <t>合計使用量(kg)/週</t>
        </is>
      </c>
      <c r="D1124">
        <f>'Grid_Requirement'!B26</f>
        <v/>
      </c>
      <c r="E1124">
        <f>'Grid_Requirement'!C26</f>
        <v/>
      </c>
      <c r="F1124">
        <f>'Grid_Requirement'!D26</f>
        <v/>
      </c>
      <c r="G1124">
        <f>'Grid_Requirement'!E26</f>
        <v/>
      </c>
      <c r="H1124">
        <f>'Grid_Requirement'!F26</f>
        <v/>
      </c>
      <c r="I1124">
        <f>'Grid_Requirement'!G26</f>
        <v/>
      </c>
      <c r="J1124">
        <f>'Grid_Requirement'!H26</f>
        <v/>
      </c>
      <c r="K1124">
        <f>'Grid_Requirement'!I26</f>
        <v/>
      </c>
      <c r="L1124">
        <f>'Grid_Requirement'!J26</f>
        <v/>
      </c>
      <c r="M1124">
        <f>'Grid_Requirement'!K26</f>
        <v/>
      </c>
      <c r="N1124">
        <f>'Grid_Requirement'!L26</f>
        <v/>
      </c>
      <c r="O1124">
        <f>'Grid_Requirement'!M26</f>
        <v/>
      </c>
      <c r="P1124">
        <f>'Grid_Requirement'!N26</f>
        <v/>
      </c>
      <c r="Q1124">
        <f>'Grid_Requirement'!O26</f>
        <v/>
      </c>
      <c r="R1124">
        <f>'Grid_Requirement'!P26</f>
        <v/>
      </c>
      <c r="S1124">
        <f>'Grid_Requirement'!Q26</f>
        <v/>
      </c>
      <c r="T1124">
        <f>'Grid_Requirement'!R26</f>
        <v/>
      </c>
      <c r="U1124">
        <f>'Grid_Requirement'!S26</f>
        <v/>
      </c>
      <c r="V1124">
        <f>'Grid_Requirement'!T26</f>
        <v/>
      </c>
      <c r="W1124">
        <f>'Grid_Requirement'!U26</f>
        <v/>
      </c>
      <c r="X1124">
        <f>'Grid_Requirement'!V26</f>
        <v/>
      </c>
      <c r="Y1124">
        <f>'Grid_Requirement'!W26</f>
        <v/>
      </c>
      <c r="Z1124">
        <f>'Grid_Requirement'!X26</f>
        <v/>
      </c>
      <c r="AA1124">
        <f>'Grid_Requirement'!Y26</f>
        <v/>
      </c>
      <c r="AB1124">
        <f>'Grid_Requirement'!Z26</f>
        <v/>
      </c>
      <c r="AC1124">
        <f>'Grid_Requirement'!AA26</f>
        <v/>
      </c>
      <c r="AD1124">
        <f>'Grid_Requirement'!AB26</f>
        <v/>
      </c>
      <c r="AE1124">
        <f>'Grid_Requirement'!AC26</f>
        <v/>
      </c>
      <c r="AF1124">
        <f>'Grid_Requirement'!AD26</f>
        <v/>
      </c>
      <c r="AG1124">
        <f>'Grid_Requirement'!AE26</f>
        <v/>
      </c>
      <c r="AH1124">
        <f>'Grid_Requirement'!AF26</f>
        <v/>
      </c>
      <c r="AI1124">
        <f>'Grid_Requirement'!AG26</f>
        <v/>
      </c>
      <c r="AJ1124">
        <f>'Grid_Requirement'!AH26</f>
        <v/>
      </c>
      <c r="AK1124">
        <f>'Grid_Requirement'!AI26</f>
        <v/>
      </c>
      <c r="AL1124">
        <f>'Grid_Requirement'!AJ26</f>
        <v/>
      </c>
      <c r="AM1124">
        <f>'Grid_Requirement'!AK26</f>
        <v/>
      </c>
      <c r="AN1124">
        <f>'Grid_Requirement'!AL26</f>
        <v/>
      </c>
      <c r="AO1124">
        <f>'Grid_Requirement'!AM26</f>
        <v/>
      </c>
      <c r="AP1124">
        <f>'Grid_Requirement'!AN26</f>
        <v/>
      </c>
      <c r="AQ1124">
        <f>'Grid_Requirement'!AO26</f>
        <v/>
      </c>
      <c r="AR1124">
        <f>'Grid_Requirement'!AP26</f>
        <v/>
      </c>
      <c r="AS1124">
        <f>'Grid_Requirement'!AQ26</f>
        <v/>
      </c>
      <c r="AT1124">
        <f>'Grid_Requirement'!AR26</f>
        <v/>
      </c>
      <c r="AU1124">
        <f>'Grid_Requirement'!AS26</f>
        <v/>
      </c>
      <c r="AV1124">
        <f>'Grid_Requirement'!AT26</f>
        <v/>
      </c>
      <c r="AW1124">
        <f>'Grid_Requirement'!AU26</f>
        <v/>
      </c>
      <c r="AX1124">
        <f>'Grid_Requirement'!AV26</f>
        <v/>
      </c>
      <c r="AY1124">
        <f>'Grid_Requirement'!AW26</f>
        <v/>
      </c>
      <c r="AZ1124">
        <f>'Grid_Requirement'!AX26</f>
        <v/>
      </c>
      <c r="BA1124">
        <f>'Grid_Requirement'!AY26</f>
        <v/>
      </c>
      <c r="BB1124">
        <f>'Grid_Requirement'!AZ26</f>
        <v/>
      </c>
      <c r="BC1124">
        <f>'Grid_Requirement'!BA26</f>
        <v/>
      </c>
      <c r="BD1124">
        <f>'Grid_Requirement'!BB26</f>
        <v/>
      </c>
      <c r="BE1124">
        <f>'Grid_Requirement'!BC26</f>
        <v/>
      </c>
      <c r="BF1124">
        <f>'Grid_Requirement'!BD26</f>
        <v/>
      </c>
      <c r="BG1124">
        <f>'Grid_Requirement'!BE26</f>
        <v/>
      </c>
      <c r="BH1124">
        <f>'Grid_Requirement'!BF26</f>
        <v/>
      </c>
      <c r="BI1124">
        <f>'Grid_Requirement'!BG26</f>
        <v/>
      </c>
      <c r="BJ1124">
        <f>'Grid_Requirement'!BH26</f>
        <v/>
      </c>
      <c r="BK1124">
        <f>'Grid_Requirement'!BI26</f>
        <v/>
      </c>
      <c r="BL1124">
        <f>'Grid_Requirement'!BJ26</f>
        <v/>
      </c>
      <c r="BM1124">
        <f>'Grid_Requirement'!BK26</f>
        <v/>
      </c>
      <c r="BN1124">
        <f>'Grid_Requirement'!BL26</f>
        <v/>
      </c>
      <c r="BO1124">
        <f>'Grid_Requirement'!BM26</f>
        <v/>
      </c>
      <c r="BP1124">
        <f>'Grid_Requirement'!BN26</f>
        <v/>
      </c>
      <c r="BQ1124">
        <f>'Grid_Requirement'!BO26</f>
        <v/>
      </c>
      <c r="BR1124">
        <f>'Grid_Requirement'!BP26</f>
        <v/>
      </c>
      <c r="BS1124">
        <f>'Grid_Requirement'!BQ26</f>
        <v/>
      </c>
      <c r="BT1124">
        <f>'Grid_Requirement'!BR26</f>
        <v/>
      </c>
      <c r="BU1124">
        <f>'Grid_Requirement'!BS26</f>
        <v/>
      </c>
      <c r="BV1124">
        <f>'Grid_Requirement'!BT26</f>
        <v/>
      </c>
      <c r="BW1124">
        <f>'Grid_Requirement'!BU26</f>
        <v/>
      </c>
      <c r="BX1124">
        <f>'Grid_Requirement'!BV26</f>
        <v/>
      </c>
      <c r="BY1124">
        <f>'Grid_Requirement'!BW26</f>
        <v/>
      </c>
      <c r="BZ1124">
        <f>'Grid_Requirement'!BX26</f>
        <v/>
      </c>
      <c r="CA1124">
        <f>'Grid_Requirement'!BY26</f>
        <v/>
      </c>
      <c r="CB1124">
        <f>'Grid_Requirement'!BZ26</f>
        <v/>
      </c>
      <c r="CC1124">
        <f>'Grid_Requirement'!CA26</f>
        <v/>
      </c>
      <c r="CD1124">
        <f>'Grid_Requirement'!CB26</f>
        <v/>
      </c>
      <c r="CE1124">
        <f>'Grid_Requirement'!CC26</f>
        <v/>
      </c>
      <c r="CF1124">
        <f>'Grid_Requirement'!CD26</f>
        <v/>
      </c>
      <c r="CG1124">
        <f>'Grid_Requirement'!CE26</f>
        <v/>
      </c>
      <c r="CH1124">
        <f>'Grid_Requirement'!CF26</f>
        <v/>
      </c>
      <c r="CI1124">
        <f>'Grid_Requirement'!CG26</f>
        <v/>
      </c>
      <c r="CJ1124">
        <f>'Grid_Requirement'!CH26</f>
        <v/>
      </c>
      <c r="CK1124">
        <f>'Grid_Requirement'!CI26</f>
        <v/>
      </c>
      <c r="CL1124">
        <f>'Grid_Requirement'!CJ26</f>
        <v/>
      </c>
      <c r="CM1124">
        <f>'Grid_Requirement'!CK26</f>
        <v/>
      </c>
      <c r="CN1124">
        <f>'Grid_Requirement'!CL26</f>
        <v/>
      </c>
      <c r="CO1124">
        <f>'Grid_Requirement'!CM26</f>
        <v/>
      </c>
      <c r="CP1124">
        <f>'Grid_Requirement'!CN26</f>
        <v/>
      </c>
      <c r="CQ1124">
        <f>'Grid_Requirement'!CO26</f>
        <v/>
      </c>
      <c r="CR1124">
        <f>'Grid_Requirement'!CP26</f>
        <v/>
      </c>
      <c r="CS1124">
        <f>'Grid_Requirement'!CQ26</f>
        <v/>
      </c>
      <c r="CT1124">
        <f>'Grid_Requirement'!CR26</f>
        <v/>
      </c>
      <c r="CU1124">
        <f>'Grid_Requirement'!CS26</f>
        <v/>
      </c>
      <c r="CV1124">
        <f>'Grid_Requirement'!CT26</f>
        <v/>
      </c>
      <c r="CW1124">
        <f>'Grid_Requirement'!CU26</f>
        <v/>
      </c>
      <c r="CX1124">
        <f>'Grid_Requirement'!CV26</f>
        <v/>
      </c>
      <c r="CY1124">
        <f>'Grid_Requirement'!CW26</f>
        <v/>
      </c>
      <c r="CZ1124">
        <f>'Grid_Requirement'!CX26</f>
        <v/>
      </c>
      <c r="DA1124">
        <f>'Grid_Requirement'!CY26</f>
        <v/>
      </c>
      <c r="DB1124">
        <f>'Grid_Requirement'!CZ26</f>
        <v/>
      </c>
      <c r="DC1124">
        <f>'Grid_Requirement'!DA26</f>
        <v/>
      </c>
    </row>
    <row r="1125">
      <c r="B1125" t="inlineStr">
        <is>
          <t>TTAF在庫(実績,kg)</t>
        </is>
      </c>
      <c r="D1125">
        <f>'T_TTAFStock'!B30</f>
        <v/>
      </c>
      <c r="E1125">
        <f>'T_TTAFStock'!C30</f>
        <v/>
      </c>
      <c r="F1125">
        <f>'T_TTAFStock'!D30</f>
        <v/>
      </c>
      <c r="G1125">
        <f>'T_TTAFStock'!E30</f>
        <v/>
      </c>
      <c r="H1125">
        <f>'T_TTAFStock'!F30</f>
        <v/>
      </c>
      <c r="I1125">
        <f>'T_TTAFStock'!G30</f>
        <v/>
      </c>
      <c r="J1125">
        <f>'T_TTAFStock'!H30</f>
        <v/>
      </c>
      <c r="K1125">
        <f>'T_TTAFStock'!I30</f>
        <v/>
      </c>
      <c r="L1125">
        <f>'T_TTAFStock'!J30</f>
        <v/>
      </c>
      <c r="M1125">
        <f>'T_TTAFStock'!K30</f>
        <v/>
      </c>
      <c r="N1125">
        <f>'T_TTAFStock'!L30</f>
        <v/>
      </c>
      <c r="O1125">
        <f>'T_TTAFStock'!M30</f>
        <v/>
      </c>
      <c r="P1125">
        <f>'T_TTAFStock'!N30</f>
        <v/>
      </c>
      <c r="Q1125">
        <f>'T_TTAFStock'!O30</f>
        <v/>
      </c>
      <c r="R1125">
        <f>'T_TTAFStock'!P30</f>
        <v/>
      </c>
      <c r="S1125">
        <f>'T_TTAFStock'!Q30</f>
        <v/>
      </c>
      <c r="T1125">
        <f>'T_TTAFStock'!R30</f>
        <v/>
      </c>
      <c r="U1125">
        <f>'T_TTAFStock'!S30</f>
        <v/>
      </c>
      <c r="V1125">
        <f>'T_TTAFStock'!T30</f>
        <v/>
      </c>
      <c r="W1125">
        <f>'T_TTAFStock'!U30</f>
        <v/>
      </c>
      <c r="X1125">
        <f>'T_TTAFStock'!V30</f>
        <v/>
      </c>
      <c r="Y1125">
        <f>'T_TTAFStock'!W30</f>
        <v/>
      </c>
      <c r="Z1125">
        <f>'T_TTAFStock'!X30</f>
        <v/>
      </c>
      <c r="AA1125">
        <f>'T_TTAFStock'!Y30</f>
        <v/>
      </c>
      <c r="AB1125">
        <f>'T_TTAFStock'!Z30</f>
        <v/>
      </c>
      <c r="AC1125">
        <f>'T_TTAFStock'!AA30</f>
        <v/>
      </c>
      <c r="AD1125">
        <f>'T_TTAFStock'!AB30</f>
        <v/>
      </c>
      <c r="AE1125">
        <f>'T_TTAFStock'!AC30</f>
        <v/>
      </c>
      <c r="AF1125">
        <f>'T_TTAFStock'!AD30</f>
        <v/>
      </c>
      <c r="AG1125">
        <f>'T_TTAFStock'!AE30</f>
        <v/>
      </c>
      <c r="AH1125">
        <f>'T_TTAFStock'!AF30</f>
        <v/>
      </c>
      <c r="AI1125">
        <f>'T_TTAFStock'!AG30</f>
        <v/>
      </c>
      <c r="AJ1125">
        <f>'T_TTAFStock'!AH30</f>
        <v/>
      </c>
      <c r="AK1125">
        <f>'T_TTAFStock'!AI30</f>
        <v/>
      </c>
      <c r="AL1125">
        <f>'T_TTAFStock'!AJ30</f>
        <v/>
      </c>
      <c r="AM1125">
        <f>'T_TTAFStock'!AK30</f>
        <v/>
      </c>
      <c r="AN1125">
        <f>'T_TTAFStock'!AL30</f>
        <v/>
      </c>
      <c r="AO1125">
        <f>'T_TTAFStock'!AM30</f>
        <v/>
      </c>
      <c r="AP1125">
        <f>'T_TTAFStock'!AN30</f>
        <v/>
      </c>
      <c r="AQ1125">
        <f>'T_TTAFStock'!AO30</f>
        <v/>
      </c>
      <c r="AR1125">
        <f>'T_TTAFStock'!AP30</f>
        <v/>
      </c>
      <c r="AS1125">
        <f>'T_TTAFStock'!AQ30</f>
        <v/>
      </c>
      <c r="AT1125">
        <f>'T_TTAFStock'!AR30</f>
        <v/>
      </c>
      <c r="AU1125">
        <f>'T_TTAFStock'!AS30</f>
        <v/>
      </c>
      <c r="AV1125">
        <f>'T_TTAFStock'!AT30</f>
        <v/>
      </c>
      <c r="AW1125">
        <f>'T_TTAFStock'!AU30</f>
        <v/>
      </c>
      <c r="AX1125">
        <f>'T_TTAFStock'!AV30</f>
        <v/>
      </c>
      <c r="AY1125">
        <f>'T_TTAFStock'!AW30</f>
        <v/>
      </c>
      <c r="AZ1125">
        <f>'T_TTAFStock'!AX30</f>
        <v/>
      </c>
      <c r="BA1125">
        <f>'T_TTAFStock'!AY30</f>
        <v/>
      </c>
      <c r="BB1125">
        <f>'T_TTAFStock'!AZ30</f>
        <v/>
      </c>
      <c r="BC1125">
        <f>'T_TTAFStock'!BA30</f>
        <v/>
      </c>
      <c r="BD1125">
        <f>'T_TTAFStock'!BB30</f>
        <v/>
      </c>
      <c r="BE1125">
        <f>'T_TTAFStock'!BC30</f>
        <v/>
      </c>
      <c r="BF1125">
        <f>'T_TTAFStock'!BD30</f>
        <v/>
      </c>
      <c r="BG1125">
        <f>'T_TTAFStock'!BE30</f>
        <v/>
      </c>
      <c r="BH1125">
        <f>'T_TTAFStock'!BF30</f>
        <v/>
      </c>
      <c r="BI1125">
        <f>'T_TTAFStock'!BG30</f>
        <v/>
      </c>
      <c r="BJ1125">
        <f>'T_TTAFStock'!BH30</f>
        <v/>
      </c>
      <c r="BK1125">
        <f>'T_TTAFStock'!BI30</f>
        <v/>
      </c>
      <c r="BL1125">
        <f>'T_TTAFStock'!BJ30</f>
        <v/>
      </c>
      <c r="BM1125">
        <f>'T_TTAFStock'!BK30</f>
        <v/>
      </c>
      <c r="BN1125">
        <f>'T_TTAFStock'!BL30</f>
        <v/>
      </c>
      <c r="BO1125">
        <f>'T_TTAFStock'!BM30</f>
        <v/>
      </c>
      <c r="BP1125">
        <f>'T_TTAFStock'!BN30</f>
        <v/>
      </c>
      <c r="BQ1125">
        <f>'T_TTAFStock'!BO30</f>
        <v/>
      </c>
      <c r="BR1125">
        <f>'T_TTAFStock'!BP30</f>
        <v/>
      </c>
      <c r="BS1125">
        <f>'T_TTAFStock'!BQ30</f>
        <v/>
      </c>
      <c r="BT1125">
        <f>'T_TTAFStock'!BR30</f>
        <v/>
      </c>
      <c r="BU1125">
        <f>'T_TTAFStock'!BS30</f>
        <v/>
      </c>
      <c r="BV1125">
        <f>'T_TTAFStock'!BT30</f>
        <v/>
      </c>
      <c r="BW1125">
        <f>'T_TTAFStock'!BU30</f>
        <v/>
      </c>
      <c r="BX1125">
        <f>'T_TTAFStock'!BV30</f>
        <v/>
      </c>
      <c r="BY1125">
        <f>'T_TTAFStock'!BW30</f>
        <v/>
      </c>
      <c r="BZ1125">
        <f>'T_TTAFStock'!BX30</f>
        <v/>
      </c>
      <c r="CA1125">
        <f>'T_TTAFStock'!BY30</f>
        <v/>
      </c>
      <c r="CB1125">
        <f>'T_TTAFStock'!BZ30</f>
        <v/>
      </c>
      <c r="CC1125">
        <f>'T_TTAFStock'!CA30</f>
        <v/>
      </c>
      <c r="CD1125">
        <f>'T_TTAFStock'!CB30</f>
        <v/>
      </c>
      <c r="CE1125">
        <f>'T_TTAFStock'!CC30</f>
        <v/>
      </c>
      <c r="CF1125">
        <f>'T_TTAFStock'!CD30</f>
        <v/>
      </c>
      <c r="CG1125">
        <f>'T_TTAFStock'!CE30</f>
        <v/>
      </c>
      <c r="CH1125">
        <f>'T_TTAFStock'!CF30</f>
        <v/>
      </c>
      <c r="CI1125">
        <f>'T_TTAFStock'!CG30</f>
        <v/>
      </c>
      <c r="CJ1125">
        <f>'T_TTAFStock'!CH30</f>
        <v/>
      </c>
      <c r="CK1125">
        <f>'T_TTAFStock'!CI30</f>
        <v/>
      </c>
      <c r="CL1125">
        <f>'T_TTAFStock'!CJ30</f>
        <v/>
      </c>
      <c r="CM1125">
        <f>'T_TTAFStock'!CK30</f>
        <v/>
      </c>
      <c r="CN1125">
        <f>'T_TTAFStock'!CL30</f>
        <v/>
      </c>
      <c r="CO1125">
        <f>'T_TTAFStock'!CM30</f>
        <v/>
      </c>
      <c r="CP1125">
        <f>'T_TTAFStock'!CN30</f>
        <v/>
      </c>
      <c r="CQ1125">
        <f>'T_TTAFStock'!CO30</f>
        <v/>
      </c>
      <c r="CR1125">
        <f>'T_TTAFStock'!CP30</f>
        <v/>
      </c>
      <c r="CS1125">
        <f>'T_TTAFStock'!CQ30</f>
        <v/>
      </c>
      <c r="CT1125">
        <f>'T_TTAFStock'!CR30</f>
        <v/>
      </c>
      <c r="CU1125">
        <f>'T_TTAFStock'!CS30</f>
        <v/>
      </c>
      <c r="CV1125">
        <f>'T_TTAFStock'!CT30</f>
        <v/>
      </c>
      <c r="CW1125">
        <f>'T_TTAFStock'!CU30</f>
        <v/>
      </c>
      <c r="CX1125">
        <f>'T_TTAFStock'!CV30</f>
        <v/>
      </c>
      <c r="CY1125">
        <f>'T_TTAFStock'!CW30</f>
        <v/>
      </c>
      <c r="CZ1125">
        <f>'T_TTAFStock'!CX30</f>
        <v/>
      </c>
      <c r="DA1125">
        <f>'T_TTAFStock'!CY30</f>
        <v/>
      </c>
      <c r="DB1125">
        <f>'T_TTAFStock'!CZ30</f>
        <v/>
      </c>
      <c r="DC1125">
        <f>'T_TTAFStock'!DA30</f>
        <v/>
      </c>
    </row>
    <row r="1126">
      <c r="B1126" t="inlineStr">
        <is>
          <t>自社在庫(実績,kg)</t>
        </is>
      </c>
      <c r="D1126">
        <f>'T_SelfStock'!B30</f>
        <v/>
      </c>
      <c r="E1126">
        <f>'T_SelfStock'!C30</f>
        <v/>
      </c>
      <c r="F1126">
        <f>'T_SelfStock'!D30</f>
        <v/>
      </c>
      <c r="G1126">
        <f>'T_SelfStock'!E30</f>
        <v/>
      </c>
      <c r="H1126">
        <f>'T_SelfStock'!F30</f>
        <v/>
      </c>
      <c r="I1126">
        <f>'T_SelfStock'!G30</f>
        <v/>
      </c>
      <c r="J1126">
        <f>'T_SelfStock'!H30</f>
        <v/>
      </c>
      <c r="K1126">
        <f>'T_SelfStock'!I30</f>
        <v/>
      </c>
      <c r="L1126">
        <f>'T_SelfStock'!J30</f>
        <v/>
      </c>
      <c r="M1126">
        <f>'T_SelfStock'!K30</f>
        <v/>
      </c>
      <c r="N1126">
        <f>'T_SelfStock'!L30</f>
        <v/>
      </c>
      <c r="O1126">
        <f>'T_SelfStock'!M30</f>
        <v/>
      </c>
      <c r="P1126">
        <f>'T_SelfStock'!N30</f>
        <v/>
      </c>
      <c r="Q1126">
        <f>'T_SelfStock'!O30</f>
        <v/>
      </c>
      <c r="R1126">
        <f>'T_SelfStock'!P30</f>
        <v/>
      </c>
      <c r="S1126">
        <f>'T_SelfStock'!Q30</f>
        <v/>
      </c>
      <c r="T1126">
        <f>'T_SelfStock'!R30</f>
        <v/>
      </c>
      <c r="U1126">
        <f>'T_SelfStock'!S30</f>
        <v/>
      </c>
      <c r="V1126">
        <f>'T_SelfStock'!T30</f>
        <v/>
      </c>
      <c r="W1126">
        <f>'T_SelfStock'!U30</f>
        <v/>
      </c>
      <c r="X1126">
        <f>'T_SelfStock'!V30</f>
        <v/>
      </c>
      <c r="Y1126">
        <f>'T_SelfStock'!W30</f>
        <v/>
      </c>
      <c r="Z1126">
        <f>'T_SelfStock'!X30</f>
        <v/>
      </c>
      <c r="AA1126">
        <f>'T_SelfStock'!Y30</f>
        <v/>
      </c>
      <c r="AB1126">
        <f>'T_SelfStock'!Z30</f>
        <v/>
      </c>
      <c r="AC1126">
        <f>'T_SelfStock'!AA30</f>
        <v/>
      </c>
      <c r="AD1126">
        <f>'T_SelfStock'!AB30</f>
        <v/>
      </c>
      <c r="AE1126">
        <f>'T_SelfStock'!AC30</f>
        <v/>
      </c>
      <c r="AF1126">
        <f>'T_SelfStock'!AD30</f>
        <v/>
      </c>
      <c r="AG1126">
        <f>'T_SelfStock'!AE30</f>
        <v/>
      </c>
      <c r="AH1126">
        <f>'T_SelfStock'!AF30</f>
        <v/>
      </c>
      <c r="AI1126">
        <f>'T_SelfStock'!AG30</f>
        <v/>
      </c>
      <c r="AJ1126">
        <f>'T_SelfStock'!AH30</f>
        <v/>
      </c>
      <c r="AK1126">
        <f>'T_SelfStock'!AI30</f>
        <v/>
      </c>
      <c r="AL1126">
        <f>'T_SelfStock'!AJ30</f>
        <v/>
      </c>
      <c r="AM1126">
        <f>'T_SelfStock'!AK30</f>
        <v/>
      </c>
      <c r="AN1126">
        <f>'T_SelfStock'!AL30</f>
        <v/>
      </c>
      <c r="AO1126">
        <f>'T_SelfStock'!AM30</f>
        <v/>
      </c>
      <c r="AP1126">
        <f>'T_SelfStock'!AN30</f>
        <v/>
      </c>
      <c r="AQ1126">
        <f>'T_SelfStock'!AO30</f>
        <v/>
      </c>
      <c r="AR1126">
        <f>'T_SelfStock'!AP30</f>
        <v/>
      </c>
      <c r="AS1126">
        <f>'T_SelfStock'!AQ30</f>
        <v/>
      </c>
      <c r="AT1126">
        <f>'T_SelfStock'!AR30</f>
        <v/>
      </c>
      <c r="AU1126">
        <f>'T_SelfStock'!AS30</f>
        <v/>
      </c>
      <c r="AV1126">
        <f>'T_SelfStock'!AT30</f>
        <v/>
      </c>
      <c r="AW1126">
        <f>'T_SelfStock'!AU30</f>
        <v/>
      </c>
      <c r="AX1126">
        <f>'T_SelfStock'!AV30</f>
        <v/>
      </c>
      <c r="AY1126">
        <f>'T_SelfStock'!AW30</f>
        <v/>
      </c>
      <c r="AZ1126">
        <f>'T_SelfStock'!AX30</f>
        <v/>
      </c>
      <c r="BA1126">
        <f>'T_SelfStock'!AY30</f>
        <v/>
      </c>
      <c r="BB1126">
        <f>'T_SelfStock'!AZ30</f>
        <v/>
      </c>
      <c r="BC1126">
        <f>'T_SelfStock'!BA30</f>
        <v/>
      </c>
      <c r="BD1126">
        <f>'T_SelfStock'!BB30</f>
        <v/>
      </c>
      <c r="BE1126">
        <f>'T_SelfStock'!BC30</f>
        <v/>
      </c>
      <c r="BF1126">
        <f>'T_SelfStock'!BD30</f>
        <v/>
      </c>
      <c r="BG1126">
        <f>'T_SelfStock'!BE30</f>
        <v/>
      </c>
      <c r="BH1126">
        <f>'T_SelfStock'!BF30</f>
        <v/>
      </c>
      <c r="BI1126">
        <f>'T_SelfStock'!BG30</f>
        <v/>
      </c>
      <c r="BJ1126">
        <f>'T_SelfStock'!BH30</f>
        <v/>
      </c>
      <c r="BK1126">
        <f>'T_SelfStock'!BI30</f>
        <v/>
      </c>
      <c r="BL1126">
        <f>'T_SelfStock'!BJ30</f>
        <v/>
      </c>
      <c r="BM1126">
        <f>'T_SelfStock'!BK30</f>
        <v/>
      </c>
      <c r="BN1126">
        <f>'T_SelfStock'!BL30</f>
        <v/>
      </c>
      <c r="BO1126">
        <f>'T_SelfStock'!BM30</f>
        <v/>
      </c>
      <c r="BP1126">
        <f>'T_SelfStock'!BN30</f>
        <v/>
      </c>
      <c r="BQ1126">
        <f>'T_SelfStock'!BO30</f>
        <v/>
      </c>
      <c r="BR1126">
        <f>'T_SelfStock'!BP30</f>
        <v/>
      </c>
      <c r="BS1126">
        <f>'T_SelfStock'!BQ30</f>
        <v/>
      </c>
      <c r="BT1126">
        <f>'T_SelfStock'!BR30</f>
        <v/>
      </c>
      <c r="BU1126">
        <f>'T_SelfStock'!BS30</f>
        <v/>
      </c>
      <c r="BV1126">
        <f>'T_SelfStock'!BT30</f>
        <v/>
      </c>
      <c r="BW1126">
        <f>'T_SelfStock'!BU30</f>
        <v/>
      </c>
      <c r="BX1126">
        <f>'T_SelfStock'!BV30</f>
        <v/>
      </c>
      <c r="BY1126">
        <f>'T_SelfStock'!BW30</f>
        <v/>
      </c>
      <c r="BZ1126">
        <f>'T_SelfStock'!BX30</f>
        <v/>
      </c>
      <c r="CA1126">
        <f>'T_SelfStock'!BY30</f>
        <v/>
      </c>
      <c r="CB1126">
        <f>'T_SelfStock'!BZ30</f>
        <v/>
      </c>
      <c r="CC1126">
        <f>'T_SelfStock'!CA30</f>
        <v/>
      </c>
      <c r="CD1126">
        <f>'T_SelfStock'!CB30</f>
        <v/>
      </c>
      <c r="CE1126">
        <f>'T_SelfStock'!CC30</f>
        <v/>
      </c>
      <c r="CF1126">
        <f>'T_SelfStock'!CD30</f>
        <v/>
      </c>
      <c r="CG1126">
        <f>'T_SelfStock'!CE30</f>
        <v/>
      </c>
      <c r="CH1126">
        <f>'T_SelfStock'!CF30</f>
        <v/>
      </c>
      <c r="CI1126">
        <f>'T_SelfStock'!CG30</f>
        <v/>
      </c>
      <c r="CJ1126">
        <f>'T_SelfStock'!CH30</f>
        <v/>
      </c>
      <c r="CK1126">
        <f>'T_SelfStock'!CI30</f>
        <v/>
      </c>
      <c r="CL1126">
        <f>'T_SelfStock'!CJ30</f>
        <v/>
      </c>
      <c r="CM1126">
        <f>'T_SelfStock'!CK30</f>
        <v/>
      </c>
      <c r="CN1126">
        <f>'T_SelfStock'!CL30</f>
        <v/>
      </c>
      <c r="CO1126">
        <f>'T_SelfStock'!CM30</f>
        <v/>
      </c>
      <c r="CP1126">
        <f>'T_SelfStock'!CN30</f>
        <v/>
      </c>
      <c r="CQ1126">
        <f>'T_SelfStock'!CO30</f>
        <v/>
      </c>
      <c r="CR1126">
        <f>'T_SelfStock'!CP30</f>
        <v/>
      </c>
      <c r="CS1126">
        <f>'T_SelfStock'!CQ30</f>
        <v/>
      </c>
      <c r="CT1126">
        <f>'T_SelfStock'!CR30</f>
        <v/>
      </c>
      <c r="CU1126">
        <f>'T_SelfStock'!CS30</f>
        <v/>
      </c>
      <c r="CV1126">
        <f>'T_SelfStock'!CT30</f>
        <v/>
      </c>
      <c r="CW1126">
        <f>'T_SelfStock'!CU30</f>
        <v/>
      </c>
      <c r="CX1126">
        <f>'T_SelfStock'!CV30</f>
        <v/>
      </c>
      <c r="CY1126">
        <f>'T_SelfStock'!CW30</f>
        <v/>
      </c>
      <c r="CZ1126">
        <f>'T_SelfStock'!CX30</f>
        <v/>
      </c>
      <c r="DA1126">
        <f>'T_SelfStock'!CY30</f>
        <v/>
      </c>
      <c r="DB1126">
        <f>'T_SelfStock'!CZ30</f>
        <v/>
      </c>
      <c r="DC1126">
        <f>'T_SelfStock'!DA30</f>
        <v/>
      </c>
    </row>
    <row r="1127">
      <c r="B1127" t="inlineStr">
        <is>
          <t>Order(発注予定,kg)</t>
        </is>
      </c>
      <c r="D1127">
        <f>IF(SUMIFS(T_PlannedOrders[EffectiveQty],T_PlannedOrders[Part Name],$A1113,T_PlannedOrders[WeekIndex],1)=0,"",SUMIFS(T_PlannedOrders[EffectiveQty],T_PlannedOrders[Part Name],$A1113,T_PlannedOrders[WeekIndex],1)&amp;" ("&amp;TEXT(SUMPRODUCT(MAX((T_PlannedOrders[Part Name]=$A1113)*(T_PlannedOrders[WeekIndex]=1)*(T_PlannedOrders[EffectiveQty]&gt;0)*T_PlannedOrders[Order_Month])),"m月")&amp;"発注)")</f>
        <v/>
      </c>
      <c r="E1127">
        <f>IF(SUMIFS(T_PlannedOrders[EffectiveQty],T_PlannedOrders[Part Name],$A1113,T_PlannedOrders[WeekIndex],2)=0,"",SUMIFS(T_PlannedOrders[EffectiveQty],T_PlannedOrders[Part Name],$A1113,T_PlannedOrders[WeekIndex],2)&amp;" ("&amp;TEXT(SUMPRODUCT(MAX((T_PlannedOrders[Part Name]=$A1113)*(T_PlannedOrders[WeekIndex]=2)*(T_PlannedOrders[EffectiveQty]&gt;0)*T_PlannedOrders[Order_Month])),"m月")&amp;"発注)")</f>
        <v/>
      </c>
      <c r="F1127">
        <f>IF(SUMIFS(T_PlannedOrders[EffectiveQty],T_PlannedOrders[Part Name],$A1113,T_PlannedOrders[WeekIndex],3)=0,"",SUMIFS(T_PlannedOrders[EffectiveQty],T_PlannedOrders[Part Name],$A1113,T_PlannedOrders[WeekIndex],3)&amp;" ("&amp;TEXT(SUMPRODUCT(MAX((T_PlannedOrders[Part Name]=$A1113)*(T_PlannedOrders[WeekIndex]=3)*(T_PlannedOrders[EffectiveQty]&gt;0)*T_PlannedOrders[Order_Month])),"m月")&amp;"発注)")</f>
        <v/>
      </c>
      <c r="G1127">
        <f>IF(SUMIFS(T_PlannedOrders[EffectiveQty],T_PlannedOrders[Part Name],$A1113,T_PlannedOrders[WeekIndex],4)=0,"",SUMIFS(T_PlannedOrders[EffectiveQty],T_PlannedOrders[Part Name],$A1113,T_PlannedOrders[WeekIndex],4)&amp;" ("&amp;TEXT(SUMPRODUCT(MAX((T_PlannedOrders[Part Name]=$A1113)*(T_PlannedOrders[WeekIndex]=4)*(T_PlannedOrders[EffectiveQty]&gt;0)*T_PlannedOrders[Order_Month])),"m月")&amp;"発注)")</f>
        <v/>
      </c>
      <c r="H1127">
        <f>IF(SUMIFS(T_PlannedOrders[EffectiveQty],T_PlannedOrders[Part Name],$A1113,T_PlannedOrders[WeekIndex],5)=0,"",SUMIFS(T_PlannedOrders[EffectiveQty],T_PlannedOrders[Part Name],$A1113,T_PlannedOrders[WeekIndex],5)&amp;" ("&amp;TEXT(SUMPRODUCT(MAX((T_PlannedOrders[Part Name]=$A1113)*(T_PlannedOrders[WeekIndex]=5)*(T_PlannedOrders[EffectiveQty]&gt;0)*T_PlannedOrders[Order_Month])),"m月")&amp;"発注)")</f>
        <v/>
      </c>
      <c r="I1127">
        <f>IF(SUMIFS(T_PlannedOrders[EffectiveQty],T_PlannedOrders[Part Name],$A1113,T_PlannedOrders[WeekIndex],6)=0,"",SUMIFS(T_PlannedOrders[EffectiveQty],T_PlannedOrders[Part Name],$A1113,T_PlannedOrders[WeekIndex],6)&amp;" ("&amp;TEXT(SUMPRODUCT(MAX((T_PlannedOrders[Part Name]=$A1113)*(T_PlannedOrders[WeekIndex]=6)*(T_PlannedOrders[EffectiveQty]&gt;0)*T_PlannedOrders[Order_Month])),"m月")&amp;"発注)")</f>
        <v/>
      </c>
      <c r="J1127">
        <f>IF(SUMIFS(T_PlannedOrders[EffectiveQty],T_PlannedOrders[Part Name],$A1113,T_PlannedOrders[WeekIndex],7)=0,"",SUMIFS(T_PlannedOrders[EffectiveQty],T_PlannedOrders[Part Name],$A1113,T_PlannedOrders[WeekIndex],7)&amp;" ("&amp;TEXT(SUMPRODUCT(MAX((T_PlannedOrders[Part Name]=$A1113)*(T_PlannedOrders[WeekIndex]=7)*(T_PlannedOrders[EffectiveQty]&gt;0)*T_PlannedOrders[Order_Month])),"m月")&amp;"発注)")</f>
        <v/>
      </c>
      <c r="K1127">
        <f>IF(SUMIFS(T_PlannedOrders[EffectiveQty],T_PlannedOrders[Part Name],$A1113,T_PlannedOrders[WeekIndex],8)=0,"",SUMIFS(T_PlannedOrders[EffectiveQty],T_PlannedOrders[Part Name],$A1113,T_PlannedOrders[WeekIndex],8)&amp;" ("&amp;TEXT(SUMPRODUCT(MAX((T_PlannedOrders[Part Name]=$A1113)*(T_PlannedOrders[WeekIndex]=8)*(T_PlannedOrders[EffectiveQty]&gt;0)*T_PlannedOrders[Order_Month])),"m月")&amp;"発注)")</f>
        <v/>
      </c>
      <c r="L1127">
        <f>IF(SUMIFS(T_PlannedOrders[EffectiveQty],T_PlannedOrders[Part Name],$A1113,T_PlannedOrders[WeekIndex],9)=0,"",SUMIFS(T_PlannedOrders[EffectiveQty],T_PlannedOrders[Part Name],$A1113,T_PlannedOrders[WeekIndex],9)&amp;" ("&amp;TEXT(SUMPRODUCT(MAX((T_PlannedOrders[Part Name]=$A1113)*(T_PlannedOrders[WeekIndex]=9)*(T_PlannedOrders[EffectiveQty]&gt;0)*T_PlannedOrders[Order_Month])),"m月")&amp;"発注)")</f>
        <v/>
      </c>
      <c r="M1127">
        <f>IF(SUMIFS(T_PlannedOrders[EffectiveQty],T_PlannedOrders[Part Name],$A1113,T_PlannedOrders[WeekIndex],10)=0,"",SUMIFS(T_PlannedOrders[EffectiveQty],T_PlannedOrders[Part Name],$A1113,T_PlannedOrders[WeekIndex],10)&amp;" ("&amp;TEXT(SUMPRODUCT(MAX((T_PlannedOrders[Part Name]=$A1113)*(T_PlannedOrders[WeekIndex]=10)*(T_PlannedOrders[EffectiveQty]&gt;0)*T_PlannedOrders[Order_Month])),"m月")&amp;"発注)")</f>
        <v/>
      </c>
      <c r="N1127">
        <f>IF(SUMIFS(T_PlannedOrders[EffectiveQty],T_PlannedOrders[Part Name],$A1113,T_PlannedOrders[WeekIndex],11)=0,"",SUMIFS(T_PlannedOrders[EffectiveQty],T_PlannedOrders[Part Name],$A1113,T_PlannedOrders[WeekIndex],11)&amp;" ("&amp;TEXT(SUMPRODUCT(MAX((T_PlannedOrders[Part Name]=$A1113)*(T_PlannedOrders[WeekIndex]=11)*(T_PlannedOrders[EffectiveQty]&gt;0)*T_PlannedOrders[Order_Month])),"m月")&amp;"発注)")</f>
        <v/>
      </c>
      <c r="O1127">
        <f>IF(SUMIFS(T_PlannedOrders[EffectiveQty],T_PlannedOrders[Part Name],$A1113,T_PlannedOrders[WeekIndex],12)=0,"",SUMIFS(T_PlannedOrders[EffectiveQty],T_PlannedOrders[Part Name],$A1113,T_PlannedOrders[WeekIndex],12)&amp;" ("&amp;TEXT(SUMPRODUCT(MAX((T_PlannedOrders[Part Name]=$A1113)*(T_PlannedOrders[WeekIndex]=12)*(T_PlannedOrders[EffectiveQty]&gt;0)*T_PlannedOrders[Order_Month])),"m月")&amp;"発注)")</f>
        <v/>
      </c>
      <c r="P1127">
        <f>IF(SUMIFS(T_PlannedOrders[EffectiveQty],T_PlannedOrders[Part Name],$A1113,T_PlannedOrders[WeekIndex],13)=0,"",SUMIFS(T_PlannedOrders[EffectiveQty],T_PlannedOrders[Part Name],$A1113,T_PlannedOrders[WeekIndex],13)&amp;" ("&amp;TEXT(SUMPRODUCT(MAX((T_PlannedOrders[Part Name]=$A1113)*(T_PlannedOrders[WeekIndex]=13)*(T_PlannedOrders[EffectiveQty]&gt;0)*T_PlannedOrders[Order_Month])),"m月")&amp;"発注)")</f>
        <v/>
      </c>
      <c r="Q1127">
        <f>IF(SUMIFS(T_PlannedOrders[EffectiveQty],T_PlannedOrders[Part Name],$A1113,T_PlannedOrders[WeekIndex],14)=0,"",SUMIFS(T_PlannedOrders[EffectiveQty],T_PlannedOrders[Part Name],$A1113,T_PlannedOrders[WeekIndex],14)&amp;" ("&amp;TEXT(SUMPRODUCT(MAX((T_PlannedOrders[Part Name]=$A1113)*(T_PlannedOrders[WeekIndex]=14)*(T_PlannedOrders[EffectiveQty]&gt;0)*T_PlannedOrders[Order_Month])),"m月")&amp;"発注)")</f>
        <v/>
      </c>
      <c r="R1127">
        <f>IF(SUMIFS(T_PlannedOrders[EffectiveQty],T_PlannedOrders[Part Name],$A1113,T_PlannedOrders[WeekIndex],15)=0,"",SUMIFS(T_PlannedOrders[EffectiveQty],T_PlannedOrders[Part Name],$A1113,T_PlannedOrders[WeekIndex],15)&amp;" ("&amp;TEXT(SUMPRODUCT(MAX((T_PlannedOrders[Part Name]=$A1113)*(T_PlannedOrders[WeekIndex]=15)*(T_PlannedOrders[EffectiveQty]&gt;0)*T_PlannedOrders[Order_Month])),"m月")&amp;"発注)")</f>
        <v/>
      </c>
      <c r="S1127">
        <f>IF(SUMIFS(T_PlannedOrders[EffectiveQty],T_PlannedOrders[Part Name],$A1113,T_PlannedOrders[WeekIndex],16)=0,"",SUMIFS(T_PlannedOrders[EffectiveQty],T_PlannedOrders[Part Name],$A1113,T_PlannedOrders[WeekIndex],16)&amp;" ("&amp;TEXT(SUMPRODUCT(MAX((T_PlannedOrders[Part Name]=$A1113)*(T_PlannedOrders[WeekIndex]=16)*(T_PlannedOrders[EffectiveQty]&gt;0)*T_PlannedOrders[Order_Month])),"m月")&amp;"発注)")</f>
        <v/>
      </c>
      <c r="T1127">
        <f>IF(SUMIFS(T_PlannedOrders[EffectiveQty],T_PlannedOrders[Part Name],$A1113,T_PlannedOrders[WeekIndex],17)=0,"",SUMIFS(T_PlannedOrders[EffectiveQty],T_PlannedOrders[Part Name],$A1113,T_PlannedOrders[WeekIndex],17)&amp;" ("&amp;TEXT(SUMPRODUCT(MAX((T_PlannedOrders[Part Name]=$A1113)*(T_PlannedOrders[WeekIndex]=17)*(T_PlannedOrders[EffectiveQty]&gt;0)*T_PlannedOrders[Order_Month])),"m月")&amp;"発注)")</f>
        <v/>
      </c>
      <c r="U1127">
        <f>IF(SUMIFS(T_PlannedOrders[EffectiveQty],T_PlannedOrders[Part Name],$A1113,T_PlannedOrders[WeekIndex],18)=0,"",SUMIFS(T_PlannedOrders[EffectiveQty],T_PlannedOrders[Part Name],$A1113,T_PlannedOrders[WeekIndex],18)&amp;" ("&amp;TEXT(SUMPRODUCT(MAX((T_PlannedOrders[Part Name]=$A1113)*(T_PlannedOrders[WeekIndex]=18)*(T_PlannedOrders[EffectiveQty]&gt;0)*T_PlannedOrders[Order_Month])),"m月")&amp;"発注)")</f>
        <v/>
      </c>
      <c r="V1127">
        <f>IF(SUMIFS(T_PlannedOrders[EffectiveQty],T_PlannedOrders[Part Name],$A1113,T_PlannedOrders[WeekIndex],19)=0,"",SUMIFS(T_PlannedOrders[EffectiveQty],T_PlannedOrders[Part Name],$A1113,T_PlannedOrders[WeekIndex],19)&amp;" ("&amp;TEXT(SUMPRODUCT(MAX((T_PlannedOrders[Part Name]=$A1113)*(T_PlannedOrders[WeekIndex]=19)*(T_PlannedOrders[EffectiveQty]&gt;0)*T_PlannedOrders[Order_Month])),"m月")&amp;"発注)")</f>
        <v/>
      </c>
      <c r="W1127">
        <f>IF(SUMIFS(T_PlannedOrders[EffectiveQty],T_PlannedOrders[Part Name],$A1113,T_PlannedOrders[WeekIndex],20)=0,"",SUMIFS(T_PlannedOrders[EffectiveQty],T_PlannedOrders[Part Name],$A1113,T_PlannedOrders[WeekIndex],20)&amp;" ("&amp;TEXT(SUMPRODUCT(MAX((T_PlannedOrders[Part Name]=$A1113)*(T_PlannedOrders[WeekIndex]=20)*(T_PlannedOrders[EffectiveQty]&gt;0)*T_PlannedOrders[Order_Month])),"m月")&amp;"発注)")</f>
        <v/>
      </c>
      <c r="X1127">
        <f>IF(SUMIFS(T_PlannedOrders[EffectiveQty],T_PlannedOrders[Part Name],$A1113,T_PlannedOrders[WeekIndex],21)=0,"",SUMIFS(T_PlannedOrders[EffectiveQty],T_PlannedOrders[Part Name],$A1113,T_PlannedOrders[WeekIndex],21)&amp;" ("&amp;TEXT(SUMPRODUCT(MAX((T_PlannedOrders[Part Name]=$A1113)*(T_PlannedOrders[WeekIndex]=21)*(T_PlannedOrders[EffectiveQty]&gt;0)*T_PlannedOrders[Order_Month])),"m月")&amp;"発注)")</f>
        <v/>
      </c>
      <c r="Y1127">
        <f>IF(SUMIFS(T_PlannedOrders[EffectiveQty],T_PlannedOrders[Part Name],$A1113,T_PlannedOrders[WeekIndex],22)=0,"",SUMIFS(T_PlannedOrders[EffectiveQty],T_PlannedOrders[Part Name],$A1113,T_PlannedOrders[WeekIndex],22)&amp;" ("&amp;TEXT(SUMPRODUCT(MAX((T_PlannedOrders[Part Name]=$A1113)*(T_PlannedOrders[WeekIndex]=22)*(T_PlannedOrders[EffectiveQty]&gt;0)*T_PlannedOrders[Order_Month])),"m月")&amp;"発注)")</f>
        <v/>
      </c>
      <c r="Z1127">
        <f>IF(SUMIFS(T_PlannedOrders[EffectiveQty],T_PlannedOrders[Part Name],$A1113,T_PlannedOrders[WeekIndex],23)=0,"",SUMIFS(T_PlannedOrders[EffectiveQty],T_PlannedOrders[Part Name],$A1113,T_PlannedOrders[WeekIndex],23)&amp;" ("&amp;TEXT(SUMPRODUCT(MAX((T_PlannedOrders[Part Name]=$A1113)*(T_PlannedOrders[WeekIndex]=23)*(T_PlannedOrders[EffectiveQty]&gt;0)*T_PlannedOrders[Order_Month])),"m月")&amp;"発注)")</f>
        <v/>
      </c>
      <c r="AA1127">
        <f>IF(SUMIFS(T_PlannedOrders[EffectiveQty],T_PlannedOrders[Part Name],$A1113,T_PlannedOrders[WeekIndex],24)=0,"",SUMIFS(T_PlannedOrders[EffectiveQty],T_PlannedOrders[Part Name],$A1113,T_PlannedOrders[WeekIndex],24)&amp;" ("&amp;TEXT(SUMPRODUCT(MAX((T_PlannedOrders[Part Name]=$A1113)*(T_PlannedOrders[WeekIndex]=24)*(T_PlannedOrders[EffectiveQty]&gt;0)*T_PlannedOrders[Order_Month])),"m月")&amp;"発注)")</f>
        <v/>
      </c>
      <c r="AB1127">
        <f>IF(SUMIFS(T_PlannedOrders[EffectiveQty],T_PlannedOrders[Part Name],$A1113,T_PlannedOrders[WeekIndex],25)=0,"",SUMIFS(T_PlannedOrders[EffectiveQty],T_PlannedOrders[Part Name],$A1113,T_PlannedOrders[WeekIndex],25)&amp;" ("&amp;TEXT(SUMPRODUCT(MAX((T_PlannedOrders[Part Name]=$A1113)*(T_PlannedOrders[WeekIndex]=25)*(T_PlannedOrders[EffectiveQty]&gt;0)*T_PlannedOrders[Order_Month])),"m月")&amp;"発注)")</f>
        <v/>
      </c>
      <c r="AC1127">
        <f>IF(SUMIFS(T_PlannedOrders[EffectiveQty],T_PlannedOrders[Part Name],$A1113,T_PlannedOrders[WeekIndex],26)=0,"",SUMIFS(T_PlannedOrders[EffectiveQty],T_PlannedOrders[Part Name],$A1113,T_PlannedOrders[WeekIndex],26)&amp;" ("&amp;TEXT(SUMPRODUCT(MAX((T_PlannedOrders[Part Name]=$A1113)*(T_PlannedOrders[WeekIndex]=26)*(T_PlannedOrders[EffectiveQty]&gt;0)*T_PlannedOrders[Order_Month])),"m月")&amp;"発注)")</f>
        <v/>
      </c>
      <c r="AD1127">
        <f>IF(SUMIFS(T_PlannedOrders[EffectiveQty],T_PlannedOrders[Part Name],$A1113,T_PlannedOrders[WeekIndex],27)=0,"",SUMIFS(T_PlannedOrders[EffectiveQty],T_PlannedOrders[Part Name],$A1113,T_PlannedOrders[WeekIndex],27)&amp;" ("&amp;TEXT(SUMPRODUCT(MAX((T_PlannedOrders[Part Name]=$A1113)*(T_PlannedOrders[WeekIndex]=27)*(T_PlannedOrders[EffectiveQty]&gt;0)*T_PlannedOrders[Order_Month])),"m月")&amp;"発注)")</f>
        <v/>
      </c>
      <c r="AE1127">
        <f>IF(SUMIFS(T_PlannedOrders[EffectiveQty],T_PlannedOrders[Part Name],$A1113,T_PlannedOrders[WeekIndex],28)=0,"",SUMIFS(T_PlannedOrders[EffectiveQty],T_PlannedOrders[Part Name],$A1113,T_PlannedOrders[WeekIndex],28)&amp;" ("&amp;TEXT(SUMPRODUCT(MAX((T_PlannedOrders[Part Name]=$A1113)*(T_PlannedOrders[WeekIndex]=28)*(T_PlannedOrders[EffectiveQty]&gt;0)*T_PlannedOrders[Order_Month])),"m月")&amp;"発注)")</f>
        <v/>
      </c>
      <c r="AF1127">
        <f>IF(SUMIFS(T_PlannedOrders[EffectiveQty],T_PlannedOrders[Part Name],$A1113,T_PlannedOrders[WeekIndex],29)=0,"",SUMIFS(T_PlannedOrders[EffectiveQty],T_PlannedOrders[Part Name],$A1113,T_PlannedOrders[WeekIndex],29)&amp;" ("&amp;TEXT(SUMPRODUCT(MAX((T_PlannedOrders[Part Name]=$A1113)*(T_PlannedOrders[WeekIndex]=29)*(T_PlannedOrders[EffectiveQty]&gt;0)*T_PlannedOrders[Order_Month])),"m月")&amp;"発注)")</f>
        <v/>
      </c>
      <c r="AG1127">
        <f>IF(SUMIFS(T_PlannedOrders[EffectiveQty],T_PlannedOrders[Part Name],$A1113,T_PlannedOrders[WeekIndex],30)=0,"",SUMIFS(T_PlannedOrders[EffectiveQty],T_PlannedOrders[Part Name],$A1113,T_PlannedOrders[WeekIndex],30)&amp;" ("&amp;TEXT(SUMPRODUCT(MAX((T_PlannedOrders[Part Name]=$A1113)*(T_PlannedOrders[WeekIndex]=30)*(T_PlannedOrders[EffectiveQty]&gt;0)*T_PlannedOrders[Order_Month])),"m月")&amp;"発注)")</f>
        <v/>
      </c>
      <c r="AH1127">
        <f>IF(SUMIFS(T_PlannedOrders[EffectiveQty],T_PlannedOrders[Part Name],$A1113,T_PlannedOrders[WeekIndex],31)=0,"",SUMIFS(T_PlannedOrders[EffectiveQty],T_PlannedOrders[Part Name],$A1113,T_PlannedOrders[WeekIndex],31)&amp;" ("&amp;TEXT(SUMPRODUCT(MAX((T_PlannedOrders[Part Name]=$A1113)*(T_PlannedOrders[WeekIndex]=31)*(T_PlannedOrders[EffectiveQty]&gt;0)*T_PlannedOrders[Order_Month])),"m月")&amp;"発注)")</f>
        <v/>
      </c>
      <c r="AI1127">
        <f>IF(SUMIFS(T_PlannedOrders[EffectiveQty],T_PlannedOrders[Part Name],$A1113,T_PlannedOrders[WeekIndex],32)=0,"",SUMIFS(T_PlannedOrders[EffectiveQty],T_PlannedOrders[Part Name],$A1113,T_PlannedOrders[WeekIndex],32)&amp;" ("&amp;TEXT(SUMPRODUCT(MAX((T_PlannedOrders[Part Name]=$A1113)*(T_PlannedOrders[WeekIndex]=32)*(T_PlannedOrders[EffectiveQty]&gt;0)*T_PlannedOrders[Order_Month])),"m月")&amp;"発注)")</f>
        <v/>
      </c>
      <c r="AJ1127">
        <f>IF(SUMIFS(T_PlannedOrders[EffectiveQty],T_PlannedOrders[Part Name],$A1113,T_PlannedOrders[WeekIndex],33)=0,"",SUMIFS(T_PlannedOrders[EffectiveQty],T_PlannedOrders[Part Name],$A1113,T_PlannedOrders[WeekIndex],33)&amp;" ("&amp;TEXT(SUMPRODUCT(MAX((T_PlannedOrders[Part Name]=$A1113)*(T_PlannedOrders[WeekIndex]=33)*(T_PlannedOrders[EffectiveQty]&gt;0)*T_PlannedOrders[Order_Month])),"m月")&amp;"発注)")</f>
        <v/>
      </c>
      <c r="AK1127">
        <f>IF(SUMIFS(T_PlannedOrders[EffectiveQty],T_PlannedOrders[Part Name],$A1113,T_PlannedOrders[WeekIndex],34)=0,"",SUMIFS(T_PlannedOrders[EffectiveQty],T_PlannedOrders[Part Name],$A1113,T_PlannedOrders[WeekIndex],34)&amp;" ("&amp;TEXT(SUMPRODUCT(MAX((T_PlannedOrders[Part Name]=$A1113)*(T_PlannedOrders[WeekIndex]=34)*(T_PlannedOrders[EffectiveQty]&gt;0)*T_PlannedOrders[Order_Month])),"m月")&amp;"発注)")</f>
        <v/>
      </c>
      <c r="AL1127">
        <f>IF(SUMIFS(T_PlannedOrders[EffectiveQty],T_PlannedOrders[Part Name],$A1113,T_PlannedOrders[WeekIndex],35)=0,"",SUMIFS(T_PlannedOrders[EffectiveQty],T_PlannedOrders[Part Name],$A1113,T_PlannedOrders[WeekIndex],35)&amp;" ("&amp;TEXT(SUMPRODUCT(MAX((T_PlannedOrders[Part Name]=$A1113)*(T_PlannedOrders[WeekIndex]=35)*(T_PlannedOrders[EffectiveQty]&gt;0)*T_PlannedOrders[Order_Month])),"m月")&amp;"発注)")</f>
        <v/>
      </c>
      <c r="AM1127">
        <f>IF(SUMIFS(T_PlannedOrders[EffectiveQty],T_PlannedOrders[Part Name],$A1113,T_PlannedOrders[WeekIndex],36)=0,"",SUMIFS(T_PlannedOrders[EffectiveQty],T_PlannedOrders[Part Name],$A1113,T_PlannedOrders[WeekIndex],36)&amp;" ("&amp;TEXT(SUMPRODUCT(MAX((T_PlannedOrders[Part Name]=$A1113)*(T_PlannedOrders[WeekIndex]=36)*(T_PlannedOrders[EffectiveQty]&gt;0)*T_PlannedOrders[Order_Month])),"m月")&amp;"発注)")</f>
        <v/>
      </c>
      <c r="AN1127">
        <f>IF(SUMIFS(T_PlannedOrders[EffectiveQty],T_PlannedOrders[Part Name],$A1113,T_PlannedOrders[WeekIndex],37)=0,"",SUMIFS(T_PlannedOrders[EffectiveQty],T_PlannedOrders[Part Name],$A1113,T_PlannedOrders[WeekIndex],37)&amp;" ("&amp;TEXT(SUMPRODUCT(MAX((T_PlannedOrders[Part Name]=$A1113)*(T_PlannedOrders[WeekIndex]=37)*(T_PlannedOrders[EffectiveQty]&gt;0)*T_PlannedOrders[Order_Month])),"m月")&amp;"発注)")</f>
        <v/>
      </c>
      <c r="AO1127">
        <f>IF(SUMIFS(T_PlannedOrders[EffectiveQty],T_PlannedOrders[Part Name],$A1113,T_PlannedOrders[WeekIndex],38)=0,"",SUMIFS(T_PlannedOrders[EffectiveQty],T_PlannedOrders[Part Name],$A1113,T_PlannedOrders[WeekIndex],38)&amp;" ("&amp;TEXT(SUMPRODUCT(MAX((T_PlannedOrders[Part Name]=$A1113)*(T_PlannedOrders[WeekIndex]=38)*(T_PlannedOrders[EffectiveQty]&gt;0)*T_PlannedOrders[Order_Month])),"m月")&amp;"発注)")</f>
        <v/>
      </c>
      <c r="AP1127">
        <f>IF(SUMIFS(T_PlannedOrders[EffectiveQty],T_PlannedOrders[Part Name],$A1113,T_PlannedOrders[WeekIndex],39)=0,"",SUMIFS(T_PlannedOrders[EffectiveQty],T_PlannedOrders[Part Name],$A1113,T_PlannedOrders[WeekIndex],39)&amp;" ("&amp;TEXT(SUMPRODUCT(MAX((T_PlannedOrders[Part Name]=$A1113)*(T_PlannedOrders[WeekIndex]=39)*(T_PlannedOrders[EffectiveQty]&gt;0)*T_PlannedOrders[Order_Month])),"m月")&amp;"発注)")</f>
        <v/>
      </c>
      <c r="AQ1127">
        <f>IF(SUMIFS(T_PlannedOrders[EffectiveQty],T_PlannedOrders[Part Name],$A1113,T_PlannedOrders[WeekIndex],40)=0,"",SUMIFS(T_PlannedOrders[EffectiveQty],T_PlannedOrders[Part Name],$A1113,T_PlannedOrders[WeekIndex],40)&amp;" ("&amp;TEXT(SUMPRODUCT(MAX((T_PlannedOrders[Part Name]=$A1113)*(T_PlannedOrders[WeekIndex]=40)*(T_PlannedOrders[EffectiveQty]&gt;0)*T_PlannedOrders[Order_Month])),"m月")&amp;"発注)")</f>
        <v/>
      </c>
      <c r="AR1127">
        <f>IF(SUMIFS(T_PlannedOrders[EffectiveQty],T_PlannedOrders[Part Name],$A1113,T_PlannedOrders[WeekIndex],41)=0,"",SUMIFS(T_PlannedOrders[EffectiveQty],T_PlannedOrders[Part Name],$A1113,T_PlannedOrders[WeekIndex],41)&amp;" ("&amp;TEXT(SUMPRODUCT(MAX((T_PlannedOrders[Part Name]=$A1113)*(T_PlannedOrders[WeekIndex]=41)*(T_PlannedOrders[EffectiveQty]&gt;0)*T_PlannedOrders[Order_Month])),"m月")&amp;"発注)")</f>
        <v/>
      </c>
      <c r="AS1127">
        <f>IF(SUMIFS(T_PlannedOrders[EffectiveQty],T_PlannedOrders[Part Name],$A1113,T_PlannedOrders[WeekIndex],42)=0,"",SUMIFS(T_PlannedOrders[EffectiveQty],T_PlannedOrders[Part Name],$A1113,T_PlannedOrders[WeekIndex],42)&amp;" ("&amp;TEXT(SUMPRODUCT(MAX((T_PlannedOrders[Part Name]=$A1113)*(T_PlannedOrders[WeekIndex]=42)*(T_PlannedOrders[EffectiveQty]&gt;0)*T_PlannedOrders[Order_Month])),"m月")&amp;"発注)")</f>
        <v/>
      </c>
      <c r="AT1127">
        <f>IF(SUMIFS(T_PlannedOrders[EffectiveQty],T_PlannedOrders[Part Name],$A1113,T_PlannedOrders[WeekIndex],43)=0,"",SUMIFS(T_PlannedOrders[EffectiveQty],T_PlannedOrders[Part Name],$A1113,T_PlannedOrders[WeekIndex],43)&amp;" ("&amp;TEXT(SUMPRODUCT(MAX((T_PlannedOrders[Part Name]=$A1113)*(T_PlannedOrders[WeekIndex]=43)*(T_PlannedOrders[EffectiveQty]&gt;0)*T_PlannedOrders[Order_Month])),"m月")&amp;"発注)")</f>
        <v/>
      </c>
      <c r="AU1127">
        <f>IF(SUMIFS(T_PlannedOrders[EffectiveQty],T_PlannedOrders[Part Name],$A1113,T_PlannedOrders[WeekIndex],44)=0,"",SUMIFS(T_PlannedOrders[EffectiveQty],T_PlannedOrders[Part Name],$A1113,T_PlannedOrders[WeekIndex],44)&amp;" ("&amp;TEXT(SUMPRODUCT(MAX((T_PlannedOrders[Part Name]=$A1113)*(T_PlannedOrders[WeekIndex]=44)*(T_PlannedOrders[EffectiveQty]&gt;0)*T_PlannedOrders[Order_Month])),"m月")&amp;"発注)")</f>
        <v/>
      </c>
      <c r="AV1127">
        <f>IF(SUMIFS(T_PlannedOrders[EffectiveQty],T_PlannedOrders[Part Name],$A1113,T_PlannedOrders[WeekIndex],45)=0,"",SUMIFS(T_PlannedOrders[EffectiveQty],T_PlannedOrders[Part Name],$A1113,T_PlannedOrders[WeekIndex],45)&amp;" ("&amp;TEXT(SUMPRODUCT(MAX((T_PlannedOrders[Part Name]=$A1113)*(T_PlannedOrders[WeekIndex]=45)*(T_PlannedOrders[EffectiveQty]&gt;0)*T_PlannedOrders[Order_Month])),"m月")&amp;"発注)")</f>
        <v/>
      </c>
      <c r="AW1127">
        <f>IF(SUMIFS(T_PlannedOrders[EffectiveQty],T_PlannedOrders[Part Name],$A1113,T_PlannedOrders[WeekIndex],46)=0,"",SUMIFS(T_PlannedOrders[EffectiveQty],T_PlannedOrders[Part Name],$A1113,T_PlannedOrders[WeekIndex],46)&amp;" ("&amp;TEXT(SUMPRODUCT(MAX((T_PlannedOrders[Part Name]=$A1113)*(T_PlannedOrders[WeekIndex]=46)*(T_PlannedOrders[EffectiveQty]&gt;0)*T_PlannedOrders[Order_Month])),"m月")&amp;"発注)")</f>
        <v/>
      </c>
      <c r="AX1127">
        <f>IF(SUMIFS(T_PlannedOrders[EffectiveQty],T_PlannedOrders[Part Name],$A1113,T_PlannedOrders[WeekIndex],47)=0,"",SUMIFS(T_PlannedOrders[EffectiveQty],T_PlannedOrders[Part Name],$A1113,T_PlannedOrders[WeekIndex],47)&amp;" ("&amp;TEXT(SUMPRODUCT(MAX((T_PlannedOrders[Part Name]=$A1113)*(T_PlannedOrders[WeekIndex]=47)*(T_PlannedOrders[EffectiveQty]&gt;0)*T_PlannedOrders[Order_Month])),"m月")&amp;"発注)")</f>
        <v/>
      </c>
      <c r="AY1127">
        <f>IF(SUMIFS(T_PlannedOrders[EffectiveQty],T_PlannedOrders[Part Name],$A1113,T_PlannedOrders[WeekIndex],48)=0,"",SUMIFS(T_PlannedOrders[EffectiveQty],T_PlannedOrders[Part Name],$A1113,T_PlannedOrders[WeekIndex],48)&amp;" ("&amp;TEXT(SUMPRODUCT(MAX((T_PlannedOrders[Part Name]=$A1113)*(T_PlannedOrders[WeekIndex]=48)*(T_PlannedOrders[EffectiveQty]&gt;0)*T_PlannedOrders[Order_Month])),"m月")&amp;"発注)")</f>
        <v/>
      </c>
      <c r="AZ1127">
        <f>IF(SUMIFS(T_PlannedOrders[EffectiveQty],T_PlannedOrders[Part Name],$A1113,T_PlannedOrders[WeekIndex],49)=0,"",SUMIFS(T_PlannedOrders[EffectiveQty],T_PlannedOrders[Part Name],$A1113,T_PlannedOrders[WeekIndex],49)&amp;" ("&amp;TEXT(SUMPRODUCT(MAX((T_PlannedOrders[Part Name]=$A1113)*(T_PlannedOrders[WeekIndex]=49)*(T_PlannedOrders[EffectiveQty]&gt;0)*T_PlannedOrders[Order_Month])),"m月")&amp;"発注)")</f>
        <v/>
      </c>
      <c r="BA1127">
        <f>IF(SUMIFS(T_PlannedOrders[EffectiveQty],T_PlannedOrders[Part Name],$A1113,T_PlannedOrders[WeekIndex],50)=0,"",SUMIFS(T_PlannedOrders[EffectiveQty],T_PlannedOrders[Part Name],$A1113,T_PlannedOrders[WeekIndex],50)&amp;" ("&amp;TEXT(SUMPRODUCT(MAX((T_PlannedOrders[Part Name]=$A1113)*(T_PlannedOrders[WeekIndex]=50)*(T_PlannedOrders[EffectiveQty]&gt;0)*T_PlannedOrders[Order_Month])),"m月")&amp;"発注)")</f>
        <v/>
      </c>
      <c r="BB1127">
        <f>IF(SUMIFS(T_PlannedOrders[EffectiveQty],T_PlannedOrders[Part Name],$A1113,T_PlannedOrders[WeekIndex],51)=0,"",SUMIFS(T_PlannedOrders[EffectiveQty],T_PlannedOrders[Part Name],$A1113,T_PlannedOrders[WeekIndex],51)&amp;" ("&amp;TEXT(SUMPRODUCT(MAX((T_PlannedOrders[Part Name]=$A1113)*(T_PlannedOrders[WeekIndex]=51)*(T_PlannedOrders[EffectiveQty]&gt;0)*T_PlannedOrders[Order_Month])),"m月")&amp;"発注)")</f>
        <v/>
      </c>
      <c r="BC1127">
        <f>IF(SUMIFS(T_PlannedOrders[EffectiveQty],T_PlannedOrders[Part Name],$A1113,T_PlannedOrders[WeekIndex],52)=0,"",SUMIFS(T_PlannedOrders[EffectiveQty],T_PlannedOrders[Part Name],$A1113,T_PlannedOrders[WeekIndex],52)&amp;" ("&amp;TEXT(SUMPRODUCT(MAX((T_PlannedOrders[Part Name]=$A1113)*(T_PlannedOrders[WeekIndex]=52)*(T_PlannedOrders[EffectiveQty]&gt;0)*T_PlannedOrders[Order_Month])),"m月")&amp;"発注)")</f>
        <v/>
      </c>
      <c r="BD1127">
        <f>IF(SUMIFS(T_PlannedOrders[EffectiveQty],T_PlannedOrders[Part Name],$A1113,T_PlannedOrders[WeekIndex],53)=0,"",SUMIFS(T_PlannedOrders[EffectiveQty],T_PlannedOrders[Part Name],$A1113,T_PlannedOrders[WeekIndex],53)&amp;" ("&amp;TEXT(SUMPRODUCT(MAX((T_PlannedOrders[Part Name]=$A1113)*(T_PlannedOrders[WeekIndex]=53)*(T_PlannedOrders[EffectiveQty]&gt;0)*T_PlannedOrders[Order_Month])),"m月")&amp;"発注)")</f>
        <v/>
      </c>
      <c r="BE1127">
        <f>IF(SUMIFS(T_PlannedOrders[EffectiveQty],T_PlannedOrders[Part Name],$A1113,T_PlannedOrders[WeekIndex],54)=0,"",SUMIFS(T_PlannedOrders[EffectiveQty],T_PlannedOrders[Part Name],$A1113,T_PlannedOrders[WeekIndex],54)&amp;" ("&amp;TEXT(SUMPRODUCT(MAX((T_PlannedOrders[Part Name]=$A1113)*(T_PlannedOrders[WeekIndex]=54)*(T_PlannedOrders[EffectiveQty]&gt;0)*T_PlannedOrders[Order_Month])),"m月")&amp;"発注)")</f>
        <v/>
      </c>
      <c r="BF1127">
        <f>IF(SUMIFS(T_PlannedOrders[EffectiveQty],T_PlannedOrders[Part Name],$A1113,T_PlannedOrders[WeekIndex],55)=0,"",SUMIFS(T_PlannedOrders[EffectiveQty],T_PlannedOrders[Part Name],$A1113,T_PlannedOrders[WeekIndex],55)&amp;" ("&amp;TEXT(SUMPRODUCT(MAX((T_PlannedOrders[Part Name]=$A1113)*(T_PlannedOrders[WeekIndex]=55)*(T_PlannedOrders[EffectiveQty]&gt;0)*T_PlannedOrders[Order_Month])),"m月")&amp;"発注)")</f>
        <v/>
      </c>
      <c r="BG1127">
        <f>IF(SUMIFS(T_PlannedOrders[EffectiveQty],T_PlannedOrders[Part Name],$A1113,T_PlannedOrders[WeekIndex],56)=0,"",SUMIFS(T_PlannedOrders[EffectiveQty],T_PlannedOrders[Part Name],$A1113,T_PlannedOrders[WeekIndex],56)&amp;" ("&amp;TEXT(SUMPRODUCT(MAX((T_PlannedOrders[Part Name]=$A1113)*(T_PlannedOrders[WeekIndex]=56)*(T_PlannedOrders[EffectiveQty]&gt;0)*T_PlannedOrders[Order_Month])),"m月")&amp;"発注)")</f>
        <v/>
      </c>
      <c r="BH1127">
        <f>IF(SUMIFS(T_PlannedOrders[EffectiveQty],T_PlannedOrders[Part Name],$A1113,T_PlannedOrders[WeekIndex],57)=0,"",SUMIFS(T_PlannedOrders[EffectiveQty],T_PlannedOrders[Part Name],$A1113,T_PlannedOrders[WeekIndex],57)&amp;" ("&amp;TEXT(SUMPRODUCT(MAX((T_PlannedOrders[Part Name]=$A1113)*(T_PlannedOrders[WeekIndex]=57)*(T_PlannedOrders[EffectiveQty]&gt;0)*T_PlannedOrders[Order_Month])),"m月")&amp;"発注)")</f>
        <v/>
      </c>
      <c r="BI1127">
        <f>IF(SUMIFS(T_PlannedOrders[EffectiveQty],T_PlannedOrders[Part Name],$A1113,T_PlannedOrders[WeekIndex],58)=0,"",SUMIFS(T_PlannedOrders[EffectiveQty],T_PlannedOrders[Part Name],$A1113,T_PlannedOrders[WeekIndex],58)&amp;" ("&amp;TEXT(SUMPRODUCT(MAX((T_PlannedOrders[Part Name]=$A1113)*(T_PlannedOrders[WeekIndex]=58)*(T_PlannedOrders[EffectiveQty]&gt;0)*T_PlannedOrders[Order_Month])),"m月")&amp;"発注)")</f>
        <v/>
      </c>
      <c r="BJ1127">
        <f>IF(SUMIFS(T_PlannedOrders[EffectiveQty],T_PlannedOrders[Part Name],$A1113,T_PlannedOrders[WeekIndex],59)=0,"",SUMIFS(T_PlannedOrders[EffectiveQty],T_PlannedOrders[Part Name],$A1113,T_PlannedOrders[WeekIndex],59)&amp;" ("&amp;TEXT(SUMPRODUCT(MAX((T_PlannedOrders[Part Name]=$A1113)*(T_PlannedOrders[WeekIndex]=59)*(T_PlannedOrders[EffectiveQty]&gt;0)*T_PlannedOrders[Order_Month])),"m月")&amp;"発注)")</f>
        <v/>
      </c>
      <c r="BK1127">
        <f>IF(SUMIFS(T_PlannedOrders[EffectiveQty],T_PlannedOrders[Part Name],$A1113,T_PlannedOrders[WeekIndex],60)=0,"",SUMIFS(T_PlannedOrders[EffectiveQty],T_PlannedOrders[Part Name],$A1113,T_PlannedOrders[WeekIndex],60)&amp;" ("&amp;TEXT(SUMPRODUCT(MAX((T_PlannedOrders[Part Name]=$A1113)*(T_PlannedOrders[WeekIndex]=60)*(T_PlannedOrders[EffectiveQty]&gt;0)*T_PlannedOrders[Order_Month])),"m月")&amp;"発注)")</f>
        <v/>
      </c>
      <c r="BL1127">
        <f>IF(SUMIFS(T_PlannedOrders[EffectiveQty],T_PlannedOrders[Part Name],$A1113,T_PlannedOrders[WeekIndex],61)=0,"",SUMIFS(T_PlannedOrders[EffectiveQty],T_PlannedOrders[Part Name],$A1113,T_PlannedOrders[WeekIndex],61)&amp;" ("&amp;TEXT(SUMPRODUCT(MAX((T_PlannedOrders[Part Name]=$A1113)*(T_PlannedOrders[WeekIndex]=61)*(T_PlannedOrders[EffectiveQty]&gt;0)*T_PlannedOrders[Order_Month])),"m月")&amp;"発注)")</f>
        <v/>
      </c>
      <c r="BM1127">
        <f>IF(SUMIFS(T_PlannedOrders[EffectiveQty],T_PlannedOrders[Part Name],$A1113,T_PlannedOrders[WeekIndex],62)=0,"",SUMIFS(T_PlannedOrders[EffectiveQty],T_PlannedOrders[Part Name],$A1113,T_PlannedOrders[WeekIndex],62)&amp;" ("&amp;TEXT(SUMPRODUCT(MAX((T_PlannedOrders[Part Name]=$A1113)*(T_PlannedOrders[WeekIndex]=62)*(T_PlannedOrders[EffectiveQty]&gt;0)*T_PlannedOrders[Order_Month])),"m月")&amp;"発注)")</f>
        <v/>
      </c>
      <c r="BN1127">
        <f>IF(SUMIFS(T_PlannedOrders[EffectiveQty],T_PlannedOrders[Part Name],$A1113,T_PlannedOrders[WeekIndex],63)=0,"",SUMIFS(T_PlannedOrders[EffectiveQty],T_PlannedOrders[Part Name],$A1113,T_PlannedOrders[WeekIndex],63)&amp;" ("&amp;TEXT(SUMPRODUCT(MAX((T_PlannedOrders[Part Name]=$A1113)*(T_PlannedOrders[WeekIndex]=63)*(T_PlannedOrders[EffectiveQty]&gt;0)*T_PlannedOrders[Order_Month])),"m月")&amp;"発注)")</f>
        <v/>
      </c>
      <c r="BO1127">
        <f>IF(SUMIFS(T_PlannedOrders[EffectiveQty],T_PlannedOrders[Part Name],$A1113,T_PlannedOrders[WeekIndex],64)=0,"",SUMIFS(T_PlannedOrders[EffectiveQty],T_PlannedOrders[Part Name],$A1113,T_PlannedOrders[WeekIndex],64)&amp;" ("&amp;TEXT(SUMPRODUCT(MAX((T_PlannedOrders[Part Name]=$A1113)*(T_PlannedOrders[WeekIndex]=64)*(T_PlannedOrders[EffectiveQty]&gt;0)*T_PlannedOrders[Order_Month])),"m月")&amp;"発注)")</f>
        <v/>
      </c>
      <c r="BP1127">
        <f>IF(SUMIFS(T_PlannedOrders[EffectiveQty],T_PlannedOrders[Part Name],$A1113,T_PlannedOrders[WeekIndex],65)=0,"",SUMIFS(T_PlannedOrders[EffectiveQty],T_PlannedOrders[Part Name],$A1113,T_PlannedOrders[WeekIndex],65)&amp;" ("&amp;TEXT(SUMPRODUCT(MAX((T_PlannedOrders[Part Name]=$A1113)*(T_PlannedOrders[WeekIndex]=65)*(T_PlannedOrders[EffectiveQty]&gt;0)*T_PlannedOrders[Order_Month])),"m月")&amp;"発注)")</f>
        <v/>
      </c>
      <c r="BQ1127">
        <f>IF(SUMIFS(T_PlannedOrders[EffectiveQty],T_PlannedOrders[Part Name],$A1113,T_PlannedOrders[WeekIndex],66)=0,"",SUMIFS(T_PlannedOrders[EffectiveQty],T_PlannedOrders[Part Name],$A1113,T_PlannedOrders[WeekIndex],66)&amp;" ("&amp;TEXT(SUMPRODUCT(MAX((T_PlannedOrders[Part Name]=$A1113)*(T_PlannedOrders[WeekIndex]=66)*(T_PlannedOrders[EffectiveQty]&gt;0)*T_PlannedOrders[Order_Month])),"m月")&amp;"発注)")</f>
        <v/>
      </c>
      <c r="BR1127">
        <f>IF(SUMIFS(T_PlannedOrders[EffectiveQty],T_PlannedOrders[Part Name],$A1113,T_PlannedOrders[WeekIndex],67)=0,"",SUMIFS(T_PlannedOrders[EffectiveQty],T_PlannedOrders[Part Name],$A1113,T_PlannedOrders[WeekIndex],67)&amp;" ("&amp;TEXT(SUMPRODUCT(MAX((T_PlannedOrders[Part Name]=$A1113)*(T_PlannedOrders[WeekIndex]=67)*(T_PlannedOrders[EffectiveQty]&gt;0)*T_PlannedOrders[Order_Month])),"m月")&amp;"発注)")</f>
        <v/>
      </c>
      <c r="BS1127">
        <f>IF(SUMIFS(T_PlannedOrders[EffectiveQty],T_PlannedOrders[Part Name],$A1113,T_PlannedOrders[WeekIndex],68)=0,"",SUMIFS(T_PlannedOrders[EffectiveQty],T_PlannedOrders[Part Name],$A1113,T_PlannedOrders[WeekIndex],68)&amp;" ("&amp;TEXT(SUMPRODUCT(MAX((T_PlannedOrders[Part Name]=$A1113)*(T_PlannedOrders[WeekIndex]=68)*(T_PlannedOrders[EffectiveQty]&gt;0)*T_PlannedOrders[Order_Month])),"m月")&amp;"発注)")</f>
        <v/>
      </c>
      <c r="BT1127">
        <f>IF(SUMIFS(T_PlannedOrders[EffectiveQty],T_PlannedOrders[Part Name],$A1113,T_PlannedOrders[WeekIndex],69)=0,"",SUMIFS(T_PlannedOrders[EffectiveQty],T_PlannedOrders[Part Name],$A1113,T_PlannedOrders[WeekIndex],69)&amp;" ("&amp;TEXT(SUMPRODUCT(MAX((T_PlannedOrders[Part Name]=$A1113)*(T_PlannedOrders[WeekIndex]=69)*(T_PlannedOrders[EffectiveQty]&gt;0)*T_PlannedOrders[Order_Month])),"m月")&amp;"発注)")</f>
        <v/>
      </c>
      <c r="BU1127">
        <f>IF(SUMIFS(T_PlannedOrders[EffectiveQty],T_PlannedOrders[Part Name],$A1113,T_PlannedOrders[WeekIndex],70)=0,"",SUMIFS(T_PlannedOrders[EffectiveQty],T_PlannedOrders[Part Name],$A1113,T_PlannedOrders[WeekIndex],70)&amp;" ("&amp;TEXT(SUMPRODUCT(MAX((T_PlannedOrders[Part Name]=$A1113)*(T_PlannedOrders[WeekIndex]=70)*(T_PlannedOrders[EffectiveQty]&gt;0)*T_PlannedOrders[Order_Month])),"m月")&amp;"発注)")</f>
        <v/>
      </c>
      <c r="BV1127">
        <f>IF(SUMIFS(T_PlannedOrders[EffectiveQty],T_PlannedOrders[Part Name],$A1113,T_PlannedOrders[WeekIndex],71)=0,"",SUMIFS(T_PlannedOrders[EffectiveQty],T_PlannedOrders[Part Name],$A1113,T_PlannedOrders[WeekIndex],71)&amp;" ("&amp;TEXT(SUMPRODUCT(MAX((T_PlannedOrders[Part Name]=$A1113)*(T_PlannedOrders[WeekIndex]=71)*(T_PlannedOrders[EffectiveQty]&gt;0)*T_PlannedOrders[Order_Month])),"m月")&amp;"発注)")</f>
        <v/>
      </c>
      <c r="BW1127">
        <f>IF(SUMIFS(T_PlannedOrders[EffectiveQty],T_PlannedOrders[Part Name],$A1113,T_PlannedOrders[WeekIndex],72)=0,"",SUMIFS(T_PlannedOrders[EffectiveQty],T_PlannedOrders[Part Name],$A1113,T_PlannedOrders[WeekIndex],72)&amp;" ("&amp;TEXT(SUMPRODUCT(MAX((T_PlannedOrders[Part Name]=$A1113)*(T_PlannedOrders[WeekIndex]=72)*(T_PlannedOrders[EffectiveQty]&gt;0)*T_PlannedOrders[Order_Month])),"m月")&amp;"発注)")</f>
        <v/>
      </c>
      <c r="BX1127">
        <f>IF(SUMIFS(T_PlannedOrders[EffectiveQty],T_PlannedOrders[Part Name],$A1113,T_PlannedOrders[WeekIndex],73)=0,"",SUMIFS(T_PlannedOrders[EffectiveQty],T_PlannedOrders[Part Name],$A1113,T_PlannedOrders[WeekIndex],73)&amp;" ("&amp;TEXT(SUMPRODUCT(MAX((T_PlannedOrders[Part Name]=$A1113)*(T_PlannedOrders[WeekIndex]=73)*(T_PlannedOrders[EffectiveQty]&gt;0)*T_PlannedOrders[Order_Month])),"m月")&amp;"発注)")</f>
        <v/>
      </c>
      <c r="BY1127">
        <f>IF(SUMIFS(T_PlannedOrders[EffectiveQty],T_PlannedOrders[Part Name],$A1113,T_PlannedOrders[WeekIndex],74)=0,"",SUMIFS(T_PlannedOrders[EffectiveQty],T_PlannedOrders[Part Name],$A1113,T_PlannedOrders[WeekIndex],74)&amp;" ("&amp;TEXT(SUMPRODUCT(MAX((T_PlannedOrders[Part Name]=$A1113)*(T_PlannedOrders[WeekIndex]=74)*(T_PlannedOrders[EffectiveQty]&gt;0)*T_PlannedOrders[Order_Month])),"m月")&amp;"発注)")</f>
        <v/>
      </c>
      <c r="BZ1127">
        <f>IF(SUMIFS(T_PlannedOrders[EffectiveQty],T_PlannedOrders[Part Name],$A1113,T_PlannedOrders[WeekIndex],75)=0,"",SUMIFS(T_PlannedOrders[EffectiveQty],T_PlannedOrders[Part Name],$A1113,T_PlannedOrders[WeekIndex],75)&amp;" ("&amp;TEXT(SUMPRODUCT(MAX((T_PlannedOrders[Part Name]=$A1113)*(T_PlannedOrders[WeekIndex]=75)*(T_PlannedOrders[EffectiveQty]&gt;0)*T_PlannedOrders[Order_Month])),"m月")&amp;"発注)")</f>
        <v/>
      </c>
      <c r="CA1127">
        <f>IF(SUMIFS(T_PlannedOrders[EffectiveQty],T_PlannedOrders[Part Name],$A1113,T_PlannedOrders[WeekIndex],76)=0,"",SUMIFS(T_PlannedOrders[EffectiveQty],T_PlannedOrders[Part Name],$A1113,T_PlannedOrders[WeekIndex],76)&amp;" ("&amp;TEXT(SUMPRODUCT(MAX((T_PlannedOrders[Part Name]=$A1113)*(T_PlannedOrders[WeekIndex]=76)*(T_PlannedOrders[EffectiveQty]&gt;0)*T_PlannedOrders[Order_Month])),"m月")&amp;"発注)")</f>
        <v/>
      </c>
      <c r="CB1127">
        <f>IF(SUMIFS(T_PlannedOrders[EffectiveQty],T_PlannedOrders[Part Name],$A1113,T_PlannedOrders[WeekIndex],77)=0,"",SUMIFS(T_PlannedOrders[EffectiveQty],T_PlannedOrders[Part Name],$A1113,T_PlannedOrders[WeekIndex],77)&amp;" ("&amp;TEXT(SUMPRODUCT(MAX((T_PlannedOrders[Part Name]=$A1113)*(T_PlannedOrders[WeekIndex]=77)*(T_PlannedOrders[EffectiveQty]&gt;0)*T_PlannedOrders[Order_Month])),"m月")&amp;"発注)")</f>
        <v/>
      </c>
      <c r="CC1127">
        <f>IF(SUMIFS(T_PlannedOrders[EffectiveQty],T_PlannedOrders[Part Name],$A1113,T_PlannedOrders[WeekIndex],78)=0,"",SUMIFS(T_PlannedOrders[EffectiveQty],T_PlannedOrders[Part Name],$A1113,T_PlannedOrders[WeekIndex],78)&amp;" ("&amp;TEXT(SUMPRODUCT(MAX((T_PlannedOrders[Part Name]=$A1113)*(T_PlannedOrders[WeekIndex]=78)*(T_PlannedOrders[EffectiveQty]&gt;0)*T_PlannedOrders[Order_Month])),"m月")&amp;"発注)")</f>
        <v/>
      </c>
      <c r="CD1127">
        <f>IF(SUMIFS(T_PlannedOrders[EffectiveQty],T_PlannedOrders[Part Name],$A1113,T_PlannedOrders[WeekIndex],79)=0,"",SUMIFS(T_PlannedOrders[EffectiveQty],T_PlannedOrders[Part Name],$A1113,T_PlannedOrders[WeekIndex],79)&amp;" ("&amp;TEXT(SUMPRODUCT(MAX((T_PlannedOrders[Part Name]=$A1113)*(T_PlannedOrders[WeekIndex]=79)*(T_PlannedOrders[EffectiveQty]&gt;0)*T_PlannedOrders[Order_Month])),"m月")&amp;"発注)")</f>
        <v/>
      </c>
      <c r="CE1127">
        <f>IF(SUMIFS(T_PlannedOrders[EffectiveQty],T_PlannedOrders[Part Name],$A1113,T_PlannedOrders[WeekIndex],80)=0,"",SUMIFS(T_PlannedOrders[EffectiveQty],T_PlannedOrders[Part Name],$A1113,T_PlannedOrders[WeekIndex],80)&amp;" ("&amp;TEXT(SUMPRODUCT(MAX((T_PlannedOrders[Part Name]=$A1113)*(T_PlannedOrders[WeekIndex]=80)*(T_PlannedOrders[EffectiveQty]&gt;0)*T_PlannedOrders[Order_Month])),"m月")&amp;"発注)")</f>
        <v/>
      </c>
      <c r="CF1127">
        <f>IF(SUMIFS(T_PlannedOrders[EffectiveQty],T_PlannedOrders[Part Name],$A1113,T_PlannedOrders[WeekIndex],81)=0,"",SUMIFS(T_PlannedOrders[EffectiveQty],T_PlannedOrders[Part Name],$A1113,T_PlannedOrders[WeekIndex],81)&amp;" ("&amp;TEXT(SUMPRODUCT(MAX((T_PlannedOrders[Part Name]=$A1113)*(T_PlannedOrders[WeekIndex]=81)*(T_PlannedOrders[EffectiveQty]&gt;0)*T_PlannedOrders[Order_Month])),"m月")&amp;"発注)")</f>
        <v/>
      </c>
      <c r="CG1127">
        <f>IF(SUMIFS(T_PlannedOrders[EffectiveQty],T_PlannedOrders[Part Name],$A1113,T_PlannedOrders[WeekIndex],82)=0,"",SUMIFS(T_PlannedOrders[EffectiveQty],T_PlannedOrders[Part Name],$A1113,T_PlannedOrders[WeekIndex],82)&amp;" ("&amp;TEXT(SUMPRODUCT(MAX((T_PlannedOrders[Part Name]=$A1113)*(T_PlannedOrders[WeekIndex]=82)*(T_PlannedOrders[EffectiveQty]&gt;0)*T_PlannedOrders[Order_Month])),"m月")&amp;"発注)")</f>
        <v/>
      </c>
      <c r="CH1127">
        <f>IF(SUMIFS(T_PlannedOrders[EffectiveQty],T_PlannedOrders[Part Name],$A1113,T_PlannedOrders[WeekIndex],83)=0,"",SUMIFS(T_PlannedOrders[EffectiveQty],T_PlannedOrders[Part Name],$A1113,T_PlannedOrders[WeekIndex],83)&amp;" ("&amp;TEXT(SUMPRODUCT(MAX((T_PlannedOrders[Part Name]=$A1113)*(T_PlannedOrders[WeekIndex]=83)*(T_PlannedOrders[EffectiveQty]&gt;0)*T_PlannedOrders[Order_Month])),"m月")&amp;"発注)")</f>
        <v/>
      </c>
      <c r="CI1127">
        <f>IF(SUMIFS(T_PlannedOrders[EffectiveQty],T_PlannedOrders[Part Name],$A1113,T_PlannedOrders[WeekIndex],84)=0,"",SUMIFS(T_PlannedOrders[EffectiveQty],T_PlannedOrders[Part Name],$A1113,T_PlannedOrders[WeekIndex],84)&amp;" ("&amp;TEXT(SUMPRODUCT(MAX((T_PlannedOrders[Part Name]=$A1113)*(T_PlannedOrders[WeekIndex]=84)*(T_PlannedOrders[EffectiveQty]&gt;0)*T_PlannedOrders[Order_Month])),"m月")&amp;"発注)")</f>
        <v/>
      </c>
      <c r="CJ1127">
        <f>IF(SUMIFS(T_PlannedOrders[EffectiveQty],T_PlannedOrders[Part Name],$A1113,T_PlannedOrders[WeekIndex],85)=0,"",SUMIFS(T_PlannedOrders[EffectiveQty],T_PlannedOrders[Part Name],$A1113,T_PlannedOrders[WeekIndex],85)&amp;" ("&amp;TEXT(SUMPRODUCT(MAX((T_PlannedOrders[Part Name]=$A1113)*(T_PlannedOrders[WeekIndex]=85)*(T_PlannedOrders[EffectiveQty]&gt;0)*T_PlannedOrders[Order_Month])),"m月")&amp;"発注)")</f>
        <v/>
      </c>
      <c r="CK1127">
        <f>IF(SUMIFS(T_PlannedOrders[EffectiveQty],T_PlannedOrders[Part Name],$A1113,T_PlannedOrders[WeekIndex],86)=0,"",SUMIFS(T_PlannedOrders[EffectiveQty],T_PlannedOrders[Part Name],$A1113,T_PlannedOrders[WeekIndex],86)&amp;" ("&amp;TEXT(SUMPRODUCT(MAX((T_PlannedOrders[Part Name]=$A1113)*(T_PlannedOrders[WeekIndex]=86)*(T_PlannedOrders[EffectiveQty]&gt;0)*T_PlannedOrders[Order_Month])),"m月")&amp;"発注)")</f>
        <v/>
      </c>
      <c r="CL1127">
        <f>IF(SUMIFS(T_PlannedOrders[EffectiveQty],T_PlannedOrders[Part Name],$A1113,T_PlannedOrders[WeekIndex],87)=0,"",SUMIFS(T_PlannedOrders[EffectiveQty],T_PlannedOrders[Part Name],$A1113,T_PlannedOrders[WeekIndex],87)&amp;" ("&amp;TEXT(SUMPRODUCT(MAX((T_PlannedOrders[Part Name]=$A1113)*(T_PlannedOrders[WeekIndex]=87)*(T_PlannedOrders[EffectiveQty]&gt;0)*T_PlannedOrders[Order_Month])),"m月")&amp;"発注)")</f>
        <v/>
      </c>
      <c r="CM1127">
        <f>IF(SUMIFS(T_PlannedOrders[EffectiveQty],T_PlannedOrders[Part Name],$A1113,T_PlannedOrders[WeekIndex],88)=0,"",SUMIFS(T_PlannedOrders[EffectiveQty],T_PlannedOrders[Part Name],$A1113,T_PlannedOrders[WeekIndex],88)&amp;" ("&amp;TEXT(SUMPRODUCT(MAX((T_PlannedOrders[Part Name]=$A1113)*(T_PlannedOrders[WeekIndex]=88)*(T_PlannedOrders[EffectiveQty]&gt;0)*T_PlannedOrders[Order_Month])),"m月")&amp;"発注)")</f>
        <v/>
      </c>
      <c r="CN1127">
        <f>IF(SUMIFS(T_PlannedOrders[EffectiveQty],T_PlannedOrders[Part Name],$A1113,T_PlannedOrders[WeekIndex],89)=0,"",SUMIFS(T_PlannedOrders[EffectiveQty],T_PlannedOrders[Part Name],$A1113,T_PlannedOrders[WeekIndex],89)&amp;" ("&amp;TEXT(SUMPRODUCT(MAX((T_PlannedOrders[Part Name]=$A1113)*(T_PlannedOrders[WeekIndex]=89)*(T_PlannedOrders[EffectiveQty]&gt;0)*T_PlannedOrders[Order_Month])),"m月")&amp;"発注)")</f>
        <v/>
      </c>
      <c r="CO1127">
        <f>IF(SUMIFS(T_PlannedOrders[EffectiveQty],T_PlannedOrders[Part Name],$A1113,T_PlannedOrders[WeekIndex],90)=0,"",SUMIFS(T_PlannedOrders[EffectiveQty],T_PlannedOrders[Part Name],$A1113,T_PlannedOrders[WeekIndex],90)&amp;" ("&amp;TEXT(SUMPRODUCT(MAX((T_PlannedOrders[Part Name]=$A1113)*(T_PlannedOrders[WeekIndex]=90)*(T_PlannedOrders[EffectiveQty]&gt;0)*T_PlannedOrders[Order_Month])),"m月")&amp;"発注)")</f>
        <v/>
      </c>
      <c r="CP1127">
        <f>IF(SUMIFS(T_PlannedOrders[EffectiveQty],T_PlannedOrders[Part Name],$A1113,T_PlannedOrders[WeekIndex],91)=0,"",SUMIFS(T_PlannedOrders[EffectiveQty],T_PlannedOrders[Part Name],$A1113,T_PlannedOrders[WeekIndex],91)&amp;" ("&amp;TEXT(SUMPRODUCT(MAX((T_PlannedOrders[Part Name]=$A1113)*(T_PlannedOrders[WeekIndex]=91)*(T_PlannedOrders[EffectiveQty]&gt;0)*T_PlannedOrders[Order_Month])),"m月")&amp;"発注)")</f>
        <v/>
      </c>
      <c r="CQ1127">
        <f>IF(SUMIFS(T_PlannedOrders[EffectiveQty],T_PlannedOrders[Part Name],$A1113,T_PlannedOrders[WeekIndex],92)=0,"",SUMIFS(T_PlannedOrders[EffectiveQty],T_PlannedOrders[Part Name],$A1113,T_PlannedOrders[WeekIndex],92)&amp;" ("&amp;TEXT(SUMPRODUCT(MAX((T_PlannedOrders[Part Name]=$A1113)*(T_PlannedOrders[WeekIndex]=92)*(T_PlannedOrders[EffectiveQty]&gt;0)*T_PlannedOrders[Order_Month])),"m月")&amp;"発注)")</f>
        <v/>
      </c>
      <c r="CR1127">
        <f>IF(SUMIFS(T_PlannedOrders[EffectiveQty],T_PlannedOrders[Part Name],$A1113,T_PlannedOrders[WeekIndex],93)=0,"",SUMIFS(T_PlannedOrders[EffectiveQty],T_PlannedOrders[Part Name],$A1113,T_PlannedOrders[WeekIndex],93)&amp;" ("&amp;TEXT(SUMPRODUCT(MAX((T_PlannedOrders[Part Name]=$A1113)*(T_PlannedOrders[WeekIndex]=93)*(T_PlannedOrders[EffectiveQty]&gt;0)*T_PlannedOrders[Order_Month])),"m月")&amp;"発注)")</f>
        <v/>
      </c>
      <c r="CS1127">
        <f>IF(SUMIFS(T_PlannedOrders[EffectiveQty],T_PlannedOrders[Part Name],$A1113,T_PlannedOrders[WeekIndex],94)=0,"",SUMIFS(T_PlannedOrders[EffectiveQty],T_PlannedOrders[Part Name],$A1113,T_PlannedOrders[WeekIndex],94)&amp;" ("&amp;TEXT(SUMPRODUCT(MAX((T_PlannedOrders[Part Name]=$A1113)*(T_PlannedOrders[WeekIndex]=94)*(T_PlannedOrders[EffectiveQty]&gt;0)*T_PlannedOrders[Order_Month])),"m月")&amp;"発注)")</f>
        <v/>
      </c>
      <c r="CT1127">
        <f>IF(SUMIFS(T_PlannedOrders[EffectiveQty],T_PlannedOrders[Part Name],$A1113,T_PlannedOrders[WeekIndex],95)=0,"",SUMIFS(T_PlannedOrders[EffectiveQty],T_PlannedOrders[Part Name],$A1113,T_PlannedOrders[WeekIndex],95)&amp;" ("&amp;TEXT(SUMPRODUCT(MAX((T_PlannedOrders[Part Name]=$A1113)*(T_PlannedOrders[WeekIndex]=95)*(T_PlannedOrders[EffectiveQty]&gt;0)*T_PlannedOrders[Order_Month])),"m月")&amp;"発注)")</f>
        <v/>
      </c>
      <c r="CU1127">
        <f>IF(SUMIFS(T_PlannedOrders[EffectiveQty],T_PlannedOrders[Part Name],$A1113,T_PlannedOrders[WeekIndex],96)=0,"",SUMIFS(T_PlannedOrders[EffectiveQty],T_PlannedOrders[Part Name],$A1113,T_PlannedOrders[WeekIndex],96)&amp;" ("&amp;TEXT(SUMPRODUCT(MAX((T_PlannedOrders[Part Name]=$A1113)*(T_PlannedOrders[WeekIndex]=96)*(T_PlannedOrders[EffectiveQty]&gt;0)*T_PlannedOrders[Order_Month])),"m月")&amp;"発注)")</f>
        <v/>
      </c>
      <c r="CV1127">
        <f>IF(SUMIFS(T_PlannedOrders[EffectiveQty],T_PlannedOrders[Part Name],$A1113,T_PlannedOrders[WeekIndex],97)=0,"",SUMIFS(T_PlannedOrders[EffectiveQty],T_PlannedOrders[Part Name],$A1113,T_PlannedOrders[WeekIndex],97)&amp;" ("&amp;TEXT(SUMPRODUCT(MAX((T_PlannedOrders[Part Name]=$A1113)*(T_PlannedOrders[WeekIndex]=97)*(T_PlannedOrders[EffectiveQty]&gt;0)*T_PlannedOrders[Order_Month])),"m月")&amp;"発注)")</f>
        <v/>
      </c>
      <c r="CW1127">
        <f>IF(SUMIFS(T_PlannedOrders[EffectiveQty],T_PlannedOrders[Part Name],$A1113,T_PlannedOrders[WeekIndex],98)=0,"",SUMIFS(T_PlannedOrders[EffectiveQty],T_PlannedOrders[Part Name],$A1113,T_PlannedOrders[WeekIndex],98)&amp;" ("&amp;TEXT(SUMPRODUCT(MAX((T_PlannedOrders[Part Name]=$A1113)*(T_PlannedOrders[WeekIndex]=98)*(T_PlannedOrders[EffectiveQty]&gt;0)*T_PlannedOrders[Order_Month])),"m月")&amp;"発注)")</f>
        <v/>
      </c>
      <c r="CX1127">
        <f>IF(SUMIFS(T_PlannedOrders[EffectiveQty],T_PlannedOrders[Part Name],$A1113,T_PlannedOrders[WeekIndex],99)=0,"",SUMIFS(T_PlannedOrders[EffectiveQty],T_PlannedOrders[Part Name],$A1113,T_PlannedOrders[WeekIndex],99)&amp;" ("&amp;TEXT(SUMPRODUCT(MAX((T_PlannedOrders[Part Name]=$A1113)*(T_PlannedOrders[WeekIndex]=99)*(T_PlannedOrders[EffectiveQty]&gt;0)*T_PlannedOrders[Order_Month])),"m月")&amp;"発注)")</f>
        <v/>
      </c>
      <c r="CY1127">
        <f>IF(SUMIFS(T_PlannedOrders[EffectiveQty],T_PlannedOrders[Part Name],$A1113,T_PlannedOrders[WeekIndex],100)=0,"",SUMIFS(T_PlannedOrders[EffectiveQty],T_PlannedOrders[Part Name],$A1113,T_PlannedOrders[WeekIndex],100)&amp;" ("&amp;TEXT(SUMPRODUCT(MAX((T_PlannedOrders[Part Name]=$A1113)*(T_PlannedOrders[WeekIndex]=100)*(T_PlannedOrders[EffectiveQty]&gt;0)*T_PlannedOrders[Order_Month])),"m月")&amp;"発注)")</f>
        <v/>
      </c>
      <c r="CZ1127">
        <f>IF(SUMIFS(T_PlannedOrders[EffectiveQty],T_PlannedOrders[Part Name],$A1113,T_PlannedOrders[WeekIndex],101)=0,"",SUMIFS(T_PlannedOrders[EffectiveQty],T_PlannedOrders[Part Name],$A1113,T_PlannedOrders[WeekIndex],101)&amp;" ("&amp;TEXT(SUMPRODUCT(MAX((T_PlannedOrders[Part Name]=$A1113)*(T_PlannedOrders[WeekIndex]=101)*(T_PlannedOrders[EffectiveQty]&gt;0)*T_PlannedOrders[Order_Month])),"m月")&amp;"発注)")</f>
        <v/>
      </c>
      <c r="DA1127">
        <f>IF(SUMIFS(T_PlannedOrders[EffectiveQty],T_PlannedOrders[Part Name],$A1113,T_PlannedOrders[WeekIndex],102)=0,"",SUMIFS(T_PlannedOrders[EffectiveQty],T_PlannedOrders[Part Name],$A1113,T_PlannedOrders[WeekIndex],102)&amp;" ("&amp;TEXT(SUMPRODUCT(MAX((T_PlannedOrders[Part Name]=$A1113)*(T_PlannedOrders[WeekIndex]=102)*(T_PlannedOrders[EffectiveQty]&gt;0)*T_PlannedOrders[Order_Month])),"m月")&amp;"発注)")</f>
        <v/>
      </c>
      <c r="DB1127">
        <f>IF(SUMIFS(T_PlannedOrders[EffectiveQty],T_PlannedOrders[Part Name],$A1113,T_PlannedOrders[WeekIndex],103)=0,"",SUMIFS(T_PlannedOrders[EffectiveQty],T_PlannedOrders[Part Name],$A1113,T_PlannedOrders[WeekIndex],103)&amp;" ("&amp;TEXT(SUMPRODUCT(MAX((T_PlannedOrders[Part Name]=$A1113)*(T_PlannedOrders[WeekIndex]=103)*(T_PlannedOrders[EffectiveQty]&gt;0)*T_PlannedOrders[Order_Month])),"m月")&amp;"発注)")</f>
        <v/>
      </c>
      <c r="DC1127">
        <f>IF(SUMIFS(T_PlannedOrders[EffectiveQty],T_PlannedOrders[Part Name],$A1113,T_PlannedOrders[WeekIndex],104)=0,"",SUMIFS(T_PlannedOrders[EffectiveQty],T_PlannedOrders[Part Name],$A1113,T_PlannedOrders[WeekIndex],104)&amp;" ("&amp;TEXT(SUMPRODUCT(MAX((T_PlannedOrders[Part Name]=$A1113)*(T_PlannedOrders[WeekIndex]=104)*(T_PlannedOrders[EffectiveQty]&gt;0)*T_PlannedOrders[Order_Month])),"m月")&amp;"発注)")</f>
        <v/>
      </c>
    </row>
    <row r="1128">
      <c r="B1128" s="4" t="inlineStr">
        <is>
          <t>合計在庫(週末時点,kg)</t>
        </is>
      </c>
      <c r="D1128">
        <f>'Grid_Stock'!B26</f>
        <v/>
      </c>
      <c r="E1128">
        <f>'Grid_Stock'!C26</f>
        <v/>
      </c>
      <c r="F1128">
        <f>'Grid_Stock'!D26</f>
        <v/>
      </c>
      <c r="G1128">
        <f>'Grid_Stock'!E26</f>
        <v/>
      </c>
      <c r="H1128">
        <f>'Grid_Stock'!F26</f>
        <v/>
      </c>
      <c r="I1128">
        <f>'Grid_Stock'!G26</f>
        <v/>
      </c>
      <c r="J1128">
        <f>'Grid_Stock'!H26</f>
        <v/>
      </c>
      <c r="K1128">
        <f>'Grid_Stock'!I26</f>
        <v/>
      </c>
      <c r="L1128">
        <f>'Grid_Stock'!J26</f>
        <v/>
      </c>
      <c r="M1128">
        <f>'Grid_Stock'!K26</f>
        <v/>
      </c>
      <c r="N1128">
        <f>'Grid_Stock'!L26</f>
        <v/>
      </c>
      <c r="O1128">
        <f>'Grid_Stock'!M26</f>
        <v/>
      </c>
      <c r="P1128">
        <f>'Grid_Stock'!N26</f>
        <v/>
      </c>
      <c r="Q1128">
        <f>'Grid_Stock'!O26</f>
        <v/>
      </c>
      <c r="R1128">
        <f>'Grid_Stock'!P26</f>
        <v/>
      </c>
      <c r="S1128">
        <f>'Grid_Stock'!Q26</f>
        <v/>
      </c>
      <c r="T1128">
        <f>'Grid_Stock'!R26</f>
        <v/>
      </c>
      <c r="U1128">
        <f>'Grid_Stock'!S26</f>
        <v/>
      </c>
      <c r="V1128">
        <f>'Grid_Stock'!T26</f>
        <v/>
      </c>
      <c r="W1128">
        <f>'Grid_Stock'!U26</f>
        <v/>
      </c>
      <c r="X1128">
        <f>'Grid_Stock'!V26</f>
        <v/>
      </c>
      <c r="Y1128">
        <f>'Grid_Stock'!W26</f>
        <v/>
      </c>
      <c r="Z1128">
        <f>'Grid_Stock'!X26</f>
        <v/>
      </c>
      <c r="AA1128">
        <f>'Grid_Stock'!Y26</f>
        <v/>
      </c>
      <c r="AB1128">
        <f>'Grid_Stock'!Z26</f>
        <v/>
      </c>
      <c r="AC1128">
        <f>'Grid_Stock'!AA26</f>
        <v/>
      </c>
      <c r="AD1128">
        <f>'Grid_Stock'!AB26</f>
        <v/>
      </c>
      <c r="AE1128">
        <f>'Grid_Stock'!AC26</f>
        <v/>
      </c>
      <c r="AF1128">
        <f>'Grid_Stock'!AD26</f>
        <v/>
      </c>
      <c r="AG1128">
        <f>'Grid_Stock'!AE26</f>
        <v/>
      </c>
      <c r="AH1128">
        <f>'Grid_Stock'!AF26</f>
        <v/>
      </c>
      <c r="AI1128">
        <f>'Grid_Stock'!AG26</f>
        <v/>
      </c>
      <c r="AJ1128">
        <f>'Grid_Stock'!AH26</f>
        <v/>
      </c>
      <c r="AK1128">
        <f>'Grid_Stock'!AI26</f>
        <v/>
      </c>
      <c r="AL1128">
        <f>'Grid_Stock'!AJ26</f>
        <v/>
      </c>
      <c r="AM1128">
        <f>'Grid_Stock'!AK26</f>
        <v/>
      </c>
      <c r="AN1128">
        <f>'Grid_Stock'!AL26</f>
        <v/>
      </c>
      <c r="AO1128">
        <f>'Grid_Stock'!AM26</f>
        <v/>
      </c>
      <c r="AP1128">
        <f>'Grid_Stock'!AN26</f>
        <v/>
      </c>
      <c r="AQ1128">
        <f>'Grid_Stock'!AO26</f>
        <v/>
      </c>
      <c r="AR1128">
        <f>'Grid_Stock'!AP26</f>
        <v/>
      </c>
      <c r="AS1128">
        <f>'Grid_Stock'!AQ26</f>
        <v/>
      </c>
      <c r="AT1128">
        <f>'Grid_Stock'!AR26</f>
        <v/>
      </c>
      <c r="AU1128">
        <f>'Grid_Stock'!AS26</f>
        <v/>
      </c>
      <c r="AV1128">
        <f>'Grid_Stock'!AT26</f>
        <v/>
      </c>
      <c r="AW1128">
        <f>'Grid_Stock'!AU26</f>
        <v/>
      </c>
      <c r="AX1128">
        <f>'Grid_Stock'!AV26</f>
        <v/>
      </c>
      <c r="AY1128">
        <f>'Grid_Stock'!AW26</f>
        <v/>
      </c>
      <c r="AZ1128">
        <f>'Grid_Stock'!AX26</f>
        <v/>
      </c>
      <c r="BA1128">
        <f>'Grid_Stock'!AY26</f>
        <v/>
      </c>
      <c r="BB1128">
        <f>'Grid_Stock'!AZ26</f>
        <v/>
      </c>
      <c r="BC1128">
        <f>'Grid_Stock'!BA26</f>
        <v/>
      </c>
      <c r="BD1128">
        <f>'Grid_Stock'!BB26</f>
        <v/>
      </c>
      <c r="BE1128">
        <f>'Grid_Stock'!BC26</f>
        <v/>
      </c>
      <c r="BF1128">
        <f>'Grid_Stock'!BD26</f>
        <v/>
      </c>
      <c r="BG1128">
        <f>'Grid_Stock'!BE26</f>
        <v/>
      </c>
      <c r="BH1128">
        <f>'Grid_Stock'!BF26</f>
        <v/>
      </c>
      <c r="BI1128">
        <f>'Grid_Stock'!BG26</f>
        <v/>
      </c>
      <c r="BJ1128">
        <f>'Grid_Stock'!BH26</f>
        <v/>
      </c>
      <c r="BK1128">
        <f>'Grid_Stock'!BI26</f>
        <v/>
      </c>
      <c r="BL1128">
        <f>'Grid_Stock'!BJ26</f>
        <v/>
      </c>
      <c r="BM1128">
        <f>'Grid_Stock'!BK26</f>
        <v/>
      </c>
      <c r="BN1128">
        <f>'Grid_Stock'!BL26</f>
        <v/>
      </c>
      <c r="BO1128">
        <f>'Grid_Stock'!BM26</f>
        <v/>
      </c>
      <c r="BP1128">
        <f>'Grid_Stock'!BN26</f>
        <v/>
      </c>
      <c r="BQ1128">
        <f>'Grid_Stock'!BO26</f>
        <v/>
      </c>
      <c r="BR1128">
        <f>'Grid_Stock'!BP26</f>
        <v/>
      </c>
      <c r="BS1128">
        <f>'Grid_Stock'!BQ26</f>
        <v/>
      </c>
      <c r="BT1128">
        <f>'Grid_Stock'!BR26</f>
        <v/>
      </c>
      <c r="BU1128">
        <f>'Grid_Stock'!BS26</f>
        <v/>
      </c>
      <c r="BV1128">
        <f>'Grid_Stock'!BT26</f>
        <v/>
      </c>
      <c r="BW1128">
        <f>'Grid_Stock'!BU26</f>
        <v/>
      </c>
      <c r="BX1128">
        <f>'Grid_Stock'!BV26</f>
        <v/>
      </c>
      <c r="BY1128">
        <f>'Grid_Stock'!BW26</f>
        <v/>
      </c>
      <c r="BZ1128">
        <f>'Grid_Stock'!BX26</f>
        <v/>
      </c>
      <c r="CA1128">
        <f>'Grid_Stock'!BY26</f>
        <v/>
      </c>
      <c r="CB1128">
        <f>'Grid_Stock'!BZ26</f>
        <v/>
      </c>
      <c r="CC1128">
        <f>'Grid_Stock'!CA26</f>
        <v/>
      </c>
      <c r="CD1128">
        <f>'Grid_Stock'!CB26</f>
        <v/>
      </c>
      <c r="CE1128">
        <f>'Grid_Stock'!CC26</f>
        <v/>
      </c>
      <c r="CF1128">
        <f>'Grid_Stock'!CD26</f>
        <v/>
      </c>
      <c r="CG1128">
        <f>'Grid_Stock'!CE26</f>
        <v/>
      </c>
      <c r="CH1128">
        <f>'Grid_Stock'!CF26</f>
        <v/>
      </c>
      <c r="CI1128">
        <f>'Grid_Stock'!CG26</f>
        <v/>
      </c>
      <c r="CJ1128">
        <f>'Grid_Stock'!CH26</f>
        <v/>
      </c>
      <c r="CK1128">
        <f>'Grid_Stock'!CI26</f>
        <v/>
      </c>
      <c r="CL1128">
        <f>'Grid_Stock'!CJ26</f>
        <v/>
      </c>
      <c r="CM1128">
        <f>'Grid_Stock'!CK26</f>
        <v/>
      </c>
      <c r="CN1128">
        <f>'Grid_Stock'!CL26</f>
        <v/>
      </c>
      <c r="CO1128">
        <f>'Grid_Stock'!CM26</f>
        <v/>
      </c>
      <c r="CP1128">
        <f>'Grid_Stock'!CN26</f>
        <v/>
      </c>
      <c r="CQ1128">
        <f>'Grid_Stock'!CO26</f>
        <v/>
      </c>
      <c r="CR1128">
        <f>'Grid_Stock'!CP26</f>
        <v/>
      </c>
      <c r="CS1128">
        <f>'Grid_Stock'!CQ26</f>
        <v/>
      </c>
      <c r="CT1128">
        <f>'Grid_Stock'!CR26</f>
        <v/>
      </c>
      <c r="CU1128">
        <f>'Grid_Stock'!CS26</f>
        <v/>
      </c>
      <c r="CV1128">
        <f>'Grid_Stock'!CT26</f>
        <v/>
      </c>
      <c r="CW1128">
        <f>'Grid_Stock'!CU26</f>
        <v/>
      </c>
      <c r="CX1128">
        <f>'Grid_Stock'!CV26</f>
        <v/>
      </c>
      <c r="CY1128">
        <f>'Grid_Stock'!CW26</f>
        <v/>
      </c>
      <c r="CZ1128">
        <f>'Grid_Stock'!CX26</f>
        <v/>
      </c>
      <c r="DA1128">
        <f>'Grid_Stock'!CY26</f>
        <v/>
      </c>
      <c r="DB1128">
        <f>'Grid_Stock'!CZ26</f>
        <v/>
      </c>
      <c r="DC1128">
        <f>'Grid_Stock'!DA26</f>
        <v/>
      </c>
    </row>
    <row r="1129">
      <c r="B1129" s="16" t="inlineStr">
        <is>
          <t>（発注の目安はDashboardの基準在庫[下限/上限]と色分けを参照）</t>
        </is>
      </c>
    </row>
    <row r="1131">
      <c r="A1131" s="14" t="inlineStr">
        <is>
          <t>CHEM-1570</t>
        </is>
      </c>
      <c r="B1131" s="14" t="inlineStr">
        <is>
          <t>NOPAGOAL A</t>
        </is>
      </c>
      <c r="C1131" s="15" t="n"/>
      <c r="D1131" s="14" t="n"/>
      <c r="E1131" s="14" t="n"/>
      <c r="F1131" s="14" t="n"/>
      <c r="G1131" s="14" t="n"/>
      <c r="H1131" s="14" t="n"/>
      <c r="I1131" s="14" t="n"/>
      <c r="J1131" s="14" t="n"/>
      <c r="K1131" s="14" t="n"/>
      <c r="L1131" s="14" t="n"/>
      <c r="M1131" s="14" t="n"/>
      <c r="N1131" s="14" t="n"/>
      <c r="O1131" s="14" t="n"/>
      <c r="P1131" s="14" t="n"/>
      <c r="Q1131" s="14" t="n"/>
      <c r="R1131" s="14" t="n"/>
      <c r="S1131" s="14" t="n"/>
      <c r="T1131" s="14" t="n"/>
      <c r="U1131" s="14" t="n"/>
      <c r="V1131" s="14" t="n"/>
      <c r="W1131" s="14" t="n"/>
      <c r="X1131" s="14" t="n"/>
      <c r="Y1131" s="14" t="n"/>
      <c r="Z1131" s="14" t="n"/>
      <c r="AA1131" s="14" t="n"/>
      <c r="AB1131" s="14" t="n"/>
      <c r="AC1131" s="14" t="n"/>
      <c r="AD1131" s="14" t="n"/>
      <c r="AE1131" s="14" t="n"/>
      <c r="AF1131" s="14" t="n"/>
      <c r="AG1131" s="14" t="n"/>
      <c r="AH1131" s="14" t="n"/>
      <c r="AI1131" s="14" t="n"/>
      <c r="AJ1131" s="14" t="n"/>
      <c r="AK1131" s="14" t="n"/>
      <c r="AL1131" s="14" t="n"/>
      <c r="AM1131" s="14" t="n"/>
      <c r="AN1131" s="14" t="n"/>
      <c r="AO1131" s="14" t="n"/>
      <c r="AP1131" s="14" t="n"/>
      <c r="AQ1131" s="14" t="n"/>
      <c r="AR1131" s="14" t="n"/>
      <c r="AS1131" s="14" t="n"/>
      <c r="AT1131" s="14" t="n"/>
      <c r="AU1131" s="14" t="n"/>
      <c r="AV1131" s="14" t="n"/>
      <c r="AW1131" s="14" t="n"/>
      <c r="AX1131" s="14" t="n"/>
      <c r="AY1131" s="14" t="n"/>
      <c r="AZ1131" s="14" t="n"/>
      <c r="BA1131" s="14" t="n"/>
      <c r="BB1131" s="14" t="n"/>
      <c r="BC1131" s="14" t="n"/>
      <c r="BD1131" s="14" t="n"/>
      <c r="BE1131" s="14" t="n"/>
      <c r="BF1131" s="14" t="n"/>
      <c r="BG1131" s="14" t="n"/>
      <c r="BH1131" s="14" t="n"/>
      <c r="BI1131" s="14" t="n"/>
      <c r="BJ1131" s="14" t="n"/>
      <c r="BK1131" s="14" t="n"/>
      <c r="BL1131" s="14" t="n"/>
      <c r="BM1131" s="14" t="n"/>
      <c r="BN1131" s="14" t="n"/>
      <c r="BO1131" s="14" t="n"/>
      <c r="BP1131" s="14" t="n"/>
      <c r="BQ1131" s="14" t="n"/>
      <c r="BR1131" s="14" t="n"/>
      <c r="BS1131" s="14" t="n"/>
      <c r="BT1131" s="14" t="n"/>
      <c r="BU1131" s="14" t="n"/>
      <c r="BV1131" s="14" t="n"/>
      <c r="BW1131" s="14" t="n"/>
      <c r="BX1131" s="14" t="n"/>
      <c r="BY1131" s="14" t="n"/>
      <c r="BZ1131" s="14" t="n"/>
      <c r="CA1131" s="14" t="n"/>
      <c r="CB1131" s="14" t="n"/>
      <c r="CC1131" s="14" t="n"/>
      <c r="CD1131" s="14" t="n"/>
      <c r="CE1131" s="14" t="n"/>
      <c r="CF1131" s="14" t="n"/>
      <c r="CG1131" s="14" t="n"/>
      <c r="CH1131" s="14" t="n"/>
      <c r="CI1131" s="14" t="n"/>
      <c r="CJ1131" s="14" t="n"/>
      <c r="CK1131" s="14" t="n"/>
      <c r="CL1131" s="14" t="n"/>
      <c r="CM1131" s="14" t="n"/>
      <c r="CN1131" s="14" t="n"/>
      <c r="CO1131" s="14" t="n"/>
      <c r="CP1131" s="14" t="n"/>
      <c r="CQ1131" s="14" t="n"/>
      <c r="CR1131" s="14" t="n"/>
      <c r="CS1131" s="14" t="n"/>
      <c r="CT1131" s="14" t="n"/>
      <c r="CU1131" s="14" t="n"/>
      <c r="CV1131" s="14" t="n"/>
      <c r="CW1131" s="14" t="n"/>
      <c r="CX1131" s="14" t="n"/>
      <c r="CY1131" s="14" t="n"/>
      <c r="CZ1131" s="14" t="n"/>
      <c r="DA1131" s="14" t="n"/>
      <c r="DB1131" s="14" t="n"/>
      <c r="DC1131" s="14" t="n"/>
    </row>
    <row r="1132">
      <c r="B1132" t="inlineStr">
        <is>
          <t>TSP-1388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Name],$A1131)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TSP-1444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Name],$A1131)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TSP-1445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7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Name],$A1131)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TSP-1446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7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Name],$A1131)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7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Name],$A1131)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7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Name],$A1131)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7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Name],$A1131)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7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Name],$A1131)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TSP-655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7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Name],$A1131)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TSP-656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7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Name],$A1131)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TSP-903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7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Name],$A1131)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7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Name],$A1131)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TSP-937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7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Name],$A1131)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TSP-959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7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Name],$A1131)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t="inlineStr">
        <is>
          <t>TSP-966</t>
        </is>
      </c>
      <c r="C1160" t="inlineStr">
        <is>
          <t>No. of batches</t>
        </is>
      </c>
      <c r="D1160">
        <f>IFERROR(INDEX(PP_Grid[#Data],$DD1160,2),0)</f>
        <v/>
      </c>
      <c r="E1160">
        <f>IFERROR(INDEX(PP_Grid[#Data],$DD1160,3),0)</f>
        <v/>
      </c>
      <c r="F1160">
        <f>IFERROR(INDEX(PP_Grid[#Data],$DD1160,4),0)</f>
        <v/>
      </c>
      <c r="G1160">
        <f>IFERROR(INDEX(PP_Grid[#Data],$DD1160,5),0)</f>
        <v/>
      </c>
      <c r="H1160">
        <f>IFERROR(INDEX(PP_Grid[#Data],$DD1160,6),0)</f>
        <v/>
      </c>
      <c r="I1160">
        <f>IFERROR(INDEX(PP_Grid[#Data],$DD1160,7),0)</f>
        <v/>
      </c>
      <c r="J1160">
        <f>IFERROR(INDEX(PP_Grid[#Data],$DD1160,8),0)</f>
        <v/>
      </c>
      <c r="K1160">
        <f>IFERROR(INDEX(PP_Grid[#Data],$DD1160,9),0)</f>
        <v/>
      </c>
      <c r="L1160">
        <f>IFERROR(INDEX(PP_Grid[#Data],$DD1160,10),0)</f>
        <v/>
      </c>
      <c r="M1160">
        <f>IFERROR(INDEX(PP_Grid[#Data],$DD1160,11),0)</f>
        <v/>
      </c>
      <c r="N1160">
        <f>IFERROR(INDEX(PP_Grid[#Data],$DD1160,12),0)</f>
        <v/>
      </c>
      <c r="O1160">
        <f>IFERROR(INDEX(PP_Grid[#Data],$DD1160,13),0)</f>
        <v/>
      </c>
      <c r="P1160">
        <f>IFERROR(INDEX(PP_Grid[#Data],$DD1160,14),0)</f>
        <v/>
      </c>
      <c r="Q1160">
        <f>IFERROR(INDEX(PP_Grid[#Data],$DD1160,15),0)</f>
        <v/>
      </c>
      <c r="R1160">
        <f>IFERROR(INDEX(PP_Grid[#Data],$DD1160,16),0)</f>
        <v/>
      </c>
      <c r="S1160">
        <f>IFERROR(INDEX(PP_Grid[#Data],$DD1160,17),0)</f>
        <v/>
      </c>
      <c r="T1160">
        <f>IFERROR(INDEX(PP_Grid[#Data],$DD1160,18),0)</f>
        <v/>
      </c>
      <c r="U1160">
        <f>IFERROR(INDEX(PP_Grid[#Data],$DD1160,19),0)</f>
        <v/>
      </c>
      <c r="V1160">
        <f>IFERROR(INDEX(PP_Grid[#Data],$DD1160,20),0)</f>
        <v/>
      </c>
      <c r="W1160">
        <f>IFERROR(INDEX(PP_Grid[#Data],$DD1160,21),0)</f>
        <v/>
      </c>
      <c r="X1160">
        <f>IFERROR(INDEX(PP_Grid[#Data],$DD1160,22),0)</f>
        <v/>
      </c>
      <c r="Y1160">
        <f>IFERROR(INDEX(PP_Grid[#Data],$DD1160,23),0)</f>
        <v/>
      </c>
      <c r="Z1160">
        <f>IFERROR(INDEX(PP_Grid[#Data],$DD1160,24),0)</f>
        <v/>
      </c>
      <c r="AA1160">
        <f>IFERROR(INDEX(PP_Grid[#Data],$DD1160,25),0)</f>
        <v/>
      </c>
      <c r="AB1160">
        <f>IFERROR(INDEX(PP_Grid[#Data],$DD1160,26),0)</f>
        <v/>
      </c>
      <c r="AC1160">
        <f>IFERROR(INDEX(PP_Grid[#Data],$DD1160,27),0)</f>
        <v/>
      </c>
      <c r="AD1160">
        <f>IFERROR(INDEX(PP_Grid[#Data],$DD1160,28),0)</f>
        <v/>
      </c>
      <c r="AE1160">
        <f>IFERROR(INDEX(PP_Grid[#Data],$DD1160,29),0)</f>
        <v/>
      </c>
      <c r="AF1160">
        <f>IFERROR(INDEX(PP_Grid[#Data],$DD1160,30),0)</f>
        <v/>
      </c>
      <c r="AG1160">
        <f>IFERROR(INDEX(PP_Grid[#Data],$DD1160,31),0)</f>
        <v/>
      </c>
      <c r="AH1160">
        <f>IFERROR(INDEX(PP_Grid[#Data],$DD1160,32),0)</f>
        <v/>
      </c>
      <c r="AI1160">
        <f>IFERROR(INDEX(PP_Grid[#Data],$DD1160,33),0)</f>
        <v/>
      </c>
      <c r="AJ1160">
        <f>IFERROR(INDEX(PP_Grid[#Data],$DD1160,34),0)</f>
        <v/>
      </c>
      <c r="AK1160">
        <f>IFERROR(INDEX(PP_Grid[#Data],$DD1160,35),0)</f>
        <v/>
      </c>
      <c r="AL1160">
        <f>IFERROR(INDEX(PP_Grid[#Data],$DD1160,36),0)</f>
        <v/>
      </c>
      <c r="AM1160">
        <f>IFERROR(INDEX(PP_Grid[#Data],$DD1160,37),0)</f>
        <v/>
      </c>
      <c r="AN1160">
        <f>IFERROR(INDEX(PP_Grid[#Data],$DD1160,38),0)</f>
        <v/>
      </c>
      <c r="AO1160">
        <f>IFERROR(INDEX(PP_Grid[#Data],$DD1160,39),0)</f>
        <v/>
      </c>
      <c r="AP1160">
        <f>IFERROR(INDEX(PP_Grid[#Data],$DD1160,40),0)</f>
        <v/>
      </c>
      <c r="AQ1160">
        <f>IFERROR(INDEX(PP_Grid[#Data],$DD1160,41),0)</f>
        <v/>
      </c>
      <c r="AR1160">
        <f>IFERROR(INDEX(PP_Grid[#Data],$DD1160,42),0)</f>
        <v/>
      </c>
      <c r="AS1160">
        <f>IFERROR(INDEX(PP_Grid[#Data],$DD1160,43),0)</f>
        <v/>
      </c>
      <c r="AT1160">
        <f>IFERROR(INDEX(PP_Grid[#Data],$DD1160,44),0)</f>
        <v/>
      </c>
      <c r="AU1160">
        <f>IFERROR(INDEX(PP_Grid[#Data],$DD1160,45),0)</f>
        <v/>
      </c>
      <c r="AV1160">
        <f>IFERROR(INDEX(PP_Grid[#Data],$DD1160,46),0)</f>
        <v/>
      </c>
      <c r="AW1160">
        <f>IFERROR(INDEX(PP_Grid[#Data],$DD1160,47),0)</f>
        <v/>
      </c>
      <c r="AX1160">
        <f>IFERROR(INDEX(PP_Grid[#Data],$DD1160,48),0)</f>
        <v/>
      </c>
      <c r="AY1160">
        <f>IFERROR(INDEX(PP_Grid[#Data],$DD1160,49),0)</f>
        <v/>
      </c>
      <c r="AZ1160">
        <f>IFERROR(INDEX(PP_Grid[#Data],$DD1160,50),0)</f>
        <v/>
      </c>
      <c r="BA1160">
        <f>IFERROR(INDEX(PP_Grid[#Data],$DD1160,51),0)</f>
        <v/>
      </c>
      <c r="BB1160">
        <f>IFERROR(INDEX(PP_Grid[#Data],$DD1160,52),0)</f>
        <v/>
      </c>
      <c r="BC1160">
        <f>IFERROR(INDEX(PP_Grid[#Data],$DD1160,53),0)</f>
        <v/>
      </c>
      <c r="BD1160">
        <f>IFERROR(INDEX(PP_Grid[#Data],$DD1160,54),0)</f>
        <v/>
      </c>
      <c r="BE1160">
        <f>IFERROR(INDEX(PP_Grid[#Data],$DD1160,55),0)</f>
        <v/>
      </c>
      <c r="BF1160">
        <f>IFERROR(INDEX(PP_Grid[#Data],$DD1160,56),0)</f>
        <v/>
      </c>
      <c r="BG1160">
        <f>IFERROR(INDEX(PP_Grid[#Data],$DD1160,57),0)</f>
        <v/>
      </c>
      <c r="BH1160">
        <f>IFERROR(INDEX(PP_Grid[#Data],$DD1160,58),0)</f>
        <v/>
      </c>
      <c r="BI1160">
        <f>IFERROR(INDEX(PP_Grid[#Data],$DD1160,59),0)</f>
        <v/>
      </c>
      <c r="BJ1160">
        <f>IFERROR(INDEX(PP_Grid[#Data],$DD1160,60),0)</f>
        <v/>
      </c>
      <c r="BK1160">
        <f>IFERROR(INDEX(PP_Grid[#Data],$DD1160,61),0)</f>
        <v/>
      </c>
      <c r="BL1160">
        <f>IFERROR(INDEX(PP_Grid[#Data],$DD1160,62),0)</f>
        <v/>
      </c>
      <c r="BM1160">
        <f>IFERROR(INDEX(PP_Grid[#Data],$DD1160,63),0)</f>
        <v/>
      </c>
      <c r="BN1160">
        <f>IFERROR(INDEX(PP_Grid[#Data],$DD1160,64),0)</f>
        <v/>
      </c>
      <c r="BO1160">
        <f>IFERROR(INDEX(PP_Grid[#Data],$DD1160,65),0)</f>
        <v/>
      </c>
      <c r="BP1160">
        <f>IFERROR(INDEX(PP_Grid[#Data],$DD1160,66),0)</f>
        <v/>
      </c>
      <c r="BQ1160">
        <f>IFERROR(INDEX(PP_Grid[#Data],$DD1160,67),0)</f>
        <v/>
      </c>
      <c r="BR1160">
        <f>IFERROR(INDEX(PP_Grid[#Data],$DD1160,68),0)</f>
        <v/>
      </c>
      <c r="BS1160">
        <f>IFERROR(INDEX(PP_Grid[#Data],$DD1160,69),0)</f>
        <v/>
      </c>
      <c r="BT1160">
        <f>IFERROR(INDEX(PP_Grid[#Data],$DD1160,70),0)</f>
        <v/>
      </c>
      <c r="BU1160">
        <f>IFERROR(INDEX(PP_Grid[#Data],$DD1160,71),0)</f>
        <v/>
      </c>
      <c r="BV1160">
        <f>IFERROR(INDEX(PP_Grid[#Data],$DD1160,72),0)</f>
        <v/>
      </c>
      <c r="BW1160">
        <f>IFERROR(INDEX(PP_Grid[#Data],$DD1160,73),0)</f>
        <v/>
      </c>
      <c r="BX1160">
        <f>IFERROR(INDEX(PP_Grid[#Data],$DD1160,74),0)</f>
        <v/>
      </c>
      <c r="BY1160">
        <f>IFERROR(INDEX(PP_Grid[#Data],$DD1160,75),0)</f>
        <v/>
      </c>
      <c r="BZ1160">
        <f>IFERROR(INDEX(PP_Grid[#Data],$DD1160,76),0)</f>
        <v/>
      </c>
      <c r="CA1160">
        <f>IFERROR(INDEX(PP_Grid[#Data],$DD1160,77),0)</f>
        <v/>
      </c>
      <c r="CB1160">
        <f>IFERROR(INDEX(PP_Grid[#Data],$DD1160,78),0)</f>
        <v/>
      </c>
      <c r="CC1160">
        <f>IFERROR(INDEX(PP_Grid[#Data],$DD1160,79),0)</f>
        <v/>
      </c>
      <c r="CD1160">
        <f>IFERROR(INDEX(PP_Grid[#Data],$DD1160,80),0)</f>
        <v/>
      </c>
      <c r="CE1160">
        <f>IFERROR(INDEX(PP_Grid[#Data],$DD1160,81),0)</f>
        <v/>
      </c>
      <c r="CF1160">
        <f>IFERROR(INDEX(PP_Grid[#Data],$DD1160,82),0)</f>
        <v/>
      </c>
      <c r="CG1160">
        <f>IFERROR(INDEX(PP_Grid[#Data],$DD1160,83),0)</f>
        <v/>
      </c>
      <c r="CH1160">
        <f>IFERROR(INDEX(PP_Grid[#Data],$DD1160,84),0)</f>
        <v/>
      </c>
      <c r="CI1160">
        <f>IFERROR(INDEX(PP_Grid[#Data],$DD1160,85),0)</f>
        <v/>
      </c>
      <c r="CJ1160">
        <f>IFERROR(INDEX(PP_Grid[#Data],$DD1160,86),0)</f>
        <v/>
      </c>
      <c r="CK1160">
        <f>IFERROR(INDEX(PP_Grid[#Data],$DD1160,87),0)</f>
        <v/>
      </c>
      <c r="CL1160">
        <f>IFERROR(INDEX(PP_Grid[#Data],$DD1160,88),0)</f>
        <v/>
      </c>
      <c r="CM1160">
        <f>IFERROR(INDEX(PP_Grid[#Data],$DD1160,89),0)</f>
        <v/>
      </c>
      <c r="CN1160">
        <f>IFERROR(INDEX(PP_Grid[#Data],$DD1160,90),0)</f>
        <v/>
      </c>
      <c r="CO1160">
        <f>IFERROR(INDEX(PP_Grid[#Data],$DD1160,91),0)</f>
        <v/>
      </c>
      <c r="CP1160">
        <f>IFERROR(INDEX(PP_Grid[#Data],$DD1160,92),0)</f>
        <v/>
      </c>
      <c r="CQ1160">
        <f>IFERROR(INDEX(PP_Grid[#Data],$DD1160,93),0)</f>
        <v/>
      </c>
      <c r="CR1160">
        <f>IFERROR(INDEX(PP_Grid[#Data],$DD1160,94),0)</f>
        <v/>
      </c>
      <c r="CS1160">
        <f>IFERROR(INDEX(PP_Grid[#Data],$DD1160,95),0)</f>
        <v/>
      </c>
      <c r="CT1160">
        <f>IFERROR(INDEX(PP_Grid[#Data],$DD1160,96),0)</f>
        <v/>
      </c>
      <c r="CU1160">
        <f>IFERROR(INDEX(PP_Grid[#Data],$DD1160,97),0)</f>
        <v/>
      </c>
      <c r="CV1160">
        <f>IFERROR(INDEX(PP_Grid[#Data],$DD1160,98),0)</f>
        <v/>
      </c>
      <c r="CW1160">
        <f>IFERROR(INDEX(PP_Grid[#Data],$DD1160,99),0)</f>
        <v/>
      </c>
      <c r="CX1160">
        <f>IFERROR(INDEX(PP_Grid[#Data],$DD1160,100),0)</f>
        <v/>
      </c>
      <c r="CY1160">
        <f>IFERROR(INDEX(PP_Grid[#Data],$DD1160,101),0)</f>
        <v/>
      </c>
      <c r="CZ1160">
        <f>IFERROR(INDEX(PP_Grid[#Data],$DD1160,102),0)</f>
        <v/>
      </c>
      <c r="DA1160">
        <f>IFERROR(INDEX(PP_Grid[#Data],$DD1160,103),0)</f>
        <v/>
      </c>
      <c r="DB1160">
        <f>IFERROR(INDEX(PP_Grid[#Data],$DD1160,104),0)</f>
        <v/>
      </c>
      <c r="DC1160">
        <f>IFERROR(INDEX(PP_Grid[#Data],$DD1160,105),0)</f>
        <v/>
      </c>
      <c r="DD1160" s="7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SUMIFS(M_BOM[RM_Qty_Per_Batch],M_BOM[Intermediate],$B1160,M_BOM[Part Name],$A1131)</f>
        <v/>
      </c>
      <c r="D1161">
        <f>$C1161*D1160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</row>
    <row r="1162">
      <c r="B1162" t="inlineStr">
        <is>
          <t>TSZ-616</t>
        </is>
      </c>
      <c r="C1162" t="inlineStr">
        <is>
          <t>No. of batches</t>
        </is>
      </c>
      <c r="D1162">
        <f>IFERROR(INDEX(PP_Grid[#Data],$DD1162,2),0)</f>
        <v/>
      </c>
      <c r="E1162">
        <f>IFERROR(INDEX(PP_Grid[#Data],$DD1162,3),0)</f>
        <v/>
      </c>
      <c r="F1162">
        <f>IFERROR(INDEX(PP_Grid[#Data],$DD1162,4),0)</f>
        <v/>
      </c>
      <c r="G1162">
        <f>IFERROR(INDEX(PP_Grid[#Data],$DD1162,5),0)</f>
        <v/>
      </c>
      <c r="H1162">
        <f>IFERROR(INDEX(PP_Grid[#Data],$DD1162,6),0)</f>
        <v/>
      </c>
      <c r="I1162">
        <f>IFERROR(INDEX(PP_Grid[#Data],$DD1162,7),0)</f>
        <v/>
      </c>
      <c r="J1162">
        <f>IFERROR(INDEX(PP_Grid[#Data],$DD1162,8),0)</f>
        <v/>
      </c>
      <c r="K1162">
        <f>IFERROR(INDEX(PP_Grid[#Data],$DD1162,9),0)</f>
        <v/>
      </c>
      <c r="L1162">
        <f>IFERROR(INDEX(PP_Grid[#Data],$DD1162,10),0)</f>
        <v/>
      </c>
      <c r="M1162">
        <f>IFERROR(INDEX(PP_Grid[#Data],$DD1162,11),0)</f>
        <v/>
      </c>
      <c r="N1162">
        <f>IFERROR(INDEX(PP_Grid[#Data],$DD1162,12),0)</f>
        <v/>
      </c>
      <c r="O1162">
        <f>IFERROR(INDEX(PP_Grid[#Data],$DD1162,13),0)</f>
        <v/>
      </c>
      <c r="P1162">
        <f>IFERROR(INDEX(PP_Grid[#Data],$DD1162,14),0)</f>
        <v/>
      </c>
      <c r="Q1162">
        <f>IFERROR(INDEX(PP_Grid[#Data],$DD1162,15),0)</f>
        <v/>
      </c>
      <c r="R1162">
        <f>IFERROR(INDEX(PP_Grid[#Data],$DD1162,16),0)</f>
        <v/>
      </c>
      <c r="S1162">
        <f>IFERROR(INDEX(PP_Grid[#Data],$DD1162,17),0)</f>
        <v/>
      </c>
      <c r="T1162">
        <f>IFERROR(INDEX(PP_Grid[#Data],$DD1162,18),0)</f>
        <v/>
      </c>
      <c r="U1162">
        <f>IFERROR(INDEX(PP_Grid[#Data],$DD1162,19),0)</f>
        <v/>
      </c>
      <c r="V1162">
        <f>IFERROR(INDEX(PP_Grid[#Data],$DD1162,20),0)</f>
        <v/>
      </c>
      <c r="W1162">
        <f>IFERROR(INDEX(PP_Grid[#Data],$DD1162,21),0)</f>
        <v/>
      </c>
      <c r="X1162">
        <f>IFERROR(INDEX(PP_Grid[#Data],$DD1162,22),0)</f>
        <v/>
      </c>
      <c r="Y1162">
        <f>IFERROR(INDEX(PP_Grid[#Data],$DD1162,23),0)</f>
        <v/>
      </c>
      <c r="Z1162">
        <f>IFERROR(INDEX(PP_Grid[#Data],$DD1162,24),0)</f>
        <v/>
      </c>
      <c r="AA1162">
        <f>IFERROR(INDEX(PP_Grid[#Data],$DD1162,25),0)</f>
        <v/>
      </c>
      <c r="AB1162">
        <f>IFERROR(INDEX(PP_Grid[#Data],$DD1162,26),0)</f>
        <v/>
      </c>
      <c r="AC1162">
        <f>IFERROR(INDEX(PP_Grid[#Data],$DD1162,27),0)</f>
        <v/>
      </c>
      <c r="AD1162">
        <f>IFERROR(INDEX(PP_Grid[#Data],$DD1162,28),0)</f>
        <v/>
      </c>
      <c r="AE1162">
        <f>IFERROR(INDEX(PP_Grid[#Data],$DD1162,29),0)</f>
        <v/>
      </c>
      <c r="AF1162">
        <f>IFERROR(INDEX(PP_Grid[#Data],$DD1162,30),0)</f>
        <v/>
      </c>
      <c r="AG1162">
        <f>IFERROR(INDEX(PP_Grid[#Data],$DD1162,31),0)</f>
        <v/>
      </c>
      <c r="AH1162">
        <f>IFERROR(INDEX(PP_Grid[#Data],$DD1162,32),0)</f>
        <v/>
      </c>
      <c r="AI1162">
        <f>IFERROR(INDEX(PP_Grid[#Data],$DD1162,33),0)</f>
        <v/>
      </c>
      <c r="AJ1162">
        <f>IFERROR(INDEX(PP_Grid[#Data],$DD1162,34),0)</f>
        <v/>
      </c>
      <c r="AK1162">
        <f>IFERROR(INDEX(PP_Grid[#Data],$DD1162,35),0)</f>
        <v/>
      </c>
      <c r="AL1162">
        <f>IFERROR(INDEX(PP_Grid[#Data],$DD1162,36),0)</f>
        <v/>
      </c>
      <c r="AM1162">
        <f>IFERROR(INDEX(PP_Grid[#Data],$DD1162,37),0)</f>
        <v/>
      </c>
      <c r="AN1162">
        <f>IFERROR(INDEX(PP_Grid[#Data],$DD1162,38),0)</f>
        <v/>
      </c>
      <c r="AO1162">
        <f>IFERROR(INDEX(PP_Grid[#Data],$DD1162,39),0)</f>
        <v/>
      </c>
      <c r="AP1162">
        <f>IFERROR(INDEX(PP_Grid[#Data],$DD1162,40),0)</f>
        <v/>
      </c>
      <c r="AQ1162">
        <f>IFERROR(INDEX(PP_Grid[#Data],$DD1162,41),0)</f>
        <v/>
      </c>
      <c r="AR1162">
        <f>IFERROR(INDEX(PP_Grid[#Data],$DD1162,42),0)</f>
        <v/>
      </c>
      <c r="AS1162">
        <f>IFERROR(INDEX(PP_Grid[#Data],$DD1162,43),0)</f>
        <v/>
      </c>
      <c r="AT1162">
        <f>IFERROR(INDEX(PP_Grid[#Data],$DD1162,44),0)</f>
        <v/>
      </c>
      <c r="AU1162">
        <f>IFERROR(INDEX(PP_Grid[#Data],$DD1162,45),0)</f>
        <v/>
      </c>
      <c r="AV1162">
        <f>IFERROR(INDEX(PP_Grid[#Data],$DD1162,46),0)</f>
        <v/>
      </c>
      <c r="AW1162">
        <f>IFERROR(INDEX(PP_Grid[#Data],$DD1162,47),0)</f>
        <v/>
      </c>
      <c r="AX1162">
        <f>IFERROR(INDEX(PP_Grid[#Data],$DD1162,48),0)</f>
        <v/>
      </c>
      <c r="AY1162">
        <f>IFERROR(INDEX(PP_Grid[#Data],$DD1162,49),0)</f>
        <v/>
      </c>
      <c r="AZ1162">
        <f>IFERROR(INDEX(PP_Grid[#Data],$DD1162,50),0)</f>
        <v/>
      </c>
      <c r="BA1162">
        <f>IFERROR(INDEX(PP_Grid[#Data],$DD1162,51),0)</f>
        <v/>
      </c>
      <c r="BB1162">
        <f>IFERROR(INDEX(PP_Grid[#Data],$DD1162,52),0)</f>
        <v/>
      </c>
      <c r="BC1162">
        <f>IFERROR(INDEX(PP_Grid[#Data],$DD1162,53),0)</f>
        <v/>
      </c>
      <c r="BD1162">
        <f>IFERROR(INDEX(PP_Grid[#Data],$DD1162,54),0)</f>
        <v/>
      </c>
      <c r="BE1162">
        <f>IFERROR(INDEX(PP_Grid[#Data],$DD1162,55),0)</f>
        <v/>
      </c>
      <c r="BF1162">
        <f>IFERROR(INDEX(PP_Grid[#Data],$DD1162,56),0)</f>
        <v/>
      </c>
      <c r="BG1162">
        <f>IFERROR(INDEX(PP_Grid[#Data],$DD1162,57),0)</f>
        <v/>
      </c>
      <c r="BH1162">
        <f>IFERROR(INDEX(PP_Grid[#Data],$DD1162,58),0)</f>
        <v/>
      </c>
      <c r="BI1162">
        <f>IFERROR(INDEX(PP_Grid[#Data],$DD1162,59),0)</f>
        <v/>
      </c>
      <c r="BJ1162">
        <f>IFERROR(INDEX(PP_Grid[#Data],$DD1162,60),0)</f>
        <v/>
      </c>
      <c r="BK1162">
        <f>IFERROR(INDEX(PP_Grid[#Data],$DD1162,61),0)</f>
        <v/>
      </c>
      <c r="BL1162">
        <f>IFERROR(INDEX(PP_Grid[#Data],$DD1162,62),0)</f>
        <v/>
      </c>
      <c r="BM1162">
        <f>IFERROR(INDEX(PP_Grid[#Data],$DD1162,63),0)</f>
        <v/>
      </c>
      <c r="BN1162">
        <f>IFERROR(INDEX(PP_Grid[#Data],$DD1162,64),0)</f>
        <v/>
      </c>
      <c r="BO1162">
        <f>IFERROR(INDEX(PP_Grid[#Data],$DD1162,65),0)</f>
        <v/>
      </c>
      <c r="BP1162">
        <f>IFERROR(INDEX(PP_Grid[#Data],$DD1162,66),0)</f>
        <v/>
      </c>
      <c r="BQ1162">
        <f>IFERROR(INDEX(PP_Grid[#Data],$DD1162,67),0)</f>
        <v/>
      </c>
      <c r="BR1162">
        <f>IFERROR(INDEX(PP_Grid[#Data],$DD1162,68),0)</f>
        <v/>
      </c>
      <c r="BS1162">
        <f>IFERROR(INDEX(PP_Grid[#Data],$DD1162,69),0)</f>
        <v/>
      </c>
      <c r="BT1162">
        <f>IFERROR(INDEX(PP_Grid[#Data],$DD1162,70),0)</f>
        <v/>
      </c>
      <c r="BU1162">
        <f>IFERROR(INDEX(PP_Grid[#Data],$DD1162,71),0)</f>
        <v/>
      </c>
      <c r="BV1162">
        <f>IFERROR(INDEX(PP_Grid[#Data],$DD1162,72),0)</f>
        <v/>
      </c>
      <c r="BW1162">
        <f>IFERROR(INDEX(PP_Grid[#Data],$DD1162,73),0)</f>
        <v/>
      </c>
      <c r="BX1162">
        <f>IFERROR(INDEX(PP_Grid[#Data],$DD1162,74),0)</f>
        <v/>
      </c>
      <c r="BY1162">
        <f>IFERROR(INDEX(PP_Grid[#Data],$DD1162,75),0)</f>
        <v/>
      </c>
      <c r="BZ1162">
        <f>IFERROR(INDEX(PP_Grid[#Data],$DD1162,76),0)</f>
        <v/>
      </c>
      <c r="CA1162">
        <f>IFERROR(INDEX(PP_Grid[#Data],$DD1162,77),0)</f>
        <v/>
      </c>
      <c r="CB1162">
        <f>IFERROR(INDEX(PP_Grid[#Data],$DD1162,78),0)</f>
        <v/>
      </c>
      <c r="CC1162">
        <f>IFERROR(INDEX(PP_Grid[#Data],$DD1162,79),0)</f>
        <v/>
      </c>
      <c r="CD1162">
        <f>IFERROR(INDEX(PP_Grid[#Data],$DD1162,80),0)</f>
        <v/>
      </c>
      <c r="CE1162">
        <f>IFERROR(INDEX(PP_Grid[#Data],$DD1162,81),0)</f>
        <v/>
      </c>
      <c r="CF1162">
        <f>IFERROR(INDEX(PP_Grid[#Data],$DD1162,82),0)</f>
        <v/>
      </c>
      <c r="CG1162">
        <f>IFERROR(INDEX(PP_Grid[#Data],$DD1162,83),0)</f>
        <v/>
      </c>
      <c r="CH1162">
        <f>IFERROR(INDEX(PP_Grid[#Data],$DD1162,84),0)</f>
        <v/>
      </c>
      <c r="CI1162">
        <f>IFERROR(INDEX(PP_Grid[#Data],$DD1162,85),0)</f>
        <v/>
      </c>
      <c r="CJ1162">
        <f>IFERROR(INDEX(PP_Grid[#Data],$DD1162,86),0)</f>
        <v/>
      </c>
      <c r="CK1162">
        <f>IFERROR(INDEX(PP_Grid[#Data],$DD1162,87),0)</f>
        <v/>
      </c>
      <c r="CL1162">
        <f>IFERROR(INDEX(PP_Grid[#Data],$DD1162,88),0)</f>
        <v/>
      </c>
      <c r="CM1162">
        <f>IFERROR(INDEX(PP_Grid[#Data],$DD1162,89),0)</f>
        <v/>
      </c>
      <c r="CN1162">
        <f>IFERROR(INDEX(PP_Grid[#Data],$DD1162,90),0)</f>
        <v/>
      </c>
      <c r="CO1162">
        <f>IFERROR(INDEX(PP_Grid[#Data],$DD1162,91),0)</f>
        <v/>
      </c>
      <c r="CP1162">
        <f>IFERROR(INDEX(PP_Grid[#Data],$DD1162,92),0)</f>
        <v/>
      </c>
      <c r="CQ1162">
        <f>IFERROR(INDEX(PP_Grid[#Data],$DD1162,93),0)</f>
        <v/>
      </c>
      <c r="CR1162">
        <f>IFERROR(INDEX(PP_Grid[#Data],$DD1162,94),0)</f>
        <v/>
      </c>
      <c r="CS1162">
        <f>IFERROR(INDEX(PP_Grid[#Data],$DD1162,95),0)</f>
        <v/>
      </c>
      <c r="CT1162">
        <f>IFERROR(INDEX(PP_Grid[#Data],$DD1162,96),0)</f>
        <v/>
      </c>
      <c r="CU1162">
        <f>IFERROR(INDEX(PP_Grid[#Data],$DD1162,97),0)</f>
        <v/>
      </c>
      <c r="CV1162">
        <f>IFERROR(INDEX(PP_Grid[#Data],$DD1162,98),0)</f>
        <v/>
      </c>
      <c r="CW1162">
        <f>IFERROR(INDEX(PP_Grid[#Data],$DD1162,99),0)</f>
        <v/>
      </c>
      <c r="CX1162">
        <f>IFERROR(INDEX(PP_Grid[#Data],$DD1162,100),0)</f>
        <v/>
      </c>
      <c r="CY1162">
        <f>IFERROR(INDEX(PP_Grid[#Data],$DD1162,101),0)</f>
        <v/>
      </c>
      <c r="CZ1162">
        <f>IFERROR(INDEX(PP_Grid[#Data],$DD1162,102),0)</f>
        <v/>
      </c>
      <c r="DA1162">
        <f>IFERROR(INDEX(PP_Grid[#Data],$DD1162,103),0)</f>
        <v/>
      </c>
      <c r="DB1162">
        <f>IFERROR(INDEX(PP_Grid[#Data],$DD1162,104),0)</f>
        <v/>
      </c>
      <c r="DC1162">
        <f>IFERROR(INDEX(PP_Grid[#Data],$DD1162,105),0)</f>
        <v/>
      </c>
      <c r="DD1162" s="7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SUMIFS(M_BOM[RM_Qty_Per_Batch],M_BOM[Intermediate],$B1162,M_BOM[Part Name],$A1131)</f>
        <v/>
      </c>
      <c r="D1163">
        <f>$C1163*D1162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</row>
    <row r="1164">
      <c r="B1164" t="inlineStr">
        <is>
          <t>TVS-267</t>
        </is>
      </c>
      <c r="C1164" t="inlineStr">
        <is>
          <t>No. of batches</t>
        </is>
      </c>
      <c r="D1164">
        <f>IFERROR(INDEX(PP_Grid[#Data],$DD1164,2),0)</f>
        <v/>
      </c>
      <c r="E1164">
        <f>IFERROR(INDEX(PP_Grid[#Data],$DD1164,3),0)</f>
        <v/>
      </c>
      <c r="F1164">
        <f>IFERROR(INDEX(PP_Grid[#Data],$DD1164,4),0)</f>
        <v/>
      </c>
      <c r="G1164">
        <f>IFERROR(INDEX(PP_Grid[#Data],$DD1164,5),0)</f>
        <v/>
      </c>
      <c r="H1164">
        <f>IFERROR(INDEX(PP_Grid[#Data],$DD1164,6),0)</f>
        <v/>
      </c>
      <c r="I1164">
        <f>IFERROR(INDEX(PP_Grid[#Data],$DD1164,7),0)</f>
        <v/>
      </c>
      <c r="J1164">
        <f>IFERROR(INDEX(PP_Grid[#Data],$DD1164,8),0)</f>
        <v/>
      </c>
      <c r="K1164">
        <f>IFERROR(INDEX(PP_Grid[#Data],$DD1164,9),0)</f>
        <v/>
      </c>
      <c r="L1164">
        <f>IFERROR(INDEX(PP_Grid[#Data],$DD1164,10),0)</f>
        <v/>
      </c>
      <c r="M1164">
        <f>IFERROR(INDEX(PP_Grid[#Data],$DD1164,11),0)</f>
        <v/>
      </c>
      <c r="N1164">
        <f>IFERROR(INDEX(PP_Grid[#Data],$DD1164,12),0)</f>
        <v/>
      </c>
      <c r="O1164">
        <f>IFERROR(INDEX(PP_Grid[#Data],$DD1164,13),0)</f>
        <v/>
      </c>
      <c r="P1164">
        <f>IFERROR(INDEX(PP_Grid[#Data],$DD1164,14),0)</f>
        <v/>
      </c>
      <c r="Q1164">
        <f>IFERROR(INDEX(PP_Grid[#Data],$DD1164,15),0)</f>
        <v/>
      </c>
      <c r="R1164">
        <f>IFERROR(INDEX(PP_Grid[#Data],$DD1164,16),0)</f>
        <v/>
      </c>
      <c r="S1164">
        <f>IFERROR(INDEX(PP_Grid[#Data],$DD1164,17),0)</f>
        <v/>
      </c>
      <c r="T1164">
        <f>IFERROR(INDEX(PP_Grid[#Data],$DD1164,18),0)</f>
        <v/>
      </c>
      <c r="U1164">
        <f>IFERROR(INDEX(PP_Grid[#Data],$DD1164,19),0)</f>
        <v/>
      </c>
      <c r="V1164">
        <f>IFERROR(INDEX(PP_Grid[#Data],$DD1164,20),0)</f>
        <v/>
      </c>
      <c r="W1164">
        <f>IFERROR(INDEX(PP_Grid[#Data],$DD1164,21),0)</f>
        <v/>
      </c>
      <c r="X1164">
        <f>IFERROR(INDEX(PP_Grid[#Data],$DD1164,22),0)</f>
        <v/>
      </c>
      <c r="Y1164">
        <f>IFERROR(INDEX(PP_Grid[#Data],$DD1164,23),0)</f>
        <v/>
      </c>
      <c r="Z1164">
        <f>IFERROR(INDEX(PP_Grid[#Data],$DD1164,24),0)</f>
        <v/>
      </c>
      <c r="AA1164">
        <f>IFERROR(INDEX(PP_Grid[#Data],$DD1164,25),0)</f>
        <v/>
      </c>
      <c r="AB1164">
        <f>IFERROR(INDEX(PP_Grid[#Data],$DD1164,26),0)</f>
        <v/>
      </c>
      <c r="AC1164">
        <f>IFERROR(INDEX(PP_Grid[#Data],$DD1164,27),0)</f>
        <v/>
      </c>
      <c r="AD1164">
        <f>IFERROR(INDEX(PP_Grid[#Data],$DD1164,28),0)</f>
        <v/>
      </c>
      <c r="AE1164">
        <f>IFERROR(INDEX(PP_Grid[#Data],$DD1164,29),0)</f>
        <v/>
      </c>
      <c r="AF1164">
        <f>IFERROR(INDEX(PP_Grid[#Data],$DD1164,30),0)</f>
        <v/>
      </c>
      <c r="AG1164">
        <f>IFERROR(INDEX(PP_Grid[#Data],$DD1164,31),0)</f>
        <v/>
      </c>
      <c r="AH1164">
        <f>IFERROR(INDEX(PP_Grid[#Data],$DD1164,32),0)</f>
        <v/>
      </c>
      <c r="AI1164">
        <f>IFERROR(INDEX(PP_Grid[#Data],$DD1164,33),0)</f>
        <v/>
      </c>
      <c r="AJ1164">
        <f>IFERROR(INDEX(PP_Grid[#Data],$DD1164,34),0)</f>
        <v/>
      </c>
      <c r="AK1164">
        <f>IFERROR(INDEX(PP_Grid[#Data],$DD1164,35),0)</f>
        <v/>
      </c>
      <c r="AL1164">
        <f>IFERROR(INDEX(PP_Grid[#Data],$DD1164,36),0)</f>
        <v/>
      </c>
      <c r="AM1164">
        <f>IFERROR(INDEX(PP_Grid[#Data],$DD1164,37),0)</f>
        <v/>
      </c>
      <c r="AN1164">
        <f>IFERROR(INDEX(PP_Grid[#Data],$DD1164,38),0)</f>
        <v/>
      </c>
      <c r="AO1164">
        <f>IFERROR(INDEX(PP_Grid[#Data],$DD1164,39),0)</f>
        <v/>
      </c>
      <c r="AP1164">
        <f>IFERROR(INDEX(PP_Grid[#Data],$DD1164,40),0)</f>
        <v/>
      </c>
      <c r="AQ1164">
        <f>IFERROR(INDEX(PP_Grid[#Data],$DD1164,41),0)</f>
        <v/>
      </c>
      <c r="AR1164">
        <f>IFERROR(INDEX(PP_Grid[#Data],$DD1164,42),0)</f>
        <v/>
      </c>
      <c r="AS1164">
        <f>IFERROR(INDEX(PP_Grid[#Data],$DD1164,43),0)</f>
        <v/>
      </c>
      <c r="AT1164">
        <f>IFERROR(INDEX(PP_Grid[#Data],$DD1164,44),0)</f>
        <v/>
      </c>
      <c r="AU1164">
        <f>IFERROR(INDEX(PP_Grid[#Data],$DD1164,45),0)</f>
        <v/>
      </c>
      <c r="AV1164">
        <f>IFERROR(INDEX(PP_Grid[#Data],$DD1164,46),0)</f>
        <v/>
      </c>
      <c r="AW1164">
        <f>IFERROR(INDEX(PP_Grid[#Data],$DD1164,47),0)</f>
        <v/>
      </c>
      <c r="AX1164">
        <f>IFERROR(INDEX(PP_Grid[#Data],$DD1164,48),0)</f>
        <v/>
      </c>
      <c r="AY1164">
        <f>IFERROR(INDEX(PP_Grid[#Data],$DD1164,49),0)</f>
        <v/>
      </c>
      <c r="AZ1164">
        <f>IFERROR(INDEX(PP_Grid[#Data],$DD1164,50),0)</f>
        <v/>
      </c>
      <c r="BA1164">
        <f>IFERROR(INDEX(PP_Grid[#Data],$DD1164,51),0)</f>
        <v/>
      </c>
      <c r="BB1164">
        <f>IFERROR(INDEX(PP_Grid[#Data],$DD1164,52),0)</f>
        <v/>
      </c>
      <c r="BC1164">
        <f>IFERROR(INDEX(PP_Grid[#Data],$DD1164,53),0)</f>
        <v/>
      </c>
      <c r="BD1164">
        <f>IFERROR(INDEX(PP_Grid[#Data],$DD1164,54),0)</f>
        <v/>
      </c>
      <c r="BE1164">
        <f>IFERROR(INDEX(PP_Grid[#Data],$DD1164,55),0)</f>
        <v/>
      </c>
      <c r="BF1164">
        <f>IFERROR(INDEX(PP_Grid[#Data],$DD1164,56),0)</f>
        <v/>
      </c>
      <c r="BG1164">
        <f>IFERROR(INDEX(PP_Grid[#Data],$DD1164,57),0)</f>
        <v/>
      </c>
      <c r="BH1164">
        <f>IFERROR(INDEX(PP_Grid[#Data],$DD1164,58),0)</f>
        <v/>
      </c>
      <c r="BI1164">
        <f>IFERROR(INDEX(PP_Grid[#Data],$DD1164,59),0)</f>
        <v/>
      </c>
      <c r="BJ1164">
        <f>IFERROR(INDEX(PP_Grid[#Data],$DD1164,60),0)</f>
        <v/>
      </c>
      <c r="BK1164">
        <f>IFERROR(INDEX(PP_Grid[#Data],$DD1164,61),0)</f>
        <v/>
      </c>
      <c r="BL1164">
        <f>IFERROR(INDEX(PP_Grid[#Data],$DD1164,62),0)</f>
        <v/>
      </c>
      <c r="BM1164">
        <f>IFERROR(INDEX(PP_Grid[#Data],$DD1164,63),0)</f>
        <v/>
      </c>
      <c r="BN1164">
        <f>IFERROR(INDEX(PP_Grid[#Data],$DD1164,64),0)</f>
        <v/>
      </c>
      <c r="BO1164">
        <f>IFERROR(INDEX(PP_Grid[#Data],$DD1164,65),0)</f>
        <v/>
      </c>
      <c r="BP1164">
        <f>IFERROR(INDEX(PP_Grid[#Data],$DD1164,66),0)</f>
        <v/>
      </c>
      <c r="BQ1164">
        <f>IFERROR(INDEX(PP_Grid[#Data],$DD1164,67),0)</f>
        <v/>
      </c>
      <c r="BR1164">
        <f>IFERROR(INDEX(PP_Grid[#Data],$DD1164,68),0)</f>
        <v/>
      </c>
      <c r="BS1164">
        <f>IFERROR(INDEX(PP_Grid[#Data],$DD1164,69),0)</f>
        <v/>
      </c>
      <c r="BT1164">
        <f>IFERROR(INDEX(PP_Grid[#Data],$DD1164,70),0)</f>
        <v/>
      </c>
      <c r="BU1164">
        <f>IFERROR(INDEX(PP_Grid[#Data],$DD1164,71),0)</f>
        <v/>
      </c>
      <c r="BV1164">
        <f>IFERROR(INDEX(PP_Grid[#Data],$DD1164,72),0)</f>
        <v/>
      </c>
      <c r="BW1164">
        <f>IFERROR(INDEX(PP_Grid[#Data],$DD1164,73),0)</f>
        <v/>
      </c>
      <c r="BX1164">
        <f>IFERROR(INDEX(PP_Grid[#Data],$DD1164,74),0)</f>
        <v/>
      </c>
      <c r="BY1164">
        <f>IFERROR(INDEX(PP_Grid[#Data],$DD1164,75),0)</f>
        <v/>
      </c>
      <c r="BZ1164">
        <f>IFERROR(INDEX(PP_Grid[#Data],$DD1164,76),0)</f>
        <v/>
      </c>
      <c r="CA1164">
        <f>IFERROR(INDEX(PP_Grid[#Data],$DD1164,77),0)</f>
        <v/>
      </c>
      <c r="CB1164">
        <f>IFERROR(INDEX(PP_Grid[#Data],$DD1164,78),0)</f>
        <v/>
      </c>
      <c r="CC1164">
        <f>IFERROR(INDEX(PP_Grid[#Data],$DD1164,79),0)</f>
        <v/>
      </c>
      <c r="CD1164">
        <f>IFERROR(INDEX(PP_Grid[#Data],$DD1164,80),0)</f>
        <v/>
      </c>
      <c r="CE1164">
        <f>IFERROR(INDEX(PP_Grid[#Data],$DD1164,81),0)</f>
        <v/>
      </c>
      <c r="CF1164">
        <f>IFERROR(INDEX(PP_Grid[#Data],$DD1164,82),0)</f>
        <v/>
      </c>
      <c r="CG1164">
        <f>IFERROR(INDEX(PP_Grid[#Data],$DD1164,83),0)</f>
        <v/>
      </c>
      <c r="CH1164">
        <f>IFERROR(INDEX(PP_Grid[#Data],$DD1164,84),0)</f>
        <v/>
      </c>
      <c r="CI1164">
        <f>IFERROR(INDEX(PP_Grid[#Data],$DD1164,85),0)</f>
        <v/>
      </c>
      <c r="CJ1164">
        <f>IFERROR(INDEX(PP_Grid[#Data],$DD1164,86),0)</f>
        <v/>
      </c>
      <c r="CK1164">
        <f>IFERROR(INDEX(PP_Grid[#Data],$DD1164,87),0)</f>
        <v/>
      </c>
      <c r="CL1164">
        <f>IFERROR(INDEX(PP_Grid[#Data],$DD1164,88),0)</f>
        <v/>
      </c>
      <c r="CM1164">
        <f>IFERROR(INDEX(PP_Grid[#Data],$DD1164,89),0)</f>
        <v/>
      </c>
      <c r="CN1164">
        <f>IFERROR(INDEX(PP_Grid[#Data],$DD1164,90),0)</f>
        <v/>
      </c>
      <c r="CO1164">
        <f>IFERROR(INDEX(PP_Grid[#Data],$DD1164,91),0)</f>
        <v/>
      </c>
      <c r="CP1164">
        <f>IFERROR(INDEX(PP_Grid[#Data],$DD1164,92),0)</f>
        <v/>
      </c>
      <c r="CQ1164">
        <f>IFERROR(INDEX(PP_Grid[#Data],$DD1164,93),0)</f>
        <v/>
      </c>
      <c r="CR1164">
        <f>IFERROR(INDEX(PP_Grid[#Data],$DD1164,94),0)</f>
        <v/>
      </c>
      <c r="CS1164">
        <f>IFERROR(INDEX(PP_Grid[#Data],$DD1164,95),0)</f>
        <v/>
      </c>
      <c r="CT1164">
        <f>IFERROR(INDEX(PP_Grid[#Data],$DD1164,96),0)</f>
        <v/>
      </c>
      <c r="CU1164">
        <f>IFERROR(INDEX(PP_Grid[#Data],$DD1164,97),0)</f>
        <v/>
      </c>
      <c r="CV1164">
        <f>IFERROR(INDEX(PP_Grid[#Data],$DD1164,98),0)</f>
        <v/>
      </c>
      <c r="CW1164">
        <f>IFERROR(INDEX(PP_Grid[#Data],$DD1164,99),0)</f>
        <v/>
      </c>
      <c r="CX1164">
        <f>IFERROR(INDEX(PP_Grid[#Data],$DD1164,100),0)</f>
        <v/>
      </c>
      <c r="CY1164">
        <f>IFERROR(INDEX(PP_Grid[#Data],$DD1164,101),0)</f>
        <v/>
      </c>
      <c r="CZ1164">
        <f>IFERROR(INDEX(PP_Grid[#Data],$DD1164,102),0)</f>
        <v/>
      </c>
      <c r="DA1164">
        <f>IFERROR(INDEX(PP_Grid[#Data],$DD1164,103),0)</f>
        <v/>
      </c>
      <c r="DB1164">
        <f>IFERROR(INDEX(PP_Grid[#Data],$DD1164,104),0)</f>
        <v/>
      </c>
      <c r="DC1164">
        <f>IFERROR(INDEX(PP_Grid[#Data],$DD1164,105),0)</f>
        <v/>
      </c>
      <c r="DD1164" s="7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SUMIFS(M_BOM[RM_Qty_Per_Batch],M_BOM[Intermediate],$B1164,M_BOM[Part Name],$A1131)</f>
        <v/>
      </c>
      <c r="D1165">
        <f>$C1165*D1164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</row>
    <row r="1166">
      <c r="B1166" t="inlineStr">
        <is>
          <t>TVS-833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7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Name],$A1131)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4" t="inlineStr">
        <is>
          <t>合計使用量(kg)/週</t>
        </is>
      </c>
      <c r="D1168">
        <f>'Grid_Requirement'!B16</f>
        <v/>
      </c>
      <c r="E1168">
        <f>'Grid_Requirement'!C16</f>
        <v/>
      </c>
      <c r="F1168">
        <f>'Grid_Requirement'!D16</f>
        <v/>
      </c>
      <c r="G1168">
        <f>'Grid_Requirement'!E16</f>
        <v/>
      </c>
      <c r="H1168">
        <f>'Grid_Requirement'!F16</f>
        <v/>
      </c>
      <c r="I1168">
        <f>'Grid_Requirement'!G16</f>
        <v/>
      </c>
      <c r="J1168">
        <f>'Grid_Requirement'!H16</f>
        <v/>
      </c>
      <c r="K1168">
        <f>'Grid_Requirement'!I16</f>
        <v/>
      </c>
      <c r="L1168">
        <f>'Grid_Requirement'!J16</f>
        <v/>
      </c>
      <c r="M1168">
        <f>'Grid_Requirement'!K16</f>
        <v/>
      </c>
      <c r="N1168">
        <f>'Grid_Requirement'!L16</f>
        <v/>
      </c>
      <c r="O1168">
        <f>'Grid_Requirement'!M16</f>
        <v/>
      </c>
      <c r="P1168">
        <f>'Grid_Requirement'!N16</f>
        <v/>
      </c>
      <c r="Q1168">
        <f>'Grid_Requirement'!O16</f>
        <v/>
      </c>
      <c r="R1168">
        <f>'Grid_Requirement'!P16</f>
        <v/>
      </c>
      <c r="S1168">
        <f>'Grid_Requirement'!Q16</f>
        <v/>
      </c>
      <c r="T1168">
        <f>'Grid_Requirement'!R16</f>
        <v/>
      </c>
      <c r="U1168">
        <f>'Grid_Requirement'!S16</f>
        <v/>
      </c>
      <c r="V1168">
        <f>'Grid_Requirement'!T16</f>
        <v/>
      </c>
      <c r="W1168">
        <f>'Grid_Requirement'!U16</f>
        <v/>
      </c>
      <c r="X1168">
        <f>'Grid_Requirement'!V16</f>
        <v/>
      </c>
      <c r="Y1168">
        <f>'Grid_Requirement'!W16</f>
        <v/>
      </c>
      <c r="Z1168">
        <f>'Grid_Requirement'!X16</f>
        <v/>
      </c>
      <c r="AA1168">
        <f>'Grid_Requirement'!Y16</f>
        <v/>
      </c>
      <c r="AB1168">
        <f>'Grid_Requirement'!Z16</f>
        <v/>
      </c>
      <c r="AC1168">
        <f>'Grid_Requirement'!AA16</f>
        <v/>
      </c>
      <c r="AD1168">
        <f>'Grid_Requirement'!AB16</f>
        <v/>
      </c>
      <c r="AE1168">
        <f>'Grid_Requirement'!AC16</f>
        <v/>
      </c>
      <c r="AF1168">
        <f>'Grid_Requirement'!AD16</f>
        <v/>
      </c>
      <c r="AG1168">
        <f>'Grid_Requirement'!AE16</f>
        <v/>
      </c>
      <c r="AH1168">
        <f>'Grid_Requirement'!AF16</f>
        <v/>
      </c>
      <c r="AI1168">
        <f>'Grid_Requirement'!AG16</f>
        <v/>
      </c>
      <c r="AJ1168">
        <f>'Grid_Requirement'!AH16</f>
        <v/>
      </c>
      <c r="AK1168">
        <f>'Grid_Requirement'!AI16</f>
        <v/>
      </c>
      <c r="AL1168">
        <f>'Grid_Requirement'!AJ16</f>
        <v/>
      </c>
      <c r="AM1168">
        <f>'Grid_Requirement'!AK16</f>
        <v/>
      </c>
      <c r="AN1168">
        <f>'Grid_Requirement'!AL16</f>
        <v/>
      </c>
      <c r="AO1168">
        <f>'Grid_Requirement'!AM16</f>
        <v/>
      </c>
      <c r="AP1168">
        <f>'Grid_Requirement'!AN16</f>
        <v/>
      </c>
      <c r="AQ1168">
        <f>'Grid_Requirement'!AO16</f>
        <v/>
      </c>
      <c r="AR1168">
        <f>'Grid_Requirement'!AP16</f>
        <v/>
      </c>
      <c r="AS1168">
        <f>'Grid_Requirement'!AQ16</f>
        <v/>
      </c>
      <c r="AT1168">
        <f>'Grid_Requirement'!AR16</f>
        <v/>
      </c>
      <c r="AU1168">
        <f>'Grid_Requirement'!AS16</f>
        <v/>
      </c>
      <c r="AV1168">
        <f>'Grid_Requirement'!AT16</f>
        <v/>
      </c>
      <c r="AW1168">
        <f>'Grid_Requirement'!AU16</f>
        <v/>
      </c>
      <c r="AX1168">
        <f>'Grid_Requirement'!AV16</f>
        <v/>
      </c>
      <c r="AY1168">
        <f>'Grid_Requirement'!AW16</f>
        <v/>
      </c>
      <c r="AZ1168">
        <f>'Grid_Requirement'!AX16</f>
        <v/>
      </c>
      <c r="BA1168">
        <f>'Grid_Requirement'!AY16</f>
        <v/>
      </c>
      <c r="BB1168">
        <f>'Grid_Requirement'!AZ16</f>
        <v/>
      </c>
      <c r="BC1168">
        <f>'Grid_Requirement'!BA16</f>
        <v/>
      </c>
      <c r="BD1168">
        <f>'Grid_Requirement'!BB16</f>
        <v/>
      </c>
      <c r="BE1168">
        <f>'Grid_Requirement'!BC16</f>
        <v/>
      </c>
      <c r="BF1168">
        <f>'Grid_Requirement'!BD16</f>
        <v/>
      </c>
      <c r="BG1168">
        <f>'Grid_Requirement'!BE16</f>
        <v/>
      </c>
      <c r="BH1168">
        <f>'Grid_Requirement'!BF16</f>
        <v/>
      </c>
      <c r="BI1168">
        <f>'Grid_Requirement'!BG16</f>
        <v/>
      </c>
      <c r="BJ1168">
        <f>'Grid_Requirement'!BH16</f>
        <v/>
      </c>
      <c r="BK1168">
        <f>'Grid_Requirement'!BI16</f>
        <v/>
      </c>
      <c r="BL1168">
        <f>'Grid_Requirement'!BJ16</f>
        <v/>
      </c>
      <c r="BM1168">
        <f>'Grid_Requirement'!BK16</f>
        <v/>
      </c>
      <c r="BN1168">
        <f>'Grid_Requirement'!BL16</f>
        <v/>
      </c>
      <c r="BO1168">
        <f>'Grid_Requirement'!BM16</f>
        <v/>
      </c>
      <c r="BP1168">
        <f>'Grid_Requirement'!BN16</f>
        <v/>
      </c>
      <c r="BQ1168">
        <f>'Grid_Requirement'!BO16</f>
        <v/>
      </c>
      <c r="BR1168">
        <f>'Grid_Requirement'!BP16</f>
        <v/>
      </c>
      <c r="BS1168">
        <f>'Grid_Requirement'!BQ16</f>
        <v/>
      </c>
      <c r="BT1168">
        <f>'Grid_Requirement'!BR16</f>
        <v/>
      </c>
      <c r="BU1168">
        <f>'Grid_Requirement'!BS16</f>
        <v/>
      </c>
      <c r="BV1168">
        <f>'Grid_Requirement'!BT16</f>
        <v/>
      </c>
      <c r="BW1168">
        <f>'Grid_Requirement'!BU16</f>
        <v/>
      </c>
      <c r="BX1168">
        <f>'Grid_Requirement'!BV16</f>
        <v/>
      </c>
      <c r="BY1168">
        <f>'Grid_Requirement'!BW16</f>
        <v/>
      </c>
      <c r="BZ1168">
        <f>'Grid_Requirement'!BX16</f>
        <v/>
      </c>
      <c r="CA1168">
        <f>'Grid_Requirement'!BY16</f>
        <v/>
      </c>
      <c r="CB1168">
        <f>'Grid_Requirement'!BZ16</f>
        <v/>
      </c>
      <c r="CC1168">
        <f>'Grid_Requirement'!CA16</f>
        <v/>
      </c>
      <c r="CD1168">
        <f>'Grid_Requirement'!CB16</f>
        <v/>
      </c>
      <c r="CE1168">
        <f>'Grid_Requirement'!CC16</f>
        <v/>
      </c>
      <c r="CF1168">
        <f>'Grid_Requirement'!CD16</f>
        <v/>
      </c>
      <c r="CG1168">
        <f>'Grid_Requirement'!CE16</f>
        <v/>
      </c>
      <c r="CH1168">
        <f>'Grid_Requirement'!CF16</f>
        <v/>
      </c>
      <c r="CI1168">
        <f>'Grid_Requirement'!CG16</f>
        <v/>
      </c>
      <c r="CJ1168">
        <f>'Grid_Requirement'!CH16</f>
        <v/>
      </c>
      <c r="CK1168">
        <f>'Grid_Requirement'!CI16</f>
        <v/>
      </c>
      <c r="CL1168">
        <f>'Grid_Requirement'!CJ16</f>
        <v/>
      </c>
      <c r="CM1168">
        <f>'Grid_Requirement'!CK16</f>
        <v/>
      </c>
      <c r="CN1168">
        <f>'Grid_Requirement'!CL16</f>
        <v/>
      </c>
      <c r="CO1168">
        <f>'Grid_Requirement'!CM16</f>
        <v/>
      </c>
      <c r="CP1168">
        <f>'Grid_Requirement'!CN16</f>
        <v/>
      </c>
      <c r="CQ1168">
        <f>'Grid_Requirement'!CO16</f>
        <v/>
      </c>
      <c r="CR1168">
        <f>'Grid_Requirement'!CP16</f>
        <v/>
      </c>
      <c r="CS1168">
        <f>'Grid_Requirement'!CQ16</f>
        <v/>
      </c>
      <c r="CT1168">
        <f>'Grid_Requirement'!CR16</f>
        <v/>
      </c>
      <c r="CU1168">
        <f>'Grid_Requirement'!CS16</f>
        <v/>
      </c>
      <c r="CV1168">
        <f>'Grid_Requirement'!CT16</f>
        <v/>
      </c>
      <c r="CW1168">
        <f>'Grid_Requirement'!CU16</f>
        <v/>
      </c>
      <c r="CX1168">
        <f>'Grid_Requirement'!CV16</f>
        <v/>
      </c>
      <c r="CY1168">
        <f>'Grid_Requirement'!CW16</f>
        <v/>
      </c>
      <c r="CZ1168">
        <f>'Grid_Requirement'!CX16</f>
        <v/>
      </c>
      <c r="DA1168">
        <f>'Grid_Requirement'!CY16</f>
        <v/>
      </c>
      <c r="DB1168">
        <f>'Grid_Requirement'!CZ16</f>
        <v/>
      </c>
      <c r="DC1168">
        <f>'Grid_Requirement'!DA16</f>
        <v/>
      </c>
    </row>
    <row r="1169">
      <c r="B1169" t="inlineStr">
        <is>
          <t>TTAF在庫(実績,kg)</t>
        </is>
      </c>
      <c r="D1169">
        <f>'T_TTAFStock'!B20</f>
        <v/>
      </c>
      <c r="E1169">
        <f>'T_TTAFStock'!C20</f>
        <v/>
      </c>
      <c r="F1169">
        <f>'T_TTAFStock'!D20</f>
        <v/>
      </c>
      <c r="G1169">
        <f>'T_TTAFStock'!E20</f>
        <v/>
      </c>
      <c r="H1169">
        <f>'T_TTAFStock'!F20</f>
        <v/>
      </c>
      <c r="I1169">
        <f>'T_TTAFStock'!G20</f>
        <v/>
      </c>
      <c r="J1169">
        <f>'T_TTAFStock'!H20</f>
        <v/>
      </c>
      <c r="K1169">
        <f>'T_TTAFStock'!I20</f>
        <v/>
      </c>
      <c r="L1169">
        <f>'T_TTAFStock'!J20</f>
        <v/>
      </c>
      <c r="M1169">
        <f>'T_TTAFStock'!K20</f>
        <v/>
      </c>
      <c r="N1169">
        <f>'T_TTAFStock'!L20</f>
        <v/>
      </c>
      <c r="O1169">
        <f>'T_TTAFStock'!M20</f>
        <v/>
      </c>
      <c r="P1169">
        <f>'T_TTAFStock'!N20</f>
        <v/>
      </c>
      <c r="Q1169">
        <f>'T_TTAFStock'!O20</f>
        <v/>
      </c>
      <c r="R1169">
        <f>'T_TTAFStock'!P20</f>
        <v/>
      </c>
      <c r="S1169">
        <f>'T_TTAFStock'!Q20</f>
        <v/>
      </c>
      <c r="T1169">
        <f>'T_TTAFStock'!R20</f>
        <v/>
      </c>
      <c r="U1169">
        <f>'T_TTAFStock'!S20</f>
        <v/>
      </c>
      <c r="V1169">
        <f>'T_TTAFStock'!T20</f>
        <v/>
      </c>
      <c r="W1169">
        <f>'T_TTAFStock'!U20</f>
        <v/>
      </c>
      <c r="X1169">
        <f>'T_TTAFStock'!V20</f>
        <v/>
      </c>
      <c r="Y1169">
        <f>'T_TTAFStock'!W20</f>
        <v/>
      </c>
      <c r="Z1169">
        <f>'T_TTAFStock'!X20</f>
        <v/>
      </c>
      <c r="AA1169">
        <f>'T_TTAFStock'!Y20</f>
        <v/>
      </c>
      <c r="AB1169">
        <f>'T_TTAFStock'!Z20</f>
        <v/>
      </c>
      <c r="AC1169">
        <f>'T_TTAFStock'!AA20</f>
        <v/>
      </c>
      <c r="AD1169">
        <f>'T_TTAFStock'!AB20</f>
        <v/>
      </c>
      <c r="AE1169">
        <f>'T_TTAFStock'!AC20</f>
        <v/>
      </c>
      <c r="AF1169">
        <f>'T_TTAFStock'!AD20</f>
        <v/>
      </c>
      <c r="AG1169">
        <f>'T_TTAFStock'!AE20</f>
        <v/>
      </c>
      <c r="AH1169">
        <f>'T_TTAFStock'!AF20</f>
        <v/>
      </c>
      <c r="AI1169">
        <f>'T_TTAFStock'!AG20</f>
        <v/>
      </c>
      <c r="AJ1169">
        <f>'T_TTAFStock'!AH20</f>
        <v/>
      </c>
      <c r="AK1169">
        <f>'T_TTAFStock'!AI20</f>
        <v/>
      </c>
      <c r="AL1169">
        <f>'T_TTAFStock'!AJ20</f>
        <v/>
      </c>
      <c r="AM1169">
        <f>'T_TTAFStock'!AK20</f>
        <v/>
      </c>
      <c r="AN1169">
        <f>'T_TTAFStock'!AL20</f>
        <v/>
      </c>
      <c r="AO1169">
        <f>'T_TTAFStock'!AM20</f>
        <v/>
      </c>
      <c r="AP1169">
        <f>'T_TTAFStock'!AN20</f>
        <v/>
      </c>
      <c r="AQ1169">
        <f>'T_TTAFStock'!AO20</f>
        <v/>
      </c>
      <c r="AR1169">
        <f>'T_TTAFStock'!AP20</f>
        <v/>
      </c>
      <c r="AS1169">
        <f>'T_TTAFStock'!AQ20</f>
        <v/>
      </c>
      <c r="AT1169">
        <f>'T_TTAFStock'!AR20</f>
        <v/>
      </c>
      <c r="AU1169">
        <f>'T_TTAFStock'!AS20</f>
        <v/>
      </c>
      <c r="AV1169">
        <f>'T_TTAFStock'!AT20</f>
        <v/>
      </c>
      <c r="AW1169">
        <f>'T_TTAFStock'!AU20</f>
        <v/>
      </c>
      <c r="AX1169">
        <f>'T_TTAFStock'!AV20</f>
        <v/>
      </c>
      <c r="AY1169">
        <f>'T_TTAFStock'!AW20</f>
        <v/>
      </c>
      <c r="AZ1169">
        <f>'T_TTAFStock'!AX20</f>
        <v/>
      </c>
      <c r="BA1169">
        <f>'T_TTAFStock'!AY20</f>
        <v/>
      </c>
      <c r="BB1169">
        <f>'T_TTAFStock'!AZ20</f>
        <v/>
      </c>
      <c r="BC1169">
        <f>'T_TTAFStock'!BA20</f>
        <v/>
      </c>
      <c r="BD1169">
        <f>'T_TTAFStock'!BB20</f>
        <v/>
      </c>
      <c r="BE1169">
        <f>'T_TTAFStock'!BC20</f>
        <v/>
      </c>
      <c r="BF1169">
        <f>'T_TTAFStock'!BD20</f>
        <v/>
      </c>
      <c r="BG1169">
        <f>'T_TTAFStock'!BE20</f>
        <v/>
      </c>
      <c r="BH1169">
        <f>'T_TTAFStock'!BF20</f>
        <v/>
      </c>
      <c r="BI1169">
        <f>'T_TTAFStock'!BG20</f>
        <v/>
      </c>
      <c r="BJ1169">
        <f>'T_TTAFStock'!BH20</f>
        <v/>
      </c>
      <c r="BK1169">
        <f>'T_TTAFStock'!BI20</f>
        <v/>
      </c>
      <c r="BL1169">
        <f>'T_TTAFStock'!BJ20</f>
        <v/>
      </c>
      <c r="BM1169">
        <f>'T_TTAFStock'!BK20</f>
        <v/>
      </c>
      <c r="BN1169">
        <f>'T_TTAFStock'!BL20</f>
        <v/>
      </c>
      <c r="BO1169">
        <f>'T_TTAFStock'!BM20</f>
        <v/>
      </c>
      <c r="BP1169">
        <f>'T_TTAFStock'!BN20</f>
        <v/>
      </c>
      <c r="BQ1169">
        <f>'T_TTAFStock'!BO20</f>
        <v/>
      </c>
      <c r="BR1169">
        <f>'T_TTAFStock'!BP20</f>
        <v/>
      </c>
      <c r="BS1169">
        <f>'T_TTAFStock'!BQ20</f>
        <v/>
      </c>
      <c r="BT1169">
        <f>'T_TTAFStock'!BR20</f>
        <v/>
      </c>
      <c r="BU1169">
        <f>'T_TTAFStock'!BS20</f>
        <v/>
      </c>
      <c r="BV1169">
        <f>'T_TTAFStock'!BT20</f>
        <v/>
      </c>
      <c r="BW1169">
        <f>'T_TTAFStock'!BU20</f>
        <v/>
      </c>
      <c r="BX1169">
        <f>'T_TTAFStock'!BV20</f>
        <v/>
      </c>
      <c r="BY1169">
        <f>'T_TTAFStock'!BW20</f>
        <v/>
      </c>
      <c r="BZ1169">
        <f>'T_TTAFStock'!BX20</f>
        <v/>
      </c>
      <c r="CA1169">
        <f>'T_TTAFStock'!BY20</f>
        <v/>
      </c>
      <c r="CB1169">
        <f>'T_TTAFStock'!BZ20</f>
        <v/>
      </c>
      <c r="CC1169">
        <f>'T_TTAFStock'!CA20</f>
        <v/>
      </c>
      <c r="CD1169">
        <f>'T_TTAFStock'!CB20</f>
        <v/>
      </c>
      <c r="CE1169">
        <f>'T_TTAFStock'!CC20</f>
        <v/>
      </c>
      <c r="CF1169">
        <f>'T_TTAFStock'!CD20</f>
        <v/>
      </c>
      <c r="CG1169">
        <f>'T_TTAFStock'!CE20</f>
        <v/>
      </c>
      <c r="CH1169">
        <f>'T_TTAFStock'!CF20</f>
        <v/>
      </c>
      <c r="CI1169">
        <f>'T_TTAFStock'!CG20</f>
        <v/>
      </c>
      <c r="CJ1169">
        <f>'T_TTAFStock'!CH20</f>
        <v/>
      </c>
      <c r="CK1169">
        <f>'T_TTAFStock'!CI20</f>
        <v/>
      </c>
      <c r="CL1169">
        <f>'T_TTAFStock'!CJ20</f>
        <v/>
      </c>
      <c r="CM1169">
        <f>'T_TTAFStock'!CK20</f>
        <v/>
      </c>
      <c r="CN1169">
        <f>'T_TTAFStock'!CL20</f>
        <v/>
      </c>
      <c r="CO1169">
        <f>'T_TTAFStock'!CM20</f>
        <v/>
      </c>
      <c r="CP1169">
        <f>'T_TTAFStock'!CN20</f>
        <v/>
      </c>
      <c r="CQ1169">
        <f>'T_TTAFStock'!CO20</f>
        <v/>
      </c>
      <c r="CR1169">
        <f>'T_TTAFStock'!CP20</f>
        <v/>
      </c>
      <c r="CS1169">
        <f>'T_TTAFStock'!CQ20</f>
        <v/>
      </c>
      <c r="CT1169">
        <f>'T_TTAFStock'!CR20</f>
        <v/>
      </c>
      <c r="CU1169">
        <f>'T_TTAFStock'!CS20</f>
        <v/>
      </c>
      <c r="CV1169">
        <f>'T_TTAFStock'!CT20</f>
        <v/>
      </c>
      <c r="CW1169">
        <f>'T_TTAFStock'!CU20</f>
        <v/>
      </c>
      <c r="CX1169">
        <f>'T_TTAFStock'!CV20</f>
        <v/>
      </c>
      <c r="CY1169">
        <f>'T_TTAFStock'!CW20</f>
        <v/>
      </c>
      <c r="CZ1169">
        <f>'T_TTAFStock'!CX20</f>
        <v/>
      </c>
      <c r="DA1169">
        <f>'T_TTAFStock'!CY20</f>
        <v/>
      </c>
      <c r="DB1169">
        <f>'T_TTAFStock'!CZ20</f>
        <v/>
      </c>
      <c r="DC1169">
        <f>'T_TTAFStock'!DA20</f>
        <v/>
      </c>
    </row>
    <row r="1170">
      <c r="B1170" t="inlineStr">
        <is>
          <t>自社在庫(実績,kg)</t>
        </is>
      </c>
      <c r="D1170">
        <f>'T_SelfStock'!B20</f>
        <v/>
      </c>
      <c r="E1170">
        <f>'T_SelfStock'!C20</f>
        <v/>
      </c>
      <c r="F1170">
        <f>'T_SelfStock'!D20</f>
        <v/>
      </c>
      <c r="G1170">
        <f>'T_SelfStock'!E20</f>
        <v/>
      </c>
      <c r="H1170">
        <f>'T_SelfStock'!F20</f>
        <v/>
      </c>
      <c r="I1170">
        <f>'T_SelfStock'!G20</f>
        <v/>
      </c>
      <c r="J1170">
        <f>'T_SelfStock'!H20</f>
        <v/>
      </c>
      <c r="K1170">
        <f>'T_SelfStock'!I20</f>
        <v/>
      </c>
      <c r="L1170">
        <f>'T_SelfStock'!J20</f>
        <v/>
      </c>
      <c r="M1170">
        <f>'T_SelfStock'!K20</f>
        <v/>
      </c>
      <c r="N1170">
        <f>'T_SelfStock'!L20</f>
        <v/>
      </c>
      <c r="O1170">
        <f>'T_SelfStock'!M20</f>
        <v/>
      </c>
      <c r="P1170">
        <f>'T_SelfStock'!N20</f>
        <v/>
      </c>
      <c r="Q1170">
        <f>'T_SelfStock'!O20</f>
        <v/>
      </c>
      <c r="R1170">
        <f>'T_SelfStock'!P20</f>
        <v/>
      </c>
      <c r="S1170">
        <f>'T_SelfStock'!Q20</f>
        <v/>
      </c>
      <c r="T1170">
        <f>'T_SelfStock'!R20</f>
        <v/>
      </c>
      <c r="U1170">
        <f>'T_SelfStock'!S20</f>
        <v/>
      </c>
      <c r="V1170">
        <f>'T_SelfStock'!T20</f>
        <v/>
      </c>
      <c r="W1170">
        <f>'T_SelfStock'!U20</f>
        <v/>
      </c>
      <c r="X1170">
        <f>'T_SelfStock'!V20</f>
        <v/>
      </c>
      <c r="Y1170">
        <f>'T_SelfStock'!W20</f>
        <v/>
      </c>
      <c r="Z1170">
        <f>'T_SelfStock'!X20</f>
        <v/>
      </c>
      <c r="AA1170">
        <f>'T_SelfStock'!Y20</f>
        <v/>
      </c>
      <c r="AB1170">
        <f>'T_SelfStock'!Z20</f>
        <v/>
      </c>
      <c r="AC1170">
        <f>'T_SelfStock'!AA20</f>
        <v/>
      </c>
      <c r="AD1170">
        <f>'T_SelfStock'!AB20</f>
        <v/>
      </c>
      <c r="AE1170">
        <f>'T_SelfStock'!AC20</f>
        <v/>
      </c>
      <c r="AF1170">
        <f>'T_SelfStock'!AD20</f>
        <v/>
      </c>
      <c r="AG1170">
        <f>'T_SelfStock'!AE20</f>
        <v/>
      </c>
      <c r="AH1170">
        <f>'T_SelfStock'!AF20</f>
        <v/>
      </c>
      <c r="AI1170">
        <f>'T_SelfStock'!AG20</f>
        <v/>
      </c>
      <c r="AJ1170">
        <f>'T_SelfStock'!AH20</f>
        <v/>
      </c>
      <c r="AK1170">
        <f>'T_SelfStock'!AI20</f>
        <v/>
      </c>
      <c r="AL1170">
        <f>'T_SelfStock'!AJ20</f>
        <v/>
      </c>
      <c r="AM1170">
        <f>'T_SelfStock'!AK20</f>
        <v/>
      </c>
      <c r="AN1170">
        <f>'T_SelfStock'!AL20</f>
        <v/>
      </c>
      <c r="AO1170">
        <f>'T_SelfStock'!AM20</f>
        <v/>
      </c>
      <c r="AP1170">
        <f>'T_SelfStock'!AN20</f>
        <v/>
      </c>
      <c r="AQ1170">
        <f>'T_SelfStock'!AO20</f>
        <v/>
      </c>
      <c r="AR1170">
        <f>'T_SelfStock'!AP20</f>
        <v/>
      </c>
      <c r="AS1170">
        <f>'T_SelfStock'!AQ20</f>
        <v/>
      </c>
      <c r="AT1170">
        <f>'T_SelfStock'!AR20</f>
        <v/>
      </c>
      <c r="AU1170">
        <f>'T_SelfStock'!AS20</f>
        <v/>
      </c>
      <c r="AV1170">
        <f>'T_SelfStock'!AT20</f>
        <v/>
      </c>
      <c r="AW1170">
        <f>'T_SelfStock'!AU20</f>
        <v/>
      </c>
      <c r="AX1170">
        <f>'T_SelfStock'!AV20</f>
        <v/>
      </c>
      <c r="AY1170">
        <f>'T_SelfStock'!AW20</f>
        <v/>
      </c>
      <c r="AZ1170">
        <f>'T_SelfStock'!AX20</f>
        <v/>
      </c>
      <c r="BA1170">
        <f>'T_SelfStock'!AY20</f>
        <v/>
      </c>
      <c r="BB1170">
        <f>'T_SelfStock'!AZ20</f>
        <v/>
      </c>
      <c r="BC1170">
        <f>'T_SelfStock'!BA20</f>
        <v/>
      </c>
      <c r="BD1170">
        <f>'T_SelfStock'!BB20</f>
        <v/>
      </c>
      <c r="BE1170">
        <f>'T_SelfStock'!BC20</f>
        <v/>
      </c>
      <c r="BF1170">
        <f>'T_SelfStock'!BD20</f>
        <v/>
      </c>
      <c r="BG1170">
        <f>'T_SelfStock'!BE20</f>
        <v/>
      </c>
      <c r="BH1170">
        <f>'T_SelfStock'!BF20</f>
        <v/>
      </c>
      <c r="BI1170">
        <f>'T_SelfStock'!BG20</f>
        <v/>
      </c>
      <c r="BJ1170">
        <f>'T_SelfStock'!BH20</f>
        <v/>
      </c>
      <c r="BK1170">
        <f>'T_SelfStock'!BI20</f>
        <v/>
      </c>
      <c r="BL1170">
        <f>'T_SelfStock'!BJ20</f>
        <v/>
      </c>
      <c r="BM1170">
        <f>'T_SelfStock'!BK20</f>
        <v/>
      </c>
      <c r="BN1170">
        <f>'T_SelfStock'!BL20</f>
        <v/>
      </c>
      <c r="BO1170">
        <f>'T_SelfStock'!BM20</f>
        <v/>
      </c>
      <c r="BP1170">
        <f>'T_SelfStock'!BN20</f>
        <v/>
      </c>
      <c r="BQ1170">
        <f>'T_SelfStock'!BO20</f>
        <v/>
      </c>
      <c r="BR1170">
        <f>'T_SelfStock'!BP20</f>
        <v/>
      </c>
      <c r="BS1170">
        <f>'T_SelfStock'!BQ20</f>
        <v/>
      </c>
      <c r="BT1170">
        <f>'T_SelfStock'!BR20</f>
        <v/>
      </c>
      <c r="BU1170">
        <f>'T_SelfStock'!BS20</f>
        <v/>
      </c>
      <c r="BV1170">
        <f>'T_SelfStock'!BT20</f>
        <v/>
      </c>
      <c r="BW1170">
        <f>'T_SelfStock'!BU20</f>
        <v/>
      </c>
      <c r="BX1170">
        <f>'T_SelfStock'!BV20</f>
        <v/>
      </c>
      <c r="BY1170">
        <f>'T_SelfStock'!BW20</f>
        <v/>
      </c>
      <c r="BZ1170">
        <f>'T_SelfStock'!BX20</f>
        <v/>
      </c>
      <c r="CA1170">
        <f>'T_SelfStock'!BY20</f>
        <v/>
      </c>
      <c r="CB1170">
        <f>'T_SelfStock'!BZ20</f>
        <v/>
      </c>
      <c r="CC1170">
        <f>'T_SelfStock'!CA20</f>
        <v/>
      </c>
      <c r="CD1170">
        <f>'T_SelfStock'!CB20</f>
        <v/>
      </c>
      <c r="CE1170">
        <f>'T_SelfStock'!CC20</f>
        <v/>
      </c>
      <c r="CF1170">
        <f>'T_SelfStock'!CD20</f>
        <v/>
      </c>
      <c r="CG1170">
        <f>'T_SelfStock'!CE20</f>
        <v/>
      </c>
      <c r="CH1170">
        <f>'T_SelfStock'!CF20</f>
        <v/>
      </c>
      <c r="CI1170">
        <f>'T_SelfStock'!CG20</f>
        <v/>
      </c>
      <c r="CJ1170">
        <f>'T_SelfStock'!CH20</f>
        <v/>
      </c>
      <c r="CK1170">
        <f>'T_SelfStock'!CI20</f>
        <v/>
      </c>
      <c r="CL1170">
        <f>'T_SelfStock'!CJ20</f>
        <v/>
      </c>
      <c r="CM1170">
        <f>'T_SelfStock'!CK20</f>
        <v/>
      </c>
      <c r="CN1170">
        <f>'T_SelfStock'!CL20</f>
        <v/>
      </c>
      <c r="CO1170">
        <f>'T_SelfStock'!CM20</f>
        <v/>
      </c>
      <c r="CP1170">
        <f>'T_SelfStock'!CN20</f>
        <v/>
      </c>
      <c r="CQ1170">
        <f>'T_SelfStock'!CO20</f>
        <v/>
      </c>
      <c r="CR1170">
        <f>'T_SelfStock'!CP20</f>
        <v/>
      </c>
      <c r="CS1170">
        <f>'T_SelfStock'!CQ20</f>
        <v/>
      </c>
      <c r="CT1170">
        <f>'T_SelfStock'!CR20</f>
        <v/>
      </c>
      <c r="CU1170">
        <f>'T_SelfStock'!CS20</f>
        <v/>
      </c>
      <c r="CV1170">
        <f>'T_SelfStock'!CT20</f>
        <v/>
      </c>
      <c r="CW1170">
        <f>'T_SelfStock'!CU20</f>
        <v/>
      </c>
      <c r="CX1170">
        <f>'T_SelfStock'!CV20</f>
        <v/>
      </c>
      <c r="CY1170">
        <f>'T_SelfStock'!CW20</f>
        <v/>
      </c>
      <c r="CZ1170">
        <f>'T_SelfStock'!CX20</f>
        <v/>
      </c>
      <c r="DA1170">
        <f>'T_SelfStock'!CY20</f>
        <v/>
      </c>
      <c r="DB1170">
        <f>'T_SelfStock'!CZ20</f>
        <v/>
      </c>
      <c r="DC1170">
        <f>'T_SelfStock'!DA20</f>
        <v/>
      </c>
    </row>
    <row r="1171">
      <c r="B1171" t="inlineStr">
        <is>
          <t>Order(発注予定,kg)</t>
        </is>
      </c>
      <c r="D1171">
        <f>IF(SUMIFS(T_PlannedOrders[EffectiveQty],T_PlannedOrders[Part Name],$A1131,T_PlannedOrders[WeekIndex],1)=0,"",SUMIFS(T_PlannedOrders[EffectiveQty],T_PlannedOrders[Part Name],$A1131,T_PlannedOrders[WeekIndex],1)&amp;" ("&amp;TEXT(SUMPRODUCT(MAX((T_PlannedOrders[Part Name]=$A1131)*(T_PlannedOrders[WeekIndex]=1)*(T_PlannedOrders[EffectiveQty]&gt;0)*T_PlannedOrders[Order_Month])),"m月")&amp;"発注)")</f>
        <v/>
      </c>
      <c r="E1171">
        <f>IF(SUMIFS(T_PlannedOrders[EffectiveQty],T_PlannedOrders[Part Name],$A1131,T_PlannedOrders[WeekIndex],2)=0,"",SUMIFS(T_PlannedOrders[EffectiveQty],T_PlannedOrders[Part Name],$A1131,T_PlannedOrders[WeekIndex],2)&amp;" ("&amp;TEXT(SUMPRODUCT(MAX((T_PlannedOrders[Part Name]=$A1131)*(T_PlannedOrders[WeekIndex]=2)*(T_PlannedOrders[EffectiveQty]&gt;0)*T_PlannedOrders[Order_Month])),"m月")&amp;"発注)")</f>
        <v/>
      </c>
      <c r="F1171">
        <f>IF(SUMIFS(T_PlannedOrders[EffectiveQty],T_PlannedOrders[Part Name],$A1131,T_PlannedOrders[WeekIndex],3)=0,"",SUMIFS(T_PlannedOrders[EffectiveQty],T_PlannedOrders[Part Name],$A1131,T_PlannedOrders[WeekIndex],3)&amp;" ("&amp;TEXT(SUMPRODUCT(MAX((T_PlannedOrders[Part Name]=$A1131)*(T_PlannedOrders[WeekIndex]=3)*(T_PlannedOrders[EffectiveQty]&gt;0)*T_PlannedOrders[Order_Month])),"m月")&amp;"発注)")</f>
        <v/>
      </c>
      <c r="G1171">
        <f>IF(SUMIFS(T_PlannedOrders[EffectiveQty],T_PlannedOrders[Part Name],$A1131,T_PlannedOrders[WeekIndex],4)=0,"",SUMIFS(T_PlannedOrders[EffectiveQty],T_PlannedOrders[Part Name],$A1131,T_PlannedOrders[WeekIndex],4)&amp;" ("&amp;TEXT(SUMPRODUCT(MAX((T_PlannedOrders[Part Name]=$A1131)*(T_PlannedOrders[WeekIndex]=4)*(T_PlannedOrders[EffectiveQty]&gt;0)*T_PlannedOrders[Order_Month])),"m月")&amp;"発注)")</f>
        <v/>
      </c>
      <c r="H1171">
        <f>IF(SUMIFS(T_PlannedOrders[EffectiveQty],T_PlannedOrders[Part Name],$A1131,T_PlannedOrders[WeekIndex],5)=0,"",SUMIFS(T_PlannedOrders[EffectiveQty],T_PlannedOrders[Part Name],$A1131,T_PlannedOrders[WeekIndex],5)&amp;" ("&amp;TEXT(SUMPRODUCT(MAX((T_PlannedOrders[Part Name]=$A1131)*(T_PlannedOrders[WeekIndex]=5)*(T_PlannedOrders[EffectiveQty]&gt;0)*T_PlannedOrders[Order_Month])),"m月")&amp;"発注)")</f>
        <v/>
      </c>
      <c r="I1171">
        <f>IF(SUMIFS(T_PlannedOrders[EffectiveQty],T_PlannedOrders[Part Name],$A1131,T_PlannedOrders[WeekIndex],6)=0,"",SUMIFS(T_PlannedOrders[EffectiveQty],T_PlannedOrders[Part Name],$A1131,T_PlannedOrders[WeekIndex],6)&amp;" ("&amp;TEXT(SUMPRODUCT(MAX((T_PlannedOrders[Part Name]=$A1131)*(T_PlannedOrders[WeekIndex]=6)*(T_PlannedOrders[EffectiveQty]&gt;0)*T_PlannedOrders[Order_Month])),"m月")&amp;"発注)")</f>
        <v/>
      </c>
      <c r="J1171">
        <f>IF(SUMIFS(T_PlannedOrders[EffectiveQty],T_PlannedOrders[Part Name],$A1131,T_PlannedOrders[WeekIndex],7)=0,"",SUMIFS(T_PlannedOrders[EffectiveQty],T_PlannedOrders[Part Name],$A1131,T_PlannedOrders[WeekIndex],7)&amp;" ("&amp;TEXT(SUMPRODUCT(MAX((T_PlannedOrders[Part Name]=$A1131)*(T_PlannedOrders[WeekIndex]=7)*(T_PlannedOrders[EffectiveQty]&gt;0)*T_PlannedOrders[Order_Month])),"m月")&amp;"発注)")</f>
        <v/>
      </c>
      <c r="K1171">
        <f>IF(SUMIFS(T_PlannedOrders[EffectiveQty],T_PlannedOrders[Part Name],$A1131,T_PlannedOrders[WeekIndex],8)=0,"",SUMIFS(T_PlannedOrders[EffectiveQty],T_PlannedOrders[Part Name],$A1131,T_PlannedOrders[WeekIndex],8)&amp;" ("&amp;TEXT(SUMPRODUCT(MAX((T_PlannedOrders[Part Name]=$A1131)*(T_PlannedOrders[WeekIndex]=8)*(T_PlannedOrders[EffectiveQty]&gt;0)*T_PlannedOrders[Order_Month])),"m月")&amp;"発注)")</f>
        <v/>
      </c>
      <c r="L1171">
        <f>IF(SUMIFS(T_PlannedOrders[EffectiveQty],T_PlannedOrders[Part Name],$A1131,T_PlannedOrders[WeekIndex],9)=0,"",SUMIFS(T_PlannedOrders[EffectiveQty],T_PlannedOrders[Part Name],$A1131,T_PlannedOrders[WeekIndex],9)&amp;" ("&amp;TEXT(SUMPRODUCT(MAX((T_PlannedOrders[Part Name]=$A1131)*(T_PlannedOrders[WeekIndex]=9)*(T_PlannedOrders[EffectiveQty]&gt;0)*T_PlannedOrders[Order_Month])),"m月")&amp;"発注)")</f>
        <v/>
      </c>
      <c r="M1171">
        <f>IF(SUMIFS(T_PlannedOrders[EffectiveQty],T_PlannedOrders[Part Name],$A1131,T_PlannedOrders[WeekIndex],10)=0,"",SUMIFS(T_PlannedOrders[EffectiveQty],T_PlannedOrders[Part Name],$A1131,T_PlannedOrders[WeekIndex],10)&amp;" ("&amp;TEXT(SUMPRODUCT(MAX((T_PlannedOrders[Part Name]=$A1131)*(T_PlannedOrders[WeekIndex]=10)*(T_PlannedOrders[EffectiveQty]&gt;0)*T_PlannedOrders[Order_Month])),"m月")&amp;"発注)")</f>
        <v/>
      </c>
      <c r="N1171">
        <f>IF(SUMIFS(T_PlannedOrders[EffectiveQty],T_PlannedOrders[Part Name],$A1131,T_PlannedOrders[WeekIndex],11)=0,"",SUMIFS(T_PlannedOrders[EffectiveQty],T_PlannedOrders[Part Name],$A1131,T_PlannedOrders[WeekIndex],11)&amp;" ("&amp;TEXT(SUMPRODUCT(MAX((T_PlannedOrders[Part Name]=$A1131)*(T_PlannedOrders[WeekIndex]=11)*(T_PlannedOrders[EffectiveQty]&gt;0)*T_PlannedOrders[Order_Month])),"m月")&amp;"発注)")</f>
        <v/>
      </c>
      <c r="O1171">
        <f>IF(SUMIFS(T_PlannedOrders[EffectiveQty],T_PlannedOrders[Part Name],$A1131,T_PlannedOrders[WeekIndex],12)=0,"",SUMIFS(T_PlannedOrders[EffectiveQty],T_PlannedOrders[Part Name],$A1131,T_PlannedOrders[WeekIndex],12)&amp;" ("&amp;TEXT(SUMPRODUCT(MAX((T_PlannedOrders[Part Name]=$A1131)*(T_PlannedOrders[WeekIndex]=12)*(T_PlannedOrders[EffectiveQty]&gt;0)*T_PlannedOrders[Order_Month])),"m月")&amp;"発注)")</f>
        <v/>
      </c>
      <c r="P1171">
        <f>IF(SUMIFS(T_PlannedOrders[EffectiveQty],T_PlannedOrders[Part Name],$A1131,T_PlannedOrders[WeekIndex],13)=0,"",SUMIFS(T_PlannedOrders[EffectiveQty],T_PlannedOrders[Part Name],$A1131,T_PlannedOrders[WeekIndex],13)&amp;" ("&amp;TEXT(SUMPRODUCT(MAX((T_PlannedOrders[Part Name]=$A1131)*(T_PlannedOrders[WeekIndex]=13)*(T_PlannedOrders[EffectiveQty]&gt;0)*T_PlannedOrders[Order_Month])),"m月")&amp;"発注)")</f>
        <v/>
      </c>
      <c r="Q1171">
        <f>IF(SUMIFS(T_PlannedOrders[EffectiveQty],T_PlannedOrders[Part Name],$A1131,T_PlannedOrders[WeekIndex],14)=0,"",SUMIFS(T_PlannedOrders[EffectiveQty],T_PlannedOrders[Part Name],$A1131,T_PlannedOrders[WeekIndex],14)&amp;" ("&amp;TEXT(SUMPRODUCT(MAX((T_PlannedOrders[Part Name]=$A1131)*(T_PlannedOrders[WeekIndex]=14)*(T_PlannedOrders[EffectiveQty]&gt;0)*T_PlannedOrders[Order_Month])),"m月")&amp;"発注)")</f>
        <v/>
      </c>
      <c r="R1171">
        <f>IF(SUMIFS(T_PlannedOrders[EffectiveQty],T_PlannedOrders[Part Name],$A1131,T_PlannedOrders[WeekIndex],15)=0,"",SUMIFS(T_PlannedOrders[EffectiveQty],T_PlannedOrders[Part Name],$A1131,T_PlannedOrders[WeekIndex],15)&amp;" ("&amp;TEXT(SUMPRODUCT(MAX((T_PlannedOrders[Part Name]=$A1131)*(T_PlannedOrders[WeekIndex]=15)*(T_PlannedOrders[EffectiveQty]&gt;0)*T_PlannedOrders[Order_Month])),"m月")&amp;"発注)")</f>
        <v/>
      </c>
      <c r="S1171">
        <f>IF(SUMIFS(T_PlannedOrders[EffectiveQty],T_PlannedOrders[Part Name],$A1131,T_PlannedOrders[WeekIndex],16)=0,"",SUMIFS(T_PlannedOrders[EffectiveQty],T_PlannedOrders[Part Name],$A1131,T_PlannedOrders[WeekIndex],16)&amp;" ("&amp;TEXT(SUMPRODUCT(MAX((T_PlannedOrders[Part Name]=$A1131)*(T_PlannedOrders[WeekIndex]=16)*(T_PlannedOrders[EffectiveQty]&gt;0)*T_PlannedOrders[Order_Month])),"m月")&amp;"発注)")</f>
        <v/>
      </c>
      <c r="T1171">
        <f>IF(SUMIFS(T_PlannedOrders[EffectiveQty],T_PlannedOrders[Part Name],$A1131,T_PlannedOrders[WeekIndex],17)=0,"",SUMIFS(T_PlannedOrders[EffectiveQty],T_PlannedOrders[Part Name],$A1131,T_PlannedOrders[WeekIndex],17)&amp;" ("&amp;TEXT(SUMPRODUCT(MAX((T_PlannedOrders[Part Name]=$A1131)*(T_PlannedOrders[WeekIndex]=17)*(T_PlannedOrders[EffectiveQty]&gt;0)*T_PlannedOrders[Order_Month])),"m月")&amp;"発注)")</f>
        <v/>
      </c>
      <c r="U1171">
        <f>IF(SUMIFS(T_PlannedOrders[EffectiveQty],T_PlannedOrders[Part Name],$A1131,T_PlannedOrders[WeekIndex],18)=0,"",SUMIFS(T_PlannedOrders[EffectiveQty],T_PlannedOrders[Part Name],$A1131,T_PlannedOrders[WeekIndex],18)&amp;" ("&amp;TEXT(SUMPRODUCT(MAX((T_PlannedOrders[Part Name]=$A1131)*(T_PlannedOrders[WeekIndex]=18)*(T_PlannedOrders[EffectiveQty]&gt;0)*T_PlannedOrders[Order_Month])),"m月")&amp;"発注)")</f>
        <v/>
      </c>
      <c r="V1171">
        <f>IF(SUMIFS(T_PlannedOrders[EffectiveQty],T_PlannedOrders[Part Name],$A1131,T_PlannedOrders[WeekIndex],19)=0,"",SUMIFS(T_PlannedOrders[EffectiveQty],T_PlannedOrders[Part Name],$A1131,T_PlannedOrders[WeekIndex],19)&amp;" ("&amp;TEXT(SUMPRODUCT(MAX((T_PlannedOrders[Part Name]=$A1131)*(T_PlannedOrders[WeekIndex]=19)*(T_PlannedOrders[EffectiveQty]&gt;0)*T_PlannedOrders[Order_Month])),"m月")&amp;"発注)")</f>
        <v/>
      </c>
      <c r="W1171">
        <f>IF(SUMIFS(T_PlannedOrders[EffectiveQty],T_PlannedOrders[Part Name],$A1131,T_PlannedOrders[WeekIndex],20)=0,"",SUMIFS(T_PlannedOrders[EffectiveQty],T_PlannedOrders[Part Name],$A1131,T_PlannedOrders[WeekIndex],20)&amp;" ("&amp;TEXT(SUMPRODUCT(MAX((T_PlannedOrders[Part Name]=$A1131)*(T_PlannedOrders[WeekIndex]=20)*(T_PlannedOrders[EffectiveQty]&gt;0)*T_PlannedOrders[Order_Month])),"m月")&amp;"発注)")</f>
        <v/>
      </c>
      <c r="X1171">
        <f>IF(SUMIFS(T_PlannedOrders[EffectiveQty],T_PlannedOrders[Part Name],$A1131,T_PlannedOrders[WeekIndex],21)=0,"",SUMIFS(T_PlannedOrders[EffectiveQty],T_PlannedOrders[Part Name],$A1131,T_PlannedOrders[WeekIndex],21)&amp;" ("&amp;TEXT(SUMPRODUCT(MAX((T_PlannedOrders[Part Name]=$A1131)*(T_PlannedOrders[WeekIndex]=21)*(T_PlannedOrders[EffectiveQty]&gt;0)*T_PlannedOrders[Order_Month])),"m月")&amp;"発注)")</f>
        <v/>
      </c>
      <c r="Y1171">
        <f>IF(SUMIFS(T_PlannedOrders[EffectiveQty],T_PlannedOrders[Part Name],$A1131,T_PlannedOrders[WeekIndex],22)=0,"",SUMIFS(T_PlannedOrders[EffectiveQty],T_PlannedOrders[Part Name],$A1131,T_PlannedOrders[WeekIndex],22)&amp;" ("&amp;TEXT(SUMPRODUCT(MAX((T_PlannedOrders[Part Name]=$A1131)*(T_PlannedOrders[WeekIndex]=22)*(T_PlannedOrders[EffectiveQty]&gt;0)*T_PlannedOrders[Order_Month])),"m月")&amp;"発注)")</f>
        <v/>
      </c>
      <c r="Z1171">
        <f>IF(SUMIFS(T_PlannedOrders[EffectiveQty],T_PlannedOrders[Part Name],$A1131,T_PlannedOrders[WeekIndex],23)=0,"",SUMIFS(T_PlannedOrders[EffectiveQty],T_PlannedOrders[Part Name],$A1131,T_PlannedOrders[WeekIndex],23)&amp;" ("&amp;TEXT(SUMPRODUCT(MAX((T_PlannedOrders[Part Name]=$A1131)*(T_PlannedOrders[WeekIndex]=23)*(T_PlannedOrders[EffectiveQty]&gt;0)*T_PlannedOrders[Order_Month])),"m月")&amp;"発注)")</f>
        <v/>
      </c>
      <c r="AA1171">
        <f>IF(SUMIFS(T_PlannedOrders[EffectiveQty],T_PlannedOrders[Part Name],$A1131,T_PlannedOrders[WeekIndex],24)=0,"",SUMIFS(T_PlannedOrders[EffectiveQty],T_PlannedOrders[Part Name],$A1131,T_PlannedOrders[WeekIndex],24)&amp;" ("&amp;TEXT(SUMPRODUCT(MAX((T_PlannedOrders[Part Name]=$A1131)*(T_PlannedOrders[WeekIndex]=24)*(T_PlannedOrders[EffectiveQty]&gt;0)*T_PlannedOrders[Order_Month])),"m月")&amp;"発注)")</f>
        <v/>
      </c>
      <c r="AB1171">
        <f>IF(SUMIFS(T_PlannedOrders[EffectiveQty],T_PlannedOrders[Part Name],$A1131,T_PlannedOrders[WeekIndex],25)=0,"",SUMIFS(T_PlannedOrders[EffectiveQty],T_PlannedOrders[Part Name],$A1131,T_PlannedOrders[WeekIndex],25)&amp;" ("&amp;TEXT(SUMPRODUCT(MAX((T_PlannedOrders[Part Name]=$A1131)*(T_PlannedOrders[WeekIndex]=25)*(T_PlannedOrders[EffectiveQty]&gt;0)*T_PlannedOrders[Order_Month])),"m月")&amp;"発注)")</f>
        <v/>
      </c>
      <c r="AC1171">
        <f>IF(SUMIFS(T_PlannedOrders[EffectiveQty],T_PlannedOrders[Part Name],$A1131,T_PlannedOrders[WeekIndex],26)=0,"",SUMIFS(T_PlannedOrders[EffectiveQty],T_PlannedOrders[Part Name],$A1131,T_PlannedOrders[WeekIndex],26)&amp;" ("&amp;TEXT(SUMPRODUCT(MAX((T_PlannedOrders[Part Name]=$A1131)*(T_PlannedOrders[WeekIndex]=26)*(T_PlannedOrders[EffectiveQty]&gt;0)*T_PlannedOrders[Order_Month])),"m月")&amp;"発注)")</f>
        <v/>
      </c>
      <c r="AD1171">
        <f>IF(SUMIFS(T_PlannedOrders[EffectiveQty],T_PlannedOrders[Part Name],$A1131,T_PlannedOrders[WeekIndex],27)=0,"",SUMIFS(T_PlannedOrders[EffectiveQty],T_PlannedOrders[Part Name],$A1131,T_PlannedOrders[WeekIndex],27)&amp;" ("&amp;TEXT(SUMPRODUCT(MAX((T_PlannedOrders[Part Name]=$A1131)*(T_PlannedOrders[WeekIndex]=27)*(T_PlannedOrders[EffectiveQty]&gt;0)*T_PlannedOrders[Order_Month])),"m月")&amp;"発注)")</f>
        <v/>
      </c>
      <c r="AE1171">
        <f>IF(SUMIFS(T_PlannedOrders[EffectiveQty],T_PlannedOrders[Part Name],$A1131,T_PlannedOrders[WeekIndex],28)=0,"",SUMIFS(T_PlannedOrders[EffectiveQty],T_PlannedOrders[Part Name],$A1131,T_PlannedOrders[WeekIndex],28)&amp;" ("&amp;TEXT(SUMPRODUCT(MAX((T_PlannedOrders[Part Name]=$A1131)*(T_PlannedOrders[WeekIndex]=28)*(T_PlannedOrders[EffectiveQty]&gt;0)*T_PlannedOrders[Order_Month])),"m月")&amp;"発注)")</f>
        <v/>
      </c>
      <c r="AF1171">
        <f>IF(SUMIFS(T_PlannedOrders[EffectiveQty],T_PlannedOrders[Part Name],$A1131,T_PlannedOrders[WeekIndex],29)=0,"",SUMIFS(T_PlannedOrders[EffectiveQty],T_PlannedOrders[Part Name],$A1131,T_PlannedOrders[WeekIndex],29)&amp;" ("&amp;TEXT(SUMPRODUCT(MAX((T_PlannedOrders[Part Name]=$A1131)*(T_PlannedOrders[WeekIndex]=29)*(T_PlannedOrders[EffectiveQty]&gt;0)*T_PlannedOrders[Order_Month])),"m月")&amp;"発注)")</f>
        <v/>
      </c>
      <c r="AG1171">
        <f>IF(SUMIFS(T_PlannedOrders[EffectiveQty],T_PlannedOrders[Part Name],$A1131,T_PlannedOrders[WeekIndex],30)=0,"",SUMIFS(T_PlannedOrders[EffectiveQty],T_PlannedOrders[Part Name],$A1131,T_PlannedOrders[WeekIndex],30)&amp;" ("&amp;TEXT(SUMPRODUCT(MAX((T_PlannedOrders[Part Name]=$A1131)*(T_PlannedOrders[WeekIndex]=30)*(T_PlannedOrders[EffectiveQty]&gt;0)*T_PlannedOrders[Order_Month])),"m月")&amp;"発注)")</f>
        <v/>
      </c>
      <c r="AH1171">
        <f>IF(SUMIFS(T_PlannedOrders[EffectiveQty],T_PlannedOrders[Part Name],$A1131,T_PlannedOrders[WeekIndex],31)=0,"",SUMIFS(T_PlannedOrders[EffectiveQty],T_PlannedOrders[Part Name],$A1131,T_PlannedOrders[WeekIndex],31)&amp;" ("&amp;TEXT(SUMPRODUCT(MAX((T_PlannedOrders[Part Name]=$A1131)*(T_PlannedOrders[WeekIndex]=31)*(T_PlannedOrders[EffectiveQty]&gt;0)*T_PlannedOrders[Order_Month])),"m月")&amp;"発注)")</f>
        <v/>
      </c>
      <c r="AI1171">
        <f>IF(SUMIFS(T_PlannedOrders[EffectiveQty],T_PlannedOrders[Part Name],$A1131,T_PlannedOrders[WeekIndex],32)=0,"",SUMIFS(T_PlannedOrders[EffectiveQty],T_PlannedOrders[Part Name],$A1131,T_PlannedOrders[WeekIndex],32)&amp;" ("&amp;TEXT(SUMPRODUCT(MAX((T_PlannedOrders[Part Name]=$A1131)*(T_PlannedOrders[WeekIndex]=32)*(T_PlannedOrders[EffectiveQty]&gt;0)*T_PlannedOrders[Order_Month])),"m月")&amp;"発注)")</f>
        <v/>
      </c>
      <c r="AJ1171">
        <f>IF(SUMIFS(T_PlannedOrders[EffectiveQty],T_PlannedOrders[Part Name],$A1131,T_PlannedOrders[WeekIndex],33)=0,"",SUMIFS(T_PlannedOrders[EffectiveQty],T_PlannedOrders[Part Name],$A1131,T_PlannedOrders[WeekIndex],33)&amp;" ("&amp;TEXT(SUMPRODUCT(MAX((T_PlannedOrders[Part Name]=$A1131)*(T_PlannedOrders[WeekIndex]=33)*(T_PlannedOrders[EffectiveQty]&gt;0)*T_PlannedOrders[Order_Month])),"m月")&amp;"発注)")</f>
        <v/>
      </c>
      <c r="AK1171">
        <f>IF(SUMIFS(T_PlannedOrders[EffectiveQty],T_PlannedOrders[Part Name],$A1131,T_PlannedOrders[WeekIndex],34)=0,"",SUMIFS(T_PlannedOrders[EffectiveQty],T_PlannedOrders[Part Name],$A1131,T_PlannedOrders[WeekIndex],34)&amp;" ("&amp;TEXT(SUMPRODUCT(MAX((T_PlannedOrders[Part Name]=$A1131)*(T_PlannedOrders[WeekIndex]=34)*(T_PlannedOrders[EffectiveQty]&gt;0)*T_PlannedOrders[Order_Month])),"m月")&amp;"発注)")</f>
        <v/>
      </c>
      <c r="AL1171">
        <f>IF(SUMIFS(T_PlannedOrders[EffectiveQty],T_PlannedOrders[Part Name],$A1131,T_PlannedOrders[WeekIndex],35)=0,"",SUMIFS(T_PlannedOrders[EffectiveQty],T_PlannedOrders[Part Name],$A1131,T_PlannedOrders[WeekIndex],35)&amp;" ("&amp;TEXT(SUMPRODUCT(MAX((T_PlannedOrders[Part Name]=$A1131)*(T_PlannedOrders[WeekIndex]=35)*(T_PlannedOrders[EffectiveQty]&gt;0)*T_PlannedOrders[Order_Month])),"m月")&amp;"発注)")</f>
        <v/>
      </c>
      <c r="AM1171">
        <f>IF(SUMIFS(T_PlannedOrders[EffectiveQty],T_PlannedOrders[Part Name],$A1131,T_PlannedOrders[WeekIndex],36)=0,"",SUMIFS(T_PlannedOrders[EffectiveQty],T_PlannedOrders[Part Name],$A1131,T_PlannedOrders[WeekIndex],36)&amp;" ("&amp;TEXT(SUMPRODUCT(MAX((T_PlannedOrders[Part Name]=$A1131)*(T_PlannedOrders[WeekIndex]=36)*(T_PlannedOrders[EffectiveQty]&gt;0)*T_PlannedOrders[Order_Month])),"m月")&amp;"発注)")</f>
        <v/>
      </c>
      <c r="AN1171">
        <f>IF(SUMIFS(T_PlannedOrders[EffectiveQty],T_PlannedOrders[Part Name],$A1131,T_PlannedOrders[WeekIndex],37)=0,"",SUMIFS(T_PlannedOrders[EffectiveQty],T_PlannedOrders[Part Name],$A1131,T_PlannedOrders[WeekIndex],37)&amp;" ("&amp;TEXT(SUMPRODUCT(MAX((T_PlannedOrders[Part Name]=$A1131)*(T_PlannedOrders[WeekIndex]=37)*(T_PlannedOrders[EffectiveQty]&gt;0)*T_PlannedOrders[Order_Month])),"m月")&amp;"発注)")</f>
        <v/>
      </c>
      <c r="AO1171">
        <f>IF(SUMIFS(T_PlannedOrders[EffectiveQty],T_PlannedOrders[Part Name],$A1131,T_PlannedOrders[WeekIndex],38)=0,"",SUMIFS(T_PlannedOrders[EffectiveQty],T_PlannedOrders[Part Name],$A1131,T_PlannedOrders[WeekIndex],38)&amp;" ("&amp;TEXT(SUMPRODUCT(MAX((T_PlannedOrders[Part Name]=$A1131)*(T_PlannedOrders[WeekIndex]=38)*(T_PlannedOrders[EffectiveQty]&gt;0)*T_PlannedOrders[Order_Month])),"m月")&amp;"発注)")</f>
        <v/>
      </c>
      <c r="AP1171">
        <f>IF(SUMIFS(T_PlannedOrders[EffectiveQty],T_PlannedOrders[Part Name],$A1131,T_PlannedOrders[WeekIndex],39)=0,"",SUMIFS(T_PlannedOrders[EffectiveQty],T_PlannedOrders[Part Name],$A1131,T_PlannedOrders[WeekIndex],39)&amp;" ("&amp;TEXT(SUMPRODUCT(MAX((T_PlannedOrders[Part Name]=$A1131)*(T_PlannedOrders[WeekIndex]=39)*(T_PlannedOrders[EffectiveQty]&gt;0)*T_PlannedOrders[Order_Month])),"m月")&amp;"発注)")</f>
        <v/>
      </c>
      <c r="AQ1171">
        <f>IF(SUMIFS(T_PlannedOrders[EffectiveQty],T_PlannedOrders[Part Name],$A1131,T_PlannedOrders[WeekIndex],40)=0,"",SUMIFS(T_PlannedOrders[EffectiveQty],T_PlannedOrders[Part Name],$A1131,T_PlannedOrders[WeekIndex],40)&amp;" ("&amp;TEXT(SUMPRODUCT(MAX((T_PlannedOrders[Part Name]=$A1131)*(T_PlannedOrders[WeekIndex]=40)*(T_PlannedOrders[EffectiveQty]&gt;0)*T_PlannedOrders[Order_Month])),"m月")&amp;"発注)")</f>
        <v/>
      </c>
      <c r="AR1171">
        <f>IF(SUMIFS(T_PlannedOrders[EffectiveQty],T_PlannedOrders[Part Name],$A1131,T_PlannedOrders[WeekIndex],41)=0,"",SUMIFS(T_PlannedOrders[EffectiveQty],T_PlannedOrders[Part Name],$A1131,T_PlannedOrders[WeekIndex],41)&amp;" ("&amp;TEXT(SUMPRODUCT(MAX((T_PlannedOrders[Part Name]=$A1131)*(T_PlannedOrders[WeekIndex]=41)*(T_PlannedOrders[EffectiveQty]&gt;0)*T_PlannedOrders[Order_Month])),"m月")&amp;"発注)")</f>
        <v/>
      </c>
      <c r="AS1171">
        <f>IF(SUMIFS(T_PlannedOrders[EffectiveQty],T_PlannedOrders[Part Name],$A1131,T_PlannedOrders[WeekIndex],42)=0,"",SUMIFS(T_PlannedOrders[EffectiveQty],T_PlannedOrders[Part Name],$A1131,T_PlannedOrders[WeekIndex],42)&amp;" ("&amp;TEXT(SUMPRODUCT(MAX((T_PlannedOrders[Part Name]=$A1131)*(T_PlannedOrders[WeekIndex]=42)*(T_PlannedOrders[EffectiveQty]&gt;0)*T_PlannedOrders[Order_Month])),"m月")&amp;"発注)")</f>
        <v/>
      </c>
      <c r="AT1171">
        <f>IF(SUMIFS(T_PlannedOrders[EffectiveQty],T_PlannedOrders[Part Name],$A1131,T_PlannedOrders[WeekIndex],43)=0,"",SUMIFS(T_PlannedOrders[EffectiveQty],T_PlannedOrders[Part Name],$A1131,T_PlannedOrders[WeekIndex],43)&amp;" ("&amp;TEXT(SUMPRODUCT(MAX((T_PlannedOrders[Part Name]=$A1131)*(T_PlannedOrders[WeekIndex]=43)*(T_PlannedOrders[EffectiveQty]&gt;0)*T_PlannedOrders[Order_Month])),"m月")&amp;"発注)")</f>
        <v/>
      </c>
      <c r="AU1171">
        <f>IF(SUMIFS(T_PlannedOrders[EffectiveQty],T_PlannedOrders[Part Name],$A1131,T_PlannedOrders[WeekIndex],44)=0,"",SUMIFS(T_PlannedOrders[EffectiveQty],T_PlannedOrders[Part Name],$A1131,T_PlannedOrders[WeekIndex],44)&amp;" ("&amp;TEXT(SUMPRODUCT(MAX((T_PlannedOrders[Part Name]=$A1131)*(T_PlannedOrders[WeekIndex]=44)*(T_PlannedOrders[EffectiveQty]&gt;0)*T_PlannedOrders[Order_Month])),"m月")&amp;"発注)")</f>
        <v/>
      </c>
      <c r="AV1171">
        <f>IF(SUMIFS(T_PlannedOrders[EffectiveQty],T_PlannedOrders[Part Name],$A1131,T_PlannedOrders[WeekIndex],45)=0,"",SUMIFS(T_PlannedOrders[EffectiveQty],T_PlannedOrders[Part Name],$A1131,T_PlannedOrders[WeekIndex],45)&amp;" ("&amp;TEXT(SUMPRODUCT(MAX((T_PlannedOrders[Part Name]=$A1131)*(T_PlannedOrders[WeekIndex]=45)*(T_PlannedOrders[EffectiveQty]&gt;0)*T_PlannedOrders[Order_Month])),"m月")&amp;"発注)")</f>
        <v/>
      </c>
      <c r="AW1171">
        <f>IF(SUMIFS(T_PlannedOrders[EffectiveQty],T_PlannedOrders[Part Name],$A1131,T_PlannedOrders[WeekIndex],46)=0,"",SUMIFS(T_PlannedOrders[EffectiveQty],T_PlannedOrders[Part Name],$A1131,T_PlannedOrders[WeekIndex],46)&amp;" ("&amp;TEXT(SUMPRODUCT(MAX((T_PlannedOrders[Part Name]=$A1131)*(T_PlannedOrders[WeekIndex]=46)*(T_PlannedOrders[EffectiveQty]&gt;0)*T_PlannedOrders[Order_Month])),"m月")&amp;"発注)")</f>
        <v/>
      </c>
      <c r="AX1171">
        <f>IF(SUMIFS(T_PlannedOrders[EffectiveQty],T_PlannedOrders[Part Name],$A1131,T_PlannedOrders[WeekIndex],47)=0,"",SUMIFS(T_PlannedOrders[EffectiveQty],T_PlannedOrders[Part Name],$A1131,T_PlannedOrders[WeekIndex],47)&amp;" ("&amp;TEXT(SUMPRODUCT(MAX((T_PlannedOrders[Part Name]=$A1131)*(T_PlannedOrders[WeekIndex]=47)*(T_PlannedOrders[EffectiveQty]&gt;0)*T_PlannedOrders[Order_Month])),"m月")&amp;"発注)")</f>
        <v/>
      </c>
      <c r="AY1171">
        <f>IF(SUMIFS(T_PlannedOrders[EffectiveQty],T_PlannedOrders[Part Name],$A1131,T_PlannedOrders[WeekIndex],48)=0,"",SUMIFS(T_PlannedOrders[EffectiveQty],T_PlannedOrders[Part Name],$A1131,T_PlannedOrders[WeekIndex],48)&amp;" ("&amp;TEXT(SUMPRODUCT(MAX((T_PlannedOrders[Part Name]=$A1131)*(T_PlannedOrders[WeekIndex]=48)*(T_PlannedOrders[EffectiveQty]&gt;0)*T_PlannedOrders[Order_Month])),"m月")&amp;"発注)")</f>
        <v/>
      </c>
      <c r="AZ1171">
        <f>IF(SUMIFS(T_PlannedOrders[EffectiveQty],T_PlannedOrders[Part Name],$A1131,T_PlannedOrders[WeekIndex],49)=0,"",SUMIFS(T_PlannedOrders[EffectiveQty],T_PlannedOrders[Part Name],$A1131,T_PlannedOrders[WeekIndex],49)&amp;" ("&amp;TEXT(SUMPRODUCT(MAX((T_PlannedOrders[Part Name]=$A1131)*(T_PlannedOrders[WeekIndex]=49)*(T_PlannedOrders[EffectiveQty]&gt;0)*T_PlannedOrders[Order_Month])),"m月")&amp;"発注)")</f>
        <v/>
      </c>
      <c r="BA1171">
        <f>IF(SUMIFS(T_PlannedOrders[EffectiveQty],T_PlannedOrders[Part Name],$A1131,T_PlannedOrders[WeekIndex],50)=0,"",SUMIFS(T_PlannedOrders[EffectiveQty],T_PlannedOrders[Part Name],$A1131,T_PlannedOrders[WeekIndex],50)&amp;" ("&amp;TEXT(SUMPRODUCT(MAX((T_PlannedOrders[Part Name]=$A1131)*(T_PlannedOrders[WeekIndex]=50)*(T_PlannedOrders[EffectiveQty]&gt;0)*T_PlannedOrders[Order_Month])),"m月")&amp;"発注)")</f>
        <v/>
      </c>
      <c r="BB1171">
        <f>IF(SUMIFS(T_PlannedOrders[EffectiveQty],T_PlannedOrders[Part Name],$A1131,T_PlannedOrders[WeekIndex],51)=0,"",SUMIFS(T_PlannedOrders[EffectiveQty],T_PlannedOrders[Part Name],$A1131,T_PlannedOrders[WeekIndex],51)&amp;" ("&amp;TEXT(SUMPRODUCT(MAX((T_PlannedOrders[Part Name]=$A1131)*(T_PlannedOrders[WeekIndex]=51)*(T_PlannedOrders[EffectiveQty]&gt;0)*T_PlannedOrders[Order_Month])),"m月")&amp;"発注)")</f>
        <v/>
      </c>
      <c r="BC1171">
        <f>IF(SUMIFS(T_PlannedOrders[EffectiveQty],T_PlannedOrders[Part Name],$A1131,T_PlannedOrders[WeekIndex],52)=0,"",SUMIFS(T_PlannedOrders[EffectiveQty],T_PlannedOrders[Part Name],$A1131,T_PlannedOrders[WeekIndex],52)&amp;" ("&amp;TEXT(SUMPRODUCT(MAX((T_PlannedOrders[Part Name]=$A1131)*(T_PlannedOrders[WeekIndex]=52)*(T_PlannedOrders[EffectiveQty]&gt;0)*T_PlannedOrders[Order_Month])),"m月")&amp;"発注)")</f>
        <v/>
      </c>
      <c r="BD1171">
        <f>IF(SUMIFS(T_PlannedOrders[EffectiveQty],T_PlannedOrders[Part Name],$A1131,T_PlannedOrders[WeekIndex],53)=0,"",SUMIFS(T_PlannedOrders[EffectiveQty],T_PlannedOrders[Part Name],$A1131,T_PlannedOrders[WeekIndex],53)&amp;" ("&amp;TEXT(SUMPRODUCT(MAX((T_PlannedOrders[Part Name]=$A1131)*(T_PlannedOrders[WeekIndex]=53)*(T_PlannedOrders[EffectiveQty]&gt;0)*T_PlannedOrders[Order_Month])),"m月")&amp;"発注)")</f>
        <v/>
      </c>
      <c r="BE1171">
        <f>IF(SUMIFS(T_PlannedOrders[EffectiveQty],T_PlannedOrders[Part Name],$A1131,T_PlannedOrders[WeekIndex],54)=0,"",SUMIFS(T_PlannedOrders[EffectiveQty],T_PlannedOrders[Part Name],$A1131,T_PlannedOrders[WeekIndex],54)&amp;" ("&amp;TEXT(SUMPRODUCT(MAX((T_PlannedOrders[Part Name]=$A1131)*(T_PlannedOrders[WeekIndex]=54)*(T_PlannedOrders[EffectiveQty]&gt;0)*T_PlannedOrders[Order_Month])),"m月")&amp;"発注)")</f>
        <v/>
      </c>
      <c r="BF1171">
        <f>IF(SUMIFS(T_PlannedOrders[EffectiveQty],T_PlannedOrders[Part Name],$A1131,T_PlannedOrders[WeekIndex],55)=0,"",SUMIFS(T_PlannedOrders[EffectiveQty],T_PlannedOrders[Part Name],$A1131,T_PlannedOrders[WeekIndex],55)&amp;" ("&amp;TEXT(SUMPRODUCT(MAX((T_PlannedOrders[Part Name]=$A1131)*(T_PlannedOrders[WeekIndex]=55)*(T_PlannedOrders[EffectiveQty]&gt;0)*T_PlannedOrders[Order_Month])),"m月")&amp;"発注)")</f>
        <v/>
      </c>
      <c r="BG1171">
        <f>IF(SUMIFS(T_PlannedOrders[EffectiveQty],T_PlannedOrders[Part Name],$A1131,T_PlannedOrders[WeekIndex],56)=0,"",SUMIFS(T_PlannedOrders[EffectiveQty],T_PlannedOrders[Part Name],$A1131,T_PlannedOrders[WeekIndex],56)&amp;" ("&amp;TEXT(SUMPRODUCT(MAX((T_PlannedOrders[Part Name]=$A1131)*(T_PlannedOrders[WeekIndex]=56)*(T_PlannedOrders[EffectiveQty]&gt;0)*T_PlannedOrders[Order_Month])),"m月")&amp;"発注)")</f>
        <v/>
      </c>
      <c r="BH1171">
        <f>IF(SUMIFS(T_PlannedOrders[EffectiveQty],T_PlannedOrders[Part Name],$A1131,T_PlannedOrders[WeekIndex],57)=0,"",SUMIFS(T_PlannedOrders[EffectiveQty],T_PlannedOrders[Part Name],$A1131,T_PlannedOrders[WeekIndex],57)&amp;" ("&amp;TEXT(SUMPRODUCT(MAX((T_PlannedOrders[Part Name]=$A1131)*(T_PlannedOrders[WeekIndex]=57)*(T_PlannedOrders[EffectiveQty]&gt;0)*T_PlannedOrders[Order_Month])),"m月")&amp;"発注)")</f>
        <v/>
      </c>
      <c r="BI1171">
        <f>IF(SUMIFS(T_PlannedOrders[EffectiveQty],T_PlannedOrders[Part Name],$A1131,T_PlannedOrders[WeekIndex],58)=0,"",SUMIFS(T_PlannedOrders[EffectiveQty],T_PlannedOrders[Part Name],$A1131,T_PlannedOrders[WeekIndex],58)&amp;" ("&amp;TEXT(SUMPRODUCT(MAX((T_PlannedOrders[Part Name]=$A1131)*(T_PlannedOrders[WeekIndex]=58)*(T_PlannedOrders[EffectiveQty]&gt;0)*T_PlannedOrders[Order_Month])),"m月")&amp;"発注)")</f>
        <v/>
      </c>
      <c r="BJ1171">
        <f>IF(SUMIFS(T_PlannedOrders[EffectiveQty],T_PlannedOrders[Part Name],$A1131,T_PlannedOrders[WeekIndex],59)=0,"",SUMIFS(T_PlannedOrders[EffectiveQty],T_PlannedOrders[Part Name],$A1131,T_PlannedOrders[WeekIndex],59)&amp;" ("&amp;TEXT(SUMPRODUCT(MAX((T_PlannedOrders[Part Name]=$A1131)*(T_PlannedOrders[WeekIndex]=59)*(T_PlannedOrders[EffectiveQty]&gt;0)*T_PlannedOrders[Order_Month])),"m月")&amp;"発注)")</f>
        <v/>
      </c>
      <c r="BK1171">
        <f>IF(SUMIFS(T_PlannedOrders[EffectiveQty],T_PlannedOrders[Part Name],$A1131,T_PlannedOrders[WeekIndex],60)=0,"",SUMIFS(T_PlannedOrders[EffectiveQty],T_PlannedOrders[Part Name],$A1131,T_PlannedOrders[WeekIndex],60)&amp;" ("&amp;TEXT(SUMPRODUCT(MAX((T_PlannedOrders[Part Name]=$A1131)*(T_PlannedOrders[WeekIndex]=60)*(T_PlannedOrders[EffectiveQty]&gt;0)*T_PlannedOrders[Order_Month])),"m月")&amp;"発注)")</f>
        <v/>
      </c>
      <c r="BL1171">
        <f>IF(SUMIFS(T_PlannedOrders[EffectiveQty],T_PlannedOrders[Part Name],$A1131,T_PlannedOrders[WeekIndex],61)=0,"",SUMIFS(T_PlannedOrders[EffectiveQty],T_PlannedOrders[Part Name],$A1131,T_PlannedOrders[WeekIndex],61)&amp;" ("&amp;TEXT(SUMPRODUCT(MAX((T_PlannedOrders[Part Name]=$A1131)*(T_PlannedOrders[WeekIndex]=61)*(T_PlannedOrders[EffectiveQty]&gt;0)*T_PlannedOrders[Order_Month])),"m月")&amp;"発注)")</f>
        <v/>
      </c>
      <c r="BM1171">
        <f>IF(SUMIFS(T_PlannedOrders[EffectiveQty],T_PlannedOrders[Part Name],$A1131,T_PlannedOrders[WeekIndex],62)=0,"",SUMIFS(T_PlannedOrders[EffectiveQty],T_PlannedOrders[Part Name],$A1131,T_PlannedOrders[WeekIndex],62)&amp;" ("&amp;TEXT(SUMPRODUCT(MAX((T_PlannedOrders[Part Name]=$A1131)*(T_PlannedOrders[WeekIndex]=62)*(T_PlannedOrders[EffectiveQty]&gt;0)*T_PlannedOrders[Order_Month])),"m月")&amp;"発注)")</f>
        <v/>
      </c>
      <c r="BN1171">
        <f>IF(SUMIFS(T_PlannedOrders[EffectiveQty],T_PlannedOrders[Part Name],$A1131,T_PlannedOrders[WeekIndex],63)=0,"",SUMIFS(T_PlannedOrders[EffectiveQty],T_PlannedOrders[Part Name],$A1131,T_PlannedOrders[WeekIndex],63)&amp;" ("&amp;TEXT(SUMPRODUCT(MAX((T_PlannedOrders[Part Name]=$A1131)*(T_PlannedOrders[WeekIndex]=63)*(T_PlannedOrders[EffectiveQty]&gt;0)*T_PlannedOrders[Order_Month])),"m月")&amp;"発注)")</f>
        <v/>
      </c>
      <c r="BO1171">
        <f>IF(SUMIFS(T_PlannedOrders[EffectiveQty],T_PlannedOrders[Part Name],$A1131,T_PlannedOrders[WeekIndex],64)=0,"",SUMIFS(T_PlannedOrders[EffectiveQty],T_PlannedOrders[Part Name],$A1131,T_PlannedOrders[WeekIndex],64)&amp;" ("&amp;TEXT(SUMPRODUCT(MAX((T_PlannedOrders[Part Name]=$A1131)*(T_PlannedOrders[WeekIndex]=64)*(T_PlannedOrders[EffectiveQty]&gt;0)*T_PlannedOrders[Order_Month])),"m月")&amp;"発注)")</f>
        <v/>
      </c>
      <c r="BP1171">
        <f>IF(SUMIFS(T_PlannedOrders[EffectiveQty],T_PlannedOrders[Part Name],$A1131,T_PlannedOrders[WeekIndex],65)=0,"",SUMIFS(T_PlannedOrders[EffectiveQty],T_PlannedOrders[Part Name],$A1131,T_PlannedOrders[WeekIndex],65)&amp;" ("&amp;TEXT(SUMPRODUCT(MAX((T_PlannedOrders[Part Name]=$A1131)*(T_PlannedOrders[WeekIndex]=65)*(T_PlannedOrders[EffectiveQty]&gt;0)*T_PlannedOrders[Order_Month])),"m月")&amp;"発注)")</f>
        <v/>
      </c>
      <c r="BQ1171">
        <f>IF(SUMIFS(T_PlannedOrders[EffectiveQty],T_PlannedOrders[Part Name],$A1131,T_PlannedOrders[WeekIndex],66)=0,"",SUMIFS(T_PlannedOrders[EffectiveQty],T_PlannedOrders[Part Name],$A1131,T_PlannedOrders[WeekIndex],66)&amp;" ("&amp;TEXT(SUMPRODUCT(MAX((T_PlannedOrders[Part Name]=$A1131)*(T_PlannedOrders[WeekIndex]=66)*(T_PlannedOrders[EffectiveQty]&gt;0)*T_PlannedOrders[Order_Month])),"m月")&amp;"発注)")</f>
        <v/>
      </c>
      <c r="BR1171">
        <f>IF(SUMIFS(T_PlannedOrders[EffectiveQty],T_PlannedOrders[Part Name],$A1131,T_PlannedOrders[WeekIndex],67)=0,"",SUMIFS(T_PlannedOrders[EffectiveQty],T_PlannedOrders[Part Name],$A1131,T_PlannedOrders[WeekIndex],67)&amp;" ("&amp;TEXT(SUMPRODUCT(MAX((T_PlannedOrders[Part Name]=$A1131)*(T_PlannedOrders[WeekIndex]=67)*(T_PlannedOrders[EffectiveQty]&gt;0)*T_PlannedOrders[Order_Month])),"m月")&amp;"発注)")</f>
        <v/>
      </c>
      <c r="BS1171">
        <f>IF(SUMIFS(T_PlannedOrders[EffectiveQty],T_PlannedOrders[Part Name],$A1131,T_PlannedOrders[WeekIndex],68)=0,"",SUMIFS(T_PlannedOrders[EffectiveQty],T_PlannedOrders[Part Name],$A1131,T_PlannedOrders[WeekIndex],68)&amp;" ("&amp;TEXT(SUMPRODUCT(MAX((T_PlannedOrders[Part Name]=$A1131)*(T_PlannedOrders[WeekIndex]=68)*(T_PlannedOrders[EffectiveQty]&gt;0)*T_PlannedOrders[Order_Month])),"m月")&amp;"発注)")</f>
        <v/>
      </c>
      <c r="BT1171">
        <f>IF(SUMIFS(T_PlannedOrders[EffectiveQty],T_PlannedOrders[Part Name],$A1131,T_PlannedOrders[WeekIndex],69)=0,"",SUMIFS(T_PlannedOrders[EffectiveQty],T_PlannedOrders[Part Name],$A1131,T_PlannedOrders[WeekIndex],69)&amp;" ("&amp;TEXT(SUMPRODUCT(MAX((T_PlannedOrders[Part Name]=$A1131)*(T_PlannedOrders[WeekIndex]=69)*(T_PlannedOrders[EffectiveQty]&gt;0)*T_PlannedOrders[Order_Month])),"m月")&amp;"発注)")</f>
        <v/>
      </c>
      <c r="BU1171">
        <f>IF(SUMIFS(T_PlannedOrders[EffectiveQty],T_PlannedOrders[Part Name],$A1131,T_PlannedOrders[WeekIndex],70)=0,"",SUMIFS(T_PlannedOrders[EffectiveQty],T_PlannedOrders[Part Name],$A1131,T_PlannedOrders[WeekIndex],70)&amp;" ("&amp;TEXT(SUMPRODUCT(MAX((T_PlannedOrders[Part Name]=$A1131)*(T_PlannedOrders[WeekIndex]=70)*(T_PlannedOrders[EffectiveQty]&gt;0)*T_PlannedOrders[Order_Month])),"m月")&amp;"発注)")</f>
        <v/>
      </c>
      <c r="BV1171">
        <f>IF(SUMIFS(T_PlannedOrders[EffectiveQty],T_PlannedOrders[Part Name],$A1131,T_PlannedOrders[WeekIndex],71)=0,"",SUMIFS(T_PlannedOrders[EffectiveQty],T_PlannedOrders[Part Name],$A1131,T_PlannedOrders[WeekIndex],71)&amp;" ("&amp;TEXT(SUMPRODUCT(MAX((T_PlannedOrders[Part Name]=$A1131)*(T_PlannedOrders[WeekIndex]=71)*(T_PlannedOrders[EffectiveQty]&gt;0)*T_PlannedOrders[Order_Month])),"m月")&amp;"発注)")</f>
        <v/>
      </c>
      <c r="BW1171">
        <f>IF(SUMIFS(T_PlannedOrders[EffectiveQty],T_PlannedOrders[Part Name],$A1131,T_PlannedOrders[WeekIndex],72)=0,"",SUMIFS(T_PlannedOrders[EffectiveQty],T_PlannedOrders[Part Name],$A1131,T_PlannedOrders[WeekIndex],72)&amp;" ("&amp;TEXT(SUMPRODUCT(MAX((T_PlannedOrders[Part Name]=$A1131)*(T_PlannedOrders[WeekIndex]=72)*(T_PlannedOrders[EffectiveQty]&gt;0)*T_PlannedOrders[Order_Month])),"m月")&amp;"発注)")</f>
        <v/>
      </c>
      <c r="BX1171">
        <f>IF(SUMIFS(T_PlannedOrders[EffectiveQty],T_PlannedOrders[Part Name],$A1131,T_PlannedOrders[WeekIndex],73)=0,"",SUMIFS(T_PlannedOrders[EffectiveQty],T_PlannedOrders[Part Name],$A1131,T_PlannedOrders[WeekIndex],73)&amp;" ("&amp;TEXT(SUMPRODUCT(MAX((T_PlannedOrders[Part Name]=$A1131)*(T_PlannedOrders[WeekIndex]=73)*(T_PlannedOrders[EffectiveQty]&gt;0)*T_PlannedOrders[Order_Month])),"m月")&amp;"発注)")</f>
        <v/>
      </c>
      <c r="BY1171">
        <f>IF(SUMIFS(T_PlannedOrders[EffectiveQty],T_PlannedOrders[Part Name],$A1131,T_PlannedOrders[WeekIndex],74)=0,"",SUMIFS(T_PlannedOrders[EffectiveQty],T_PlannedOrders[Part Name],$A1131,T_PlannedOrders[WeekIndex],74)&amp;" ("&amp;TEXT(SUMPRODUCT(MAX((T_PlannedOrders[Part Name]=$A1131)*(T_PlannedOrders[WeekIndex]=74)*(T_PlannedOrders[EffectiveQty]&gt;0)*T_PlannedOrders[Order_Month])),"m月")&amp;"発注)")</f>
        <v/>
      </c>
      <c r="BZ1171">
        <f>IF(SUMIFS(T_PlannedOrders[EffectiveQty],T_PlannedOrders[Part Name],$A1131,T_PlannedOrders[WeekIndex],75)=0,"",SUMIFS(T_PlannedOrders[EffectiveQty],T_PlannedOrders[Part Name],$A1131,T_PlannedOrders[WeekIndex],75)&amp;" ("&amp;TEXT(SUMPRODUCT(MAX((T_PlannedOrders[Part Name]=$A1131)*(T_PlannedOrders[WeekIndex]=75)*(T_PlannedOrders[EffectiveQty]&gt;0)*T_PlannedOrders[Order_Month])),"m月")&amp;"発注)")</f>
        <v/>
      </c>
      <c r="CA1171">
        <f>IF(SUMIFS(T_PlannedOrders[EffectiveQty],T_PlannedOrders[Part Name],$A1131,T_PlannedOrders[WeekIndex],76)=0,"",SUMIFS(T_PlannedOrders[EffectiveQty],T_PlannedOrders[Part Name],$A1131,T_PlannedOrders[WeekIndex],76)&amp;" ("&amp;TEXT(SUMPRODUCT(MAX((T_PlannedOrders[Part Name]=$A1131)*(T_PlannedOrders[WeekIndex]=76)*(T_PlannedOrders[EffectiveQty]&gt;0)*T_PlannedOrders[Order_Month])),"m月")&amp;"発注)")</f>
        <v/>
      </c>
      <c r="CB1171">
        <f>IF(SUMIFS(T_PlannedOrders[EffectiveQty],T_PlannedOrders[Part Name],$A1131,T_PlannedOrders[WeekIndex],77)=0,"",SUMIFS(T_PlannedOrders[EffectiveQty],T_PlannedOrders[Part Name],$A1131,T_PlannedOrders[WeekIndex],77)&amp;" ("&amp;TEXT(SUMPRODUCT(MAX((T_PlannedOrders[Part Name]=$A1131)*(T_PlannedOrders[WeekIndex]=77)*(T_PlannedOrders[EffectiveQty]&gt;0)*T_PlannedOrders[Order_Month])),"m月")&amp;"発注)")</f>
        <v/>
      </c>
      <c r="CC1171">
        <f>IF(SUMIFS(T_PlannedOrders[EffectiveQty],T_PlannedOrders[Part Name],$A1131,T_PlannedOrders[WeekIndex],78)=0,"",SUMIFS(T_PlannedOrders[EffectiveQty],T_PlannedOrders[Part Name],$A1131,T_PlannedOrders[WeekIndex],78)&amp;" ("&amp;TEXT(SUMPRODUCT(MAX((T_PlannedOrders[Part Name]=$A1131)*(T_PlannedOrders[WeekIndex]=78)*(T_PlannedOrders[EffectiveQty]&gt;0)*T_PlannedOrders[Order_Month])),"m月")&amp;"発注)")</f>
        <v/>
      </c>
      <c r="CD1171">
        <f>IF(SUMIFS(T_PlannedOrders[EffectiveQty],T_PlannedOrders[Part Name],$A1131,T_PlannedOrders[WeekIndex],79)=0,"",SUMIFS(T_PlannedOrders[EffectiveQty],T_PlannedOrders[Part Name],$A1131,T_PlannedOrders[WeekIndex],79)&amp;" ("&amp;TEXT(SUMPRODUCT(MAX((T_PlannedOrders[Part Name]=$A1131)*(T_PlannedOrders[WeekIndex]=79)*(T_PlannedOrders[EffectiveQty]&gt;0)*T_PlannedOrders[Order_Month])),"m月")&amp;"発注)")</f>
        <v/>
      </c>
      <c r="CE1171">
        <f>IF(SUMIFS(T_PlannedOrders[EffectiveQty],T_PlannedOrders[Part Name],$A1131,T_PlannedOrders[WeekIndex],80)=0,"",SUMIFS(T_PlannedOrders[EffectiveQty],T_PlannedOrders[Part Name],$A1131,T_PlannedOrders[WeekIndex],80)&amp;" ("&amp;TEXT(SUMPRODUCT(MAX((T_PlannedOrders[Part Name]=$A1131)*(T_PlannedOrders[WeekIndex]=80)*(T_PlannedOrders[EffectiveQty]&gt;0)*T_PlannedOrders[Order_Month])),"m月")&amp;"発注)")</f>
        <v/>
      </c>
      <c r="CF1171">
        <f>IF(SUMIFS(T_PlannedOrders[EffectiveQty],T_PlannedOrders[Part Name],$A1131,T_PlannedOrders[WeekIndex],81)=0,"",SUMIFS(T_PlannedOrders[EffectiveQty],T_PlannedOrders[Part Name],$A1131,T_PlannedOrders[WeekIndex],81)&amp;" ("&amp;TEXT(SUMPRODUCT(MAX((T_PlannedOrders[Part Name]=$A1131)*(T_PlannedOrders[WeekIndex]=81)*(T_PlannedOrders[EffectiveQty]&gt;0)*T_PlannedOrders[Order_Month])),"m月")&amp;"発注)")</f>
        <v/>
      </c>
      <c r="CG1171">
        <f>IF(SUMIFS(T_PlannedOrders[EffectiveQty],T_PlannedOrders[Part Name],$A1131,T_PlannedOrders[WeekIndex],82)=0,"",SUMIFS(T_PlannedOrders[EffectiveQty],T_PlannedOrders[Part Name],$A1131,T_PlannedOrders[WeekIndex],82)&amp;" ("&amp;TEXT(SUMPRODUCT(MAX((T_PlannedOrders[Part Name]=$A1131)*(T_PlannedOrders[WeekIndex]=82)*(T_PlannedOrders[EffectiveQty]&gt;0)*T_PlannedOrders[Order_Month])),"m月")&amp;"発注)")</f>
        <v/>
      </c>
      <c r="CH1171">
        <f>IF(SUMIFS(T_PlannedOrders[EffectiveQty],T_PlannedOrders[Part Name],$A1131,T_PlannedOrders[WeekIndex],83)=0,"",SUMIFS(T_PlannedOrders[EffectiveQty],T_PlannedOrders[Part Name],$A1131,T_PlannedOrders[WeekIndex],83)&amp;" ("&amp;TEXT(SUMPRODUCT(MAX((T_PlannedOrders[Part Name]=$A1131)*(T_PlannedOrders[WeekIndex]=83)*(T_PlannedOrders[EffectiveQty]&gt;0)*T_PlannedOrders[Order_Month])),"m月")&amp;"発注)")</f>
        <v/>
      </c>
      <c r="CI1171">
        <f>IF(SUMIFS(T_PlannedOrders[EffectiveQty],T_PlannedOrders[Part Name],$A1131,T_PlannedOrders[WeekIndex],84)=0,"",SUMIFS(T_PlannedOrders[EffectiveQty],T_PlannedOrders[Part Name],$A1131,T_PlannedOrders[WeekIndex],84)&amp;" ("&amp;TEXT(SUMPRODUCT(MAX((T_PlannedOrders[Part Name]=$A1131)*(T_PlannedOrders[WeekIndex]=84)*(T_PlannedOrders[EffectiveQty]&gt;0)*T_PlannedOrders[Order_Month])),"m月")&amp;"発注)")</f>
        <v/>
      </c>
      <c r="CJ1171">
        <f>IF(SUMIFS(T_PlannedOrders[EffectiveQty],T_PlannedOrders[Part Name],$A1131,T_PlannedOrders[WeekIndex],85)=0,"",SUMIFS(T_PlannedOrders[EffectiveQty],T_PlannedOrders[Part Name],$A1131,T_PlannedOrders[WeekIndex],85)&amp;" ("&amp;TEXT(SUMPRODUCT(MAX((T_PlannedOrders[Part Name]=$A1131)*(T_PlannedOrders[WeekIndex]=85)*(T_PlannedOrders[EffectiveQty]&gt;0)*T_PlannedOrders[Order_Month])),"m月")&amp;"発注)")</f>
        <v/>
      </c>
      <c r="CK1171">
        <f>IF(SUMIFS(T_PlannedOrders[EffectiveQty],T_PlannedOrders[Part Name],$A1131,T_PlannedOrders[WeekIndex],86)=0,"",SUMIFS(T_PlannedOrders[EffectiveQty],T_PlannedOrders[Part Name],$A1131,T_PlannedOrders[WeekIndex],86)&amp;" ("&amp;TEXT(SUMPRODUCT(MAX((T_PlannedOrders[Part Name]=$A1131)*(T_PlannedOrders[WeekIndex]=86)*(T_PlannedOrders[EffectiveQty]&gt;0)*T_PlannedOrders[Order_Month])),"m月")&amp;"発注)")</f>
        <v/>
      </c>
      <c r="CL1171">
        <f>IF(SUMIFS(T_PlannedOrders[EffectiveQty],T_PlannedOrders[Part Name],$A1131,T_PlannedOrders[WeekIndex],87)=0,"",SUMIFS(T_PlannedOrders[EffectiveQty],T_PlannedOrders[Part Name],$A1131,T_PlannedOrders[WeekIndex],87)&amp;" ("&amp;TEXT(SUMPRODUCT(MAX((T_PlannedOrders[Part Name]=$A1131)*(T_PlannedOrders[WeekIndex]=87)*(T_PlannedOrders[EffectiveQty]&gt;0)*T_PlannedOrders[Order_Month])),"m月")&amp;"発注)")</f>
        <v/>
      </c>
      <c r="CM1171">
        <f>IF(SUMIFS(T_PlannedOrders[EffectiveQty],T_PlannedOrders[Part Name],$A1131,T_PlannedOrders[WeekIndex],88)=0,"",SUMIFS(T_PlannedOrders[EffectiveQty],T_PlannedOrders[Part Name],$A1131,T_PlannedOrders[WeekIndex],88)&amp;" ("&amp;TEXT(SUMPRODUCT(MAX((T_PlannedOrders[Part Name]=$A1131)*(T_PlannedOrders[WeekIndex]=88)*(T_PlannedOrders[EffectiveQty]&gt;0)*T_PlannedOrders[Order_Month])),"m月")&amp;"発注)")</f>
        <v/>
      </c>
      <c r="CN1171">
        <f>IF(SUMIFS(T_PlannedOrders[EffectiveQty],T_PlannedOrders[Part Name],$A1131,T_PlannedOrders[WeekIndex],89)=0,"",SUMIFS(T_PlannedOrders[EffectiveQty],T_PlannedOrders[Part Name],$A1131,T_PlannedOrders[WeekIndex],89)&amp;" ("&amp;TEXT(SUMPRODUCT(MAX((T_PlannedOrders[Part Name]=$A1131)*(T_PlannedOrders[WeekIndex]=89)*(T_PlannedOrders[EffectiveQty]&gt;0)*T_PlannedOrders[Order_Month])),"m月")&amp;"発注)")</f>
        <v/>
      </c>
      <c r="CO1171">
        <f>IF(SUMIFS(T_PlannedOrders[EffectiveQty],T_PlannedOrders[Part Name],$A1131,T_PlannedOrders[WeekIndex],90)=0,"",SUMIFS(T_PlannedOrders[EffectiveQty],T_PlannedOrders[Part Name],$A1131,T_PlannedOrders[WeekIndex],90)&amp;" ("&amp;TEXT(SUMPRODUCT(MAX((T_PlannedOrders[Part Name]=$A1131)*(T_PlannedOrders[WeekIndex]=90)*(T_PlannedOrders[EffectiveQty]&gt;0)*T_PlannedOrders[Order_Month])),"m月")&amp;"発注)")</f>
        <v/>
      </c>
      <c r="CP1171">
        <f>IF(SUMIFS(T_PlannedOrders[EffectiveQty],T_PlannedOrders[Part Name],$A1131,T_PlannedOrders[WeekIndex],91)=0,"",SUMIFS(T_PlannedOrders[EffectiveQty],T_PlannedOrders[Part Name],$A1131,T_PlannedOrders[WeekIndex],91)&amp;" ("&amp;TEXT(SUMPRODUCT(MAX((T_PlannedOrders[Part Name]=$A1131)*(T_PlannedOrders[WeekIndex]=91)*(T_PlannedOrders[EffectiveQty]&gt;0)*T_PlannedOrders[Order_Month])),"m月")&amp;"発注)")</f>
        <v/>
      </c>
      <c r="CQ1171">
        <f>IF(SUMIFS(T_PlannedOrders[EffectiveQty],T_PlannedOrders[Part Name],$A1131,T_PlannedOrders[WeekIndex],92)=0,"",SUMIFS(T_PlannedOrders[EffectiveQty],T_PlannedOrders[Part Name],$A1131,T_PlannedOrders[WeekIndex],92)&amp;" ("&amp;TEXT(SUMPRODUCT(MAX((T_PlannedOrders[Part Name]=$A1131)*(T_PlannedOrders[WeekIndex]=92)*(T_PlannedOrders[EffectiveQty]&gt;0)*T_PlannedOrders[Order_Month])),"m月")&amp;"発注)")</f>
        <v/>
      </c>
      <c r="CR1171">
        <f>IF(SUMIFS(T_PlannedOrders[EffectiveQty],T_PlannedOrders[Part Name],$A1131,T_PlannedOrders[WeekIndex],93)=0,"",SUMIFS(T_PlannedOrders[EffectiveQty],T_PlannedOrders[Part Name],$A1131,T_PlannedOrders[WeekIndex],93)&amp;" ("&amp;TEXT(SUMPRODUCT(MAX((T_PlannedOrders[Part Name]=$A1131)*(T_PlannedOrders[WeekIndex]=93)*(T_PlannedOrders[EffectiveQty]&gt;0)*T_PlannedOrders[Order_Month])),"m月")&amp;"発注)")</f>
        <v/>
      </c>
      <c r="CS1171">
        <f>IF(SUMIFS(T_PlannedOrders[EffectiveQty],T_PlannedOrders[Part Name],$A1131,T_PlannedOrders[WeekIndex],94)=0,"",SUMIFS(T_PlannedOrders[EffectiveQty],T_PlannedOrders[Part Name],$A1131,T_PlannedOrders[WeekIndex],94)&amp;" ("&amp;TEXT(SUMPRODUCT(MAX((T_PlannedOrders[Part Name]=$A1131)*(T_PlannedOrders[WeekIndex]=94)*(T_PlannedOrders[EffectiveQty]&gt;0)*T_PlannedOrders[Order_Month])),"m月")&amp;"発注)")</f>
        <v/>
      </c>
      <c r="CT1171">
        <f>IF(SUMIFS(T_PlannedOrders[EffectiveQty],T_PlannedOrders[Part Name],$A1131,T_PlannedOrders[WeekIndex],95)=0,"",SUMIFS(T_PlannedOrders[EffectiveQty],T_PlannedOrders[Part Name],$A1131,T_PlannedOrders[WeekIndex],95)&amp;" ("&amp;TEXT(SUMPRODUCT(MAX((T_PlannedOrders[Part Name]=$A1131)*(T_PlannedOrders[WeekIndex]=95)*(T_PlannedOrders[EffectiveQty]&gt;0)*T_PlannedOrders[Order_Month])),"m月")&amp;"発注)")</f>
        <v/>
      </c>
      <c r="CU1171">
        <f>IF(SUMIFS(T_PlannedOrders[EffectiveQty],T_PlannedOrders[Part Name],$A1131,T_PlannedOrders[WeekIndex],96)=0,"",SUMIFS(T_PlannedOrders[EffectiveQty],T_PlannedOrders[Part Name],$A1131,T_PlannedOrders[WeekIndex],96)&amp;" ("&amp;TEXT(SUMPRODUCT(MAX((T_PlannedOrders[Part Name]=$A1131)*(T_PlannedOrders[WeekIndex]=96)*(T_PlannedOrders[EffectiveQty]&gt;0)*T_PlannedOrders[Order_Month])),"m月")&amp;"発注)")</f>
        <v/>
      </c>
      <c r="CV1171">
        <f>IF(SUMIFS(T_PlannedOrders[EffectiveQty],T_PlannedOrders[Part Name],$A1131,T_PlannedOrders[WeekIndex],97)=0,"",SUMIFS(T_PlannedOrders[EffectiveQty],T_PlannedOrders[Part Name],$A1131,T_PlannedOrders[WeekIndex],97)&amp;" ("&amp;TEXT(SUMPRODUCT(MAX((T_PlannedOrders[Part Name]=$A1131)*(T_PlannedOrders[WeekIndex]=97)*(T_PlannedOrders[EffectiveQty]&gt;0)*T_PlannedOrders[Order_Month])),"m月")&amp;"発注)")</f>
        <v/>
      </c>
      <c r="CW1171">
        <f>IF(SUMIFS(T_PlannedOrders[EffectiveQty],T_PlannedOrders[Part Name],$A1131,T_PlannedOrders[WeekIndex],98)=0,"",SUMIFS(T_PlannedOrders[EffectiveQty],T_PlannedOrders[Part Name],$A1131,T_PlannedOrders[WeekIndex],98)&amp;" ("&amp;TEXT(SUMPRODUCT(MAX((T_PlannedOrders[Part Name]=$A1131)*(T_PlannedOrders[WeekIndex]=98)*(T_PlannedOrders[EffectiveQty]&gt;0)*T_PlannedOrders[Order_Month])),"m月")&amp;"発注)")</f>
        <v/>
      </c>
      <c r="CX1171">
        <f>IF(SUMIFS(T_PlannedOrders[EffectiveQty],T_PlannedOrders[Part Name],$A1131,T_PlannedOrders[WeekIndex],99)=0,"",SUMIFS(T_PlannedOrders[EffectiveQty],T_PlannedOrders[Part Name],$A1131,T_PlannedOrders[WeekIndex],99)&amp;" ("&amp;TEXT(SUMPRODUCT(MAX((T_PlannedOrders[Part Name]=$A1131)*(T_PlannedOrders[WeekIndex]=99)*(T_PlannedOrders[EffectiveQty]&gt;0)*T_PlannedOrders[Order_Month])),"m月")&amp;"発注)")</f>
        <v/>
      </c>
      <c r="CY1171">
        <f>IF(SUMIFS(T_PlannedOrders[EffectiveQty],T_PlannedOrders[Part Name],$A1131,T_PlannedOrders[WeekIndex],100)=0,"",SUMIFS(T_PlannedOrders[EffectiveQty],T_PlannedOrders[Part Name],$A1131,T_PlannedOrders[WeekIndex],100)&amp;" ("&amp;TEXT(SUMPRODUCT(MAX((T_PlannedOrders[Part Name]=$A1131)*(T_PlannedOrders[WeekIndex]=100)*(T_PlannedOrders[EffectiveQty]&gt;0)*T_PlannedOrders[Order_Month])),"m月")&amp;"発注)")</f>
        <v/>
      </c>
      <c r="CZ1171">
        <f>IF(SUMIFS(T_PlannedOrders[EffectiveQty],T_PlannedOrders[Part Name],$A1131,T_PlannedOrders[WeekIndex],101)=0,"",SUMIFS(T_PlannedOrders[EffectiveQty],T_PlannedOrders[Part Name],$A1131,T_PlannedOrders[WeekIndex],101)&amp;" ("&amp;TEXT(SUMPRODUCT(MAX((T_PlannedOrders[Part Name]=$A1131)*(T_PlannedOrders[WeekIndex]=101)*(T_PlannedOrders[EffectiveQty]&gt;0)*T_PlannedOrders[Order_Month])),"m月")&amp;"発注)")</f>
        <v/>
      </c>
      <c r="DA1171">
        <f>IF(SUMIFS(T_PlannedOrders[EffectiveQty],T_PlannedOrders[Part Name],$A1131,T_PlannedOrders[WeekIndex],102)=0,"",SUMIFS(T_PlannedOrders[EffectiveQty],T_PlannedOrders[Part Name],$A1131,T_PlannedOrders[WeekIndex],102)&amp;" ("&amp;TEXT(SUMPRODUCT(MAX((T_PlannedOrders[Part Name]=$A1131)*(T_PlannedOrders[WeekIndex]=102)*(T_PlannedOrders[EffectiveQty]&gt;0)*T_PlannedOrders[Order_Month])),"m月")&amp;"発注)")</f>
        <v/>
      </c>
      <c r="DB1171">
        <f>IF(SUMIFS(T_PlannedOrders[EffectiveQty],T_PlannedOrders[Part Name],$A1131,T_PlannedOrders[WeekIndex],103)=0,"",SUMIFS(T_PlannedOrders[EffectiveQty],T_PlannedOrders[Part Name],$A1131,T_PlannedOrders[WeekIndex],103)&amp;" ("&amp;TEXT(SUMPRODUCT(MAX((T_PlannedOrders[Part Name]=$A1131)*(T_PlannedOrders[WeekIndex]=103)*(T_PlannedOrders[EffectiveQty]&gt;0)*T_PlannedOrders[Order_Month])),"m月")&amp;"発注)")</f>
        <v/>
      </c>
      <c r="DC1171">
        <f>IF(SUMIFS(T_PlannedOrders[EffectiveQty],T_PlannedOrders[Part Name],$A1131,T_PlannedOrders[WeekIndex],104)=0,"",SUMIFS(T_PlannedOrders[EffectiveQty],T_PlannedOrders[Part Name],$A1131,T_PlannedOrders[WeekIndex],104)&amp;" ("&amp;TEXT(SUMPRODUCT(MAX((T_PlannedOrders[Part Name]=$A1131)*(T_PlannedOrders[WeekIndex]=104)*(T_PlannedOrders[EffectiveQty]&gt;0)*T_PlannedOrders[Order_Month])),"m月")&amp;"発注)")</f>
        <v/>
      </c>
    </row>
    <row r="1172">
      <c r="B1172" s="4" t="inlineStr">
        <is>
          <t>合計在庫(週末時点,kg)</t>
        </is>
      </c>
      <c r="D1172">
        <f>'Grid_Stock'!B16</f>
        <v/>
      </c>
      <c r="E1172">
        <f>'Grid_Stock'!C16</f>
        <v/>
      </c>
      <c r="F1172">
        <f>'Grid_Stock'!D16</f>
        <v/>
      </c>
      <c r="G1172">
        <f>'Grid_Stock'!E16</f>
        <v/>
      </c>
      <c r="H1172">
        <f>'Grid_Stock'!F16</f>
        <v/>
      </c>
      <c r="I1172">
        <f>'Grid_Stock'!G16</f>
        <v/>
      </c>
      <c r="J1172">
        <f>'Grid_Stock'!H16</f>
        <v/>
      </c>
      <c r="K1172">
        <f>'Grid_Stock'!I16</f>
        <v/>
      </c>
      <c r="L1172">
        <f>'Grid_Stock'!J16</f>
        <v/>
      </c>
      <c r="M1172">
        <f>'Grid_Stock'!K16</f>
        <v/>
      </c>
      <c r="N1172">
        <f>'Grid_Stock'!L16</f>
        <v/>
      </c>
      <c r="O1172">
        <f>'Grid_Stock'!M16</f>
        <v/>
      </c>
      <c r="P1172">
        <f>'Grid_Stock'!N16</f>
        <v/>
      </c>
      <c r="Q1172">
        <f>'Grid_Stock'!O16</f>
        <v/>
      </c>
      <c r="R1172">
        <f>'Grid_Stock'!P16</f>
        <v/>
      </c>
      <c r="S1172">
        <f>'Grid_Stock'!Q16</f>
        <v/>
      </c>
      <c r="T1172">
        <f>'Grid_Stock'!R16</f>
        <v/>
      </c>
      <c r="U1172">
        <f>'Grid_Stock'!S16</f>
        <v/>
      </c>
      <c r="V1172">
        <f>'Grid_Stock'!T16</f>
        <v/>
      </c>
      <c r="W1172">
        <f>'Grid_Stock'!U16</f>
        <v/>
      </c>
      <c r="X1172">
        <f>'Grid_Stock'!V16</f>
        <v/>
      </c>
      <c r="Y1172">
        <f>'Grid_Stock'!W16</f>
        <v/>
      </c>
      <c r="Z1172">
        <f>'Grid_Stock'!X16</f>
        <v/>
      </c>
      <c r="AA1172">
        <f>'Grid_Stock'!Y16</f>
        <v/>
      </c>
      <c r="AB1172">
        <f>'Grid_Stock'!Z16</f>
        <v/>
      </c>
      <c r="AC1172">
        <f>'Grid_Stock'!AA16</f>
        <v/>
      </c>
      <c r="AD1172">
        <f>'Grid_Stock'!AB16</f>
        <v/>
      </c>
      <c r="AE1172">
        <f>'Grid_Stock'!AC16</f>
        <v/>
      </c>
      <c r="AF1172">
        <f>'Grid_Stock'!AD16</f>
        <v/>
      </c>
      <c r="AG1172">
        <f>'Grid_Stock'!AE16</f>
        <v/>
      </c>
      <c r="AH1172">
        <f>'Grid_Stock'!AF16</f>
        <v/>
      </c>
      <c r="AI1172">
        <f>'Grid_Stock'!AG16</f>
        <v/>
      </c>
      <c r="AJ1172">
        <f>'Grid_Stock'!AH16</f>
        <v/>
      </c>
      <c r="AK1172">
        <f>'Grid_Stock'!AI16</f>
        <v/>
      </c>
      <c r="AL1172">
        <f>'Grid_Stock'!AJ16</f>
        <v/>
      </c>
      <c r="AM1172">
        <f>'Grid_Stock'!AK16</f>
        <v/>
      </c>
      <c r="AN1172">
        <f>'Grid_Stock'!AL16</f>
        <v/>
      </c>
      <c r="AO1172">
        <f>'Grid_Stock'!AM16</f>
        <v/>
      </c>
      <c r="AP1172">
        <f>'Grid_Stock'!AN16</f>
        <v/>
      </c>
      <c r="AQ1172">
        <f>'Grid_Stock'!AO16</f>
        <v/>
      </c>
      <c r="AR1172">
        <f>'Grid_Stock'!AP16</f>
        <v/>
      </c>
      <c r="AS1172">
        <f>'Grid_Stock'!AQ16</f>
        <v/>
      </c>
      <c r="AT1172">
        <f>'Grid_Stock'!AR16</f>
        <v/>
      </c>
      <c r="AU1172">
        <f>'Grid_Stock'!AS16</f>
        <v/>
      </c>
      <c r="AV1172">
        <f>'Grid_Stock'!AT16</f>
        <v/>
      </c>
      <c r="AW1172">
        <f>'Grid_Stock'!AU16</f>
        <v/>
      </c>
      <c r="AX1172">
        <f>'Grid_Stock'!AV16</f>
        <v/>
      </c>
      <c r="AY1172">
        <f>'Grid_Stock'!AW16</f>
        <v/>
      </c>
      <c r="AZ1172">
        <f>'Grid_Stock'!AX16</f>
        <v/>
      </c>
      <c r="BA1172">
        <f>'Grid_Stock'!AY16</f>
        <v/>
      </c>
      <c r="BB1172">
        <f>'Grid_Stock'!AZ16</f>
        <v/>
      </c>
      <c r="BC1172">
        <f>'Grid_Stock'!BA16</f>
        <v/>
      </c>
      <c r="BD1172">
        <f>'Grid_Stock'!BB16</f>
        <v/>
      </c>
      <c r="BE1172">
        <f>'Grid_Stock'!BC16</f>
        <v/>
      </c>
      <c r="BF1172">
        <f>'Grid_Stock'!BD16</f>
        <v/>
      </c>
      <c r="BG1172">
        <f>'Grid_Stock'!BE16</f>
        <v/>
      </c>
      <c r="BH1172">
        <f>'Grid_Stock'!BF16</f>
        <v/>
      </c>
      <c r="BI1172">
        <f>'Grid_Stock'!BG16</f>
        <v/>
      </c>
      <c r="BJ1172">
        <f>'Grid_Stock'!BH16</f>
        <v/>
      </c>
      <c r="BK1172">
        <f>'Grid_Stock'!BI16</f>
        <v/>
      </c>
      <c r="BL1172">
        <f>'Grid_Stock'!BJ16</f>
        <v/>
      </c>
      <c r="BM1172">
        <f>'Grid_Stock'!BK16</f>
        <v/>
      </c>
      <c r="BN1172">
        <f>'Grid_Stock'!BL16</f>
        <v/>
      </c>
      <c r="BO1172">
        <f>'Grid_Stock'!BM16</f>
        <v/>
      </c>
      <c r="BP1172">
        <f>'Grid_Stock'!BN16</f>
        <v/>
      </c>
      <c r="BQ1172">
        <f>'Grid_Stock'!BO16</f>
        <v/>
      </c>
      <c r="BR1172">
        <f>'Grid_Stock'!BP16</f>
        <v/>
      </c>
      <c r="BS1172">
        <f>'Grid_Stock'!BQ16</f>
        <v/>
      </c>
      <c r="BT1172">
        <f>'Grid_Stock'!BR16</f>
        <v/>
      </c>
      <c r="BU1172">
        <f>'Grid_Stock'!BS16</f>
        <v/>
      </c>
      <c r="BV1172">
        <f>'Grid_Stock'!BT16</f>
        <v/>
      </c>
      <c r="BW1172">
        <f>'Grid_Stock'!BU16</f>
        <v/>
      </c>
      <c r="BX1172">
        <f>'Grid_Stock'!BV16</f>
        <v/>
      </c>
      <c r="BY1172">
        <f>'Grid_Stock'!BW16</f>
        <v/>
      </c>
      <c r="BZ1172">
        <f>'Grid_Stock'!BX16</f>
        <v/>
      </c>
      <c r="CA1172">
        <f>'Grid_Stock'!BY16</f>
        <v/>
      </c>
      <c r="CB1172">
        <f>'Grid_Stock'!BZ16</f>
        <v/>
      </c>
      <c r="CC1172">
        <f>'Grid_Stock'!CA16</f>
        <v/>
      </c>
      <c r="CD1172">
        <f>'Grid_Stock'!CB16</f>
        <v/>
      </c>
      <c r="CE1172">
        <f>'Grid_Stock'!CC16</f>
        <v/>
      </c>
      <c r="CF1172">
        <f>'Grid_Stock'!CD16</f>
        <v/>
      </c>
      <c r="CG1172">
        <f>'Grid_Stock'!CE16</f>
        <v/>
      </c>
      <c r="CH1172">
        <f>'Grid_Stock'!CF16</f>
        <v/>
      </c>
      <c r="CI1172">
        <f>'Grid_Stock'!CG16</f>
        <v/>
      </c>
      <c r="CJ1172">
        <f>'Grid_Stock'!CH16</f>
        <v/>
      </c>
      <c r="CK1172">
        <f>'Grid_Stock'!CI16</f>
        <v/>
      </c>
      <c r="CL1172">
        <f>'Grid_Stock'!CJ16</f>
        <v/>
      </c>
      <c r="CM1172">
        <f>'Grid_Stock'!CK16</f>
        <v/>
      </c>
      <c r="CN1172">
        <f>'Grid_Stock'!CL16</f>
        <v/>
      </c>
      <c r="CO1172">
        <f>'Grid_Stock'!CM16</f>
        <v/>
      </c>
      <c r="CP1172">
        <f>'Grid_Stock'!CN16</f>
        <v/>
      </c>
      <c r="CQ1172">
        <f>'Grid_Stock'!CO16</f>
        <v/>
      </c>
      <c r="CR1172">
        <f>'Grid_Stock'!CP16</f>
        <v/>
      </c>
      <c r="CS1172">
        <f>'Grid_Stock'!CQ16</f>
        <v/>
      </c>
      <c r="CT1172">
        <f>'Grid_Stock'!CR16</f>
        <v/>
      </c>
      <c r="CU1172">
        <f>'Grid_Stock'!CS16</f>
        <v/>
      </c>
      <c r="CV1172">
        <f>'Grid_Stock'!CT16</f>
        <v/>
      </c>
      <c r="CW1172">
        <f>'Grid_Stock'!CU16</f>
        <v/>
      </c>
      <c r="CX1172">
        <f>'Grid_Stock'!CV16</f>
        <v/>
      </c>
      <c r="CY1172">
        <f>'Grid_Stock'!CW16</f>
        <v/>
      </c>
      <c r="CZ1172">
        <f>'Grid_Stock'!CX16</f>
        <v/>
      </c>
      <c r="DA1172">
        <f>'Grid_Stock'!CY16</f>
        <v/>
      </c>
      <c r="DB1172">
        <f>'Grid_Stock'!CZ16</f>
        <v/>
      </c>
      <c r="DC1172">
        <f>'Grid_Stock'!DA16</f>
        <v/>
      </c>
    </row>
    <row r="1173">
      <c r="B1173" s="16" t="inlineStr">
        <is>
          <t>（発注の目安はDashboardの基準在庫[下限/上限]と色分けを参照）</t>
        </is>
      </c>
    </row>
    <row r="1175">
      <c r="A1175" s="14" t="inlineStr">
        <is>
          <t>CHEM-1840</t>
        </is>
      </c>
      <c r="B1175" s="14" t="inlineStr">
        <is>
          <t>KAOCERA2020</t>
        </is>
      </c>
      <c r="C1175" s="15" t="n"/>
      <c r="D1175" s="14" t="n"/>
      <c r="E1175" s="14" t="n"/>
      <c r="F1175" s="14" t="n"/>
      <c r="G1175" s="14" t="n"/>
      <c r="H1175" s="14" t="n"/>
      <c r="I1175" s="14" t="n"/>
      <c r="J1175" s="14" t="n"/>
      <c r="K1175" s="14" t="n"/>
      <c r="L1175" s="14" t="n"/>
      <c r="M1175" s="14" t="n"/>
      <c r="N1175" s="14" t="n"/>
      <c r="O1175" s="14" t="n"/>
      <c r="P1175" s="14" t="n"/>
      <c r="Q1175" s="14" t="n"/>
      <c r="R1175" s="14" t="n"/>
      <c r="S1175" s="14" t="n"/>
      <c r="T1175" s="14" t="n"/>
      <c r="U1175" s="14" t="n"/>
      <c r="V1175" s="14" t="n"/>
      <c r="W1175" s="14" t="n"/>
      <c r="X1175" s="14" t="n"/>
      <c r="Y1175" s="14" t="n"/>
      <c r="Z1175" s="14" t="n"/>
      <c r="AA1175" s="14" t="n"/>
      <c r="AB1175" s="14" t="n"/>
      <c r="AC1175" s="14" t="n"/>
      <c r="AD1175" s="14" t="n"/>
      <c r="AE1175" s="14" t="n"/>
      <c r="AF1175" s="14" t="n"/>
      <c r="AG1175" s="14" t="n"/>
      <c r="AH1175" s="14" t="n"/>
      <c r="AI1175" s="14" t="n"/>
      <c r="AJ1175" s="14" t="n"/>
      <c r="AK1175" s="14" t="n"/>
      <c r="AL1175" s="14" t="n"/>
      <c r="AM1175" s="14" t="n"/>
      <c r="AN1175" s="14" t="n"/>
      <c r="AO1175" s="14" t="n"/>
      <c r="AP1175" s="14" t="n"/>
      <c r="AQ1175" s="14" t="n"/>
      <c r="AR1175" s="14" t="n"/>
      <c r="AS1175" s="14" t="n"/>
      <c r="AT1175" s="14" t="n"/>
      <c r="AU1175" s="14" t="n"/>
      <c r="AV1175" s="14" t="n"/>
      <c r="AW1175" s="14" t="n"/>
      <c r="AX1175" s="14" t="n"/>
      <c r="AY1175" s="14" t="n"/>
      <c r="AZ1175" s="14" t="n"/>
      <c r="BA1175" s="14" t="n"/>
      <c r="BB1175" s="14" t="n"/>
      <c r="BC1175" s="14" t="n"/>
      <c r="BD1175" s="14" t="n"/>
      <c r="BE1175" s="14" t="n"/>
      <c r="BF1175" s="14" t="n"/>
      <c r="BG1175" s="14" t="n"/>
      <c r="BH1175" s="14" t="n"/>
      <c r="BI1175" s="14" t="n"/>
      <c r="BJ1175" s="14" t="n"/>
      <c r="BK1175" s="14" t="n"/>
      <c r="BL1175" s="14" t="n"/>
      <c r="BM1175" s="14" t="n"/>
      <c r="BN1175" s="14" t="n"/>
      <c r="BO1175" s="14" t="n"/>
      <c r="BP1175" s="14" t="n"/>
      <c r="BQ1175" s="14" t="n"/>
      <c r="BR1175" s="14" t="n"/>
      <c r="BS1175" s="14" t="n"/>
      <c r="BT1175" s="14" t="n"/>
      <c r="BU1175" s="14" t="n"/>
      <c r="BV1175" s="14" t="n"/>
      <c r="BW1175" s="14" t="n"/>
      <c r="BX1175" s="14" t="n"/>
      <c r="BY1175" s="14" t="n"/>
      <c r="BZ1175" s="14" t="n"/>
      <c r="CA1175" s="14" t="n"/>
      <c r="CB1175" s="14" t="n"/>
      <c r="CC1175" s="14" t="n"/>
      <c r="CD1175" s="14" t="n"/>
      <c r="CE1175" s="14" t="n"/>
      <c r="CF1175" s="14" t="n"/>
      <c r="CG1175" s="14" t="n"/>
      <c r="CH1175" s="14" t="n"/>
      <c r="CI1175" s="14" t="n"/>
      <c r="CJ1175" s="14" t="n"/>
      <c r="CK1175" s="14" t="n"/>
      <c r="CL1175" s="14" t="n"/>
      <c r="CM1175" s="14" t="n"/>
      <c r="CN1175" s="14" t="n"/>
      <c r="CO1175" s="14" t="n"/>
      <c r="CP1175" s="14" t="n"/>
      <c r="CQ1175" s="14" t="n"/>
      <c r="CR1175" s="14" t="n"/>
      <c r="CS1175" s="14" t="n"/>
      <c r="CT1175" s="14" t="n"/>
      <c r="CU1175" s="14" t="n"/>
      <c r="CV1175" s="14" t="n"/>
      <c r="CW1175" s="14" t="n"/>
      <c r="CX1175" s="14" t="n"/>
      <c r="CY1175" s="14" t="n"/>
      <c r="CZ1175" s="14" t="n"/>
      <c r="DA1175" s="14" t="n"/>
      <c r="DB1175" s="14" t="n"/>
      <c r="DC1175" s="14" t="n"/>
    </row>
    <row r="1176">
      <c r="B1176" t="inlineStr">
        <is>
          <t>TSP-1558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t="inlineStr">
        <is>
          <t>TSP-1559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Name],$A1175)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s="4" t="inlineStr">
        <is>
          <t>合計使用量(kg)/週</t>
        </is>
      </c>
      <c r="D1180">
        <f>'Grid_Requirement'!B29</f>
        <v/>
      </c>
      <c r="E1180">
        <f>'Grid_Requirement'!C29</f>
        <v/>
      </c>
      <c r="F1180">
        <f>'Grid_Requirement'!D29</f>
        <v/>
      </c>
      <c r="G1180">
        <f>'Grid_Requirement'!E29</f>
        <v/>
      </c>
      <c r="H1180">
        <f>'Grid_Requirement'!F29</f>
        <v/>
      </c>
      <c r="I1180">
        <f>'Grid_Requirement'!G29</f>
        <v/>
      </c>
      <c r="J1180">
        <f>'Grid_Requirement'!H29</f>
        <v/>
      </c>
      <c r="K1180">
        <f>'Grid_Requirement'!I29</f>
        <v/>
      </c>
      <c r="L1180">
        <f>'Grid_Requirement'!J29</f>
        <v/>
      </c>
      <c r="M1180">
        <f>'Grid_Requirement'!K29</f>
        <v/>
      </c>
      <c r="N1180">
        <f>'Grid_Requirement'!L29</f>
        <v/>
      </c>
      <c r="O1180">
        <f>'Grid_Requirement'!M29</f>
        <v/>
      </c>
      <c r="P1180">
        <f>'Grid_Requirement'!N29</f>
        <v/>
      </c>
      <c r="Q1180">
        <f>'Grid_Requirement'!O29</f>
        <v/>
      </c>
      <c r="R1180">
        <f>'Grid_Requirement'!P29</f>
        <v/>
      </c>
      <c r="S1180">
        <f>'Grid_Requirement'!Q29</f>
        <v/>
      </c>
      <c r="T1180">
        <f>'Grid_Requirement'!R29</f>
        <v/>
      </c>
      <c r="U1180">
        <f>'Grid_Requirement'!S29</f>
        <v/>
      </c>
      <c r="V1180">
        <f>'Grid_Requirement'!T29</f>
        <v/>
      </c>
      <c r="W1180">
        <f>'Grid_Requirement'!U29</f>
        <v/>
      </c>
      <c r="X1180">
        <f>'Grid_Requirement'!V29</f>
        <v/>
      </c>
      <c r="Y1180">
        <f>'Grid_Requirement'!W29</f>
        <v/>
      </c>
      <c r="Z1180">
        <f>'Grid_Requirement'!X29</f>
        <v/>
      </c>
      <c r="AA1180">
        <f>'Grid_Requirement'!Y29</f>
        <v/>
      </c>
      <c r="AB1180">
        <f>'Grid_Requirement'!Z29</f>
        <v/>
      </c>
      <c r="AC1180">
        <f>'Grid_Requirement'!AA29</f>
        <v/>
      </c>
      <c r="AD1180">
        <f>'Grid_Requirement'!AB29</f>
        <v/>
      </c>
      <c r="AE1180">
        <f>'Grid_Requirement'!AC29</f>
        <v/>
      </c>
      <c r="AF1180">
        <f>'Grid_Requirement'!AD29</f>
        <v/>
      </c>
      <c r="AG1180">
        <f>'Grid_Requirement'!AE29</f>
        <v/>
      </c>
      <c r="AH1180">
        <f>'Grid_Requirement'!AF29</f>
        <v/>
      </c>
      <c r="AI1180">
        <f>'Grid_Requirement'!AG29</f>
        <v/>
      </c>
      <c r="AJ1180">
        <f>'Grid_Requirement'!AH29</f>
        <v/>
      </c>
      <c r="AK1180">
        <f>'Grid_Requirement'!AI29</f>
        <v/>
      </c>
      <c r="AL1180">
        <f>'Grid_Requirement'!AJ29</f>
        <v/>
      </c>
      <c r="AM1180">
        <f>'Grid_Requirement'!AK29</f>
        <v/>
      </c>
      <c r="AN1180">
        <f>'Grid_Requirement'!AL29</f>
        <v/>
      </c>
      <c r="AO1180">
        <f>'Grid_Requirement'!AM29</f>
        <v/>
      </c>
      <c r="AP1180">
        <f>'Grid_Requirement'!AN29</f>
        <v/>
      </c>
      <c r="AQ1180">
        <f>'Grid_Requirement'!AO29</f>
        <v/>
      </c>
      <c r="AR1180">
        <f>'Grid_Requirement'!AP29</f>
        <v/>
      </c>
      <c r="AS1180">
        <f>'Grid_Requirement'!AQ29</f>
        <v/>
      </c>
      <c r="AT1180">
        <f>'Grid_Requirement'!AR29</f>
        <v/>
      </c>
      <c r="AU1180">
        <f>'Grid_Requirement'!AS29</f>
        <v/>
      </c>
      <c r="AV1180">
        <f>'Grid_Requirement'!AT29</f>
        <v/>
      </c>
      <c r="AW1180">
        <f>'Grid_Requirement'!AU29</f>
        <v/>
      </c>
      <c r="AX1180">
        <f>'Grid_Requirement'!AV29</f>
        <v/>
      </c>
      <c r="AY1180">
        <f>'Grid_Requirement'!AW29</f>
        <v/>
      </c>
      <c r="AZ1180">
        <f>'Grid_Requirement'!AX29</f>
        <v/>
      </c>
      <c r="BA1180">
        <f>'Grid_Requirement'!AY29</f>
        <v/>
      </c>
      <c r="BB1180">
        <f>'Grid_Requirement'!AZ29</f>
        <v/>
      </c>
      <c r="BC1180">
        <f>'Grid_Requirement'!BA29</f>
        <v/>
      </c>
      <c r="BD1180">
        <f>'Grid_Requirement'!BB29</f>
        <v/>
      </c>
      <c r="BE1180">
        <f>'Grid_Requirement'!BC29</f>
        <v/>
      </c>
      <c r="BF1180">
        <f>'Grid_Requirement'!BD29</f>
        <v/>
      </c>
      <c r="BG1180">
        <f>'Grid_Requirement'!BE29</f>
        <v/>
      </c>
      <c r="BH1180">
        <f>'Grid_Requirement'!BF29</f>
        <v/>
      </c>
      <c r="BI1180">
        <f>'Grid_Requirement'!BG29</f>
        <v/>
      </c>
      <c r="BJ1180">
        <f>'Grid_Requirement'!BH29</f>
        <v/>
      </c>
      <c r="BK1180">
        <f>'Grid_Requirement'!BI29</f>
        <v/>
      </c>
      <c r="BL1180">
        <f>'Grid_Requirement'!BJ29</f>
        <v/>
      </c>
      <c r="BM1180">
        <f>'Grid_Requirement'!BK29</f>
        <v/>
      </c>
      <c r="BN1180">
        <f>'Grid_Requirement'!BL29</f>
        <v/>
      </c>
      <c r="BO1180">
        <f>'Grid_Requirement'!BM29</f>
        <v/>
      </c>
      <c r="BP1180">
        <f>'Grid_Requirement'!BN29</f>
        <v/>
      </c>
      <c r="BQ1180">
        <f>'Grid_Requirement'!BO29</f>
        <v/>
      </c>
      <c r="BR1180">
        <f>'Grid_Requirement'!BP29</f>
        <v/>
      </c>
      <c r="BS1180">
        <f>'Grid_Requirement'!BQ29</f>
        <v/>
      </c>
      <c r="BT1180">
        <f>'Grid_Requirement'!BR29</f>
        <v/>
      </c>
      <c r="BU1180">
        <f>'Grid_Requirement'!BS29</f>
        <v/>
      </c>
      <c r="BV1180">
        <f>'Grid_Requirement'!BT29</f>
        <v/>
      </c>
      <c r="BW1180">
        <f>'Grid_Requirement'!BU29</f>
        <v/>
      </c>
      <c r="BX1180">
        <f>'Grid_Requirement'!BV29</f>
        <v/>
      </c>
      <c r="BY1180">
        <f>'Grid_Requirement'!BW29</f>
        <v/>
      </c>
      <c r="BZ1180">
        <f>'Grid_Requirement'!BX29</f>
        <v/>
      </c>
      <c r="CA1180">
        <f>'Grid_Requirement'!BY29</f>
        <v/>
      </c>
      <c r="CB1180">
        <f>'Grid_Requirement'!BZ29</f>
        <v/>
      </c>
      <c r="CC1180">
        <f>'Grid_Requirement'!CA29</f>
        <v/>
      </c>
      <c r="CD1180">
        <f>'Grid_Requirement'!CB29</f>
        <v/>
      </c>
      <c r="CE1180">
        <f>'Grid_Requirement'!CC29</f>
        <v/>
      </c>
      <c r="CF1180">
        <f>'Grid_Requirement'!CD29</f>
        <v/>
      </c>
      <c r="CG1180">
        <f>'Grid_Requirement'!CE29</f>
        <v/>
      </c>
      <c r="CH1180">
        <f>'Grid_Requirement'!CF29</f>
        <v/>
      </c>
      <c r="CI1180">
        <f>'Grid_Requirement'!CG29</f>
        <v/>
      </c>
      <c r="CJ1180">
        <f>'Grid_Requirement'!CH29</f>
        <v/>
      </c>
      <c r="CK1180">
        <f>'Grid_Requirement'!CI29</f>
        <v/>
      </c>
      <c r="CL1180">
        <f>'Grid_Requirement'!CJ29</f>
        <v/>
      </c>
      <c r="CM1180">
        <f>'Grid_Requirement'!CK29</f>
        <v/>
      </c>
      <c r="CN1180">
        <f>'Grid_Requirement'!CL29</f>
        <v/>
      </c>
      <c r="CO1180">
        <f>'Grid_Requirement'!CM29</f>
        <v/>
      </c>
      <c r="CP1180">
        <f>'Grid_Requirement'!CN29</f>
        <v/>
      </c>
      <c r="CQ1180">
        <f>'Grid_Requirement'!CO29</f>
        <v/>
      </c>
      <c r="CR1180">
        <f>'Grid_Requirement'!CP29</f>
        <v/>
      </c>
      <c r="CS1180">
        <f>'Grid_Requirement'!CQ29</f>
        <v/>
      </c>
      <c r="CT1180">
        <f>'Grid_Requirement'!CR29</f>
        <v/>
      </c>
      <c r="CU1180">
        <f>'Grid_Requirement'!CS29</f>
        <v/>
      </c>
      <c r="CV1180">
        <f>'Grid_Requirement'!CT29</f>
        <v/>
      </c>
      <c r="CW1180">
        <f>'Grid_Requirement'!CU29</f>
        <v/>
      </c>
      <c r="CX1180">
        <f>'Grid_Requirement'!CV29</f>
        <v/>
      </c>
      <c r="CY1180">
        <f>'Grid_Requirement'!CW29</f>
        <v/>
      </c>
      <c r="CZ1180">
        <f>'Grid_Requirement'!CX29</f>
        <v/>
      </c>
      <c r="DA1180">
        <f>'Grid_Requirement'!CY29</f>
        <v/>
      </c>
      <c r="DB1180">
        <f>'Grid_Requirement'!CZ29</f>
        <v/>
      </c>
      <c r="DC1180">
        <f>'Grid_Requirement'!DA29</f>
        <v/>
      </c>
    </row>
    <row r="1181">
      <c r="B1181" t="inlineStr">
        <is>
          <t>TTAF在庫(実績,kg)</t>
        </is>
      </c>
      <c r="D1181">
        <f>'T_TTAFStock'!B33</f>
        <v/>
      </c>
      <c r="E1181">
        <f>'T_TTAFStock'!C33</f>
        <v/>
      </c>
      <c r="F1181">
        <f>'T_TTAFStock'!D33</f>
        <v/>
      </c>
      <c r="G1181">
        <f>'T_TTAFStock'!E33</f>
        <v/>
      </c>
      <c r="H1181">
        <f>'T_TTAFStock'!F33</f>
        <v/>
      </c>
      <c r="I1181">
        <f>'T_TTAFStock'!G33</f>
        <v/>
      </c>
      <c r="J1181">
        <f>'T_TTAFStock'!H33</f>
        <v/>
      </c>
      <c r="K1181">
        <f>'T_TTAFStock'!I33</f>
        <v/>
      </c>
      <c r="L1181">
        <f>'T_TTAFStock'!J33</f>
        <v/>
      </c>
      <c r="M1181">
        <f>'T_TTAFStock'!K33</f>
        <v/>
      </c>
      <c r="N1181">
        <f>'T_TTAFStock'!L33</f>
        <v/>
      </c>
      <c r="O1181">
        <f>'T_TTAFStock'!M33</f>
        <v/>
      </c>
      <c r="P1181">
        <f>'T_TTAFStock'!N33</f>
        <v/>
      </c>
      <c r="Q1181">
        <f>'T_TTAFStock'!O33</f>
        <v/>
      </c>
      <c r="R1181">
        <f>'T_TTAFStock'!P33</f>
        <v/>
      </c>
      <c r="S1181">
        <f>'T_TTAFStock'!Q33</f>
        <v/>
      </c>
      <c r="T1181">
        <f>'T_TTAFStock'!R33</f>
        <v/>
      </c>
      <c r="U1181">
        <f>'T_TTAFStock'!S33</f>
        <v/>
      </c>
      <c r="V1181">
        <f>'T_TTAFStock'!T33</f>
        <v/>
      </c>
      <c r="W1181">
        <f>'T_TTAFStock'!U33</f>
        <v/>
      </c>
      <c r="X1181">
        <f>'T_TTAFStock'!V33</f>
        <v/>
      </c>
      <c r="Y1181">
        <f>'T_TTAFStock'!W33</f>
        <v/>
      </c>
      <c r="Z1181">
        <f>'T_TTAFStock'!X33</f>
        <v/>
      </c>
      <c r="AA1181">
        <f>'T_TTAFStock'!Y33</f>
        <v/>
      </c>
      <c r="AB1181">
        <f>'T_TTAFStock'!Z33</f>
        <v/>
      </c>
      <c r="AC1181">
        <f>'T_TTAFStock'!AA33</f>
        <v/>
      </c>
      <c r="AD1181">
        <f>'T_TTAFStock'!AB33</f>
        <v/>
      </c>
      <c r="AE1181">
        <f>'T_TTAFStock'!AC33</f>
        <v/>
      </c>
      <c r="AF1181">
        <f>'T_TTAFStock'!AD33</f>
        <v/>
      </c>
      <c r="AG1181">
        <f>'T_TTAFStock'!AE33</f>
        <v/>
      </c>
      <c r="AH1181">
        <f>'T_TTAFStock'!AF33</f>
        <v/>
      </c>
      <c r="AI1181">
        <f>'T_TTAFStock'!AG33</f>
        <v/>
      </c>
      <c r="AJ1181">
        <f>'T_TTAFStock'!AH33</f>
        <v/>
      </c>
      <c r="AK1181">
        <f>'T_TTAFStock'!AI33</f>
        <v/>
      </c>
      <c r="AL1181">
        <f>'T_TTAFStock'!AJ33</f>
        <v/>
      </c>
      <c r="AM1181">
        <f>'T_TTAFStock'!AK33</f>
        <v/>
      </c>
      <c r="AN1181">
        <f>'T_TTAFStock'!AL33</f>
        <v/>
      </c>
      <c r="AO1181">
        <f>'T_TTAFStock'!AM33</f>
        <v/>
      </c>
      <c r="AP1181">
        <f>'T_TTAFStock'!AN33</f>
        <v/>
      </c>
      <c r="AQ1181">
        <f>'T_TTAFStock'!AO33</f>
        <v/>
      </c>
      <c r="AR1181">
        <f>'T_TTAFStock'!AP33</f>
        <v/>
      </c>
      <c r="AS1181">
        <f>'T_TTAFStock'!AQ33</f>
        <v/>
      </c>
      <c r="AT1181">
        <f>'T_TTAFStock'!AR33</f>
        <v/>
      </c>
      <c r="AU1181">
        <f>'T_TTAFStock'!AS33</f>
        <v/>
      </c>
      <c r="AV1181">
        <f>'T_TTAFStock'!AT33</f>
        <v/>
      </c>
      <c r="AW1181">
        <f>'T_TTAFStock'!AU33</f>
        <v/>
      </c>
      <c r="AX1181">
        <f>'T_TTAFStock'!AV33</f>
        <v/>
      </c>
      <c r="AY1181">
        <f>'T_TTAFStock'!AW33</f>
        <v/>
      </c>
      <c r="AZ1181">
        <f>'T_TTAFStock'!AX33</f>
        <v/>
      </c>
      <c r="BA1181">
        <f>'T_TTAFStock'!AY33</f>
        <v/>
      </c>
      <c r="BB1181">
        <f>'T_TTAFStock'!AZ33</f>
        <v/>
      </c>
      <c r="BC1181">
        <f>'T_TTAFStock'!BA33</f>
        <v/>
      </c>
      <c r="BD1181">
        <f>'T_TTAFStock'!BB33</f>
        <v/>
      </c>
      <c r="BE1181">
        <f>'T_TTAFStock'!BC33</f>
        <v/>
      </c>
      <c r="BF1181">
        <f>'T_TTAFStock'!BD33</f>
        <v/>
      </c>
      <c r="BG1181">
        <f>'T_TTAFStock'!BE33</f>
        <v/>
      </c>
      <c r="BH1181">
        <f>'T_TTAFStock'!BF33</f>
        <v/>
      </c>
      <c r="BI1181">
        <f>'T_TTAFStock'!BG33</f>
        <v/>
      </c>
      <c r="BJ1181">
        <f>'T_TTAFStock'!BH33</f>
        <v/>
      </c>
      <c r="BK1181">
        <f>'T_TTAFStock'!BI33</f>
        <v/>
      </c>
      <c r="BL1181">
        <f>'T_TTAFStock'!BJ33</f>
        <v/>
      </c>
      <c r="BM1181">
        <f>'T_TTAFStock'!BK33</f>
        <v/>
      </c>
      <c r="BN1181">
        <f>'T_TTAFStock'!BL33</f>
        <v/>
      </c>
      <c r="BO1181">
        <f>'T_TTAFStock'!BM33</f>
        <v/>
      </c>
      <c r="BP1181">
        <f>'T_TTAFStock'!BN33</f>
        <v/>
      </c>
      <c r="BQ1181">
        <f>'T_TTAFStock'!BO33</f>
        <v/>
      </c>
      <c r="BR1181">
        <f>'T_TTAFStock'!BP33</f>
        <v/>
      </c>
      <c r="BS1181">
        <f>'T_TTAFStock'!BQ33</f>
        <v/>
      </c>
      <c r="BT1181">
        <f>'T_TTAFStock'!BR33</f>
        <v/>
      </c>
      <c r="BU1181">
        <f>'T_TTAFStock'!BS33</f>
        <v/>
      </c>
      <c r="BV1181">
        <f>'T_TTAFStock'!BT33</f>
        <v/>
      </c>
      <c r="BW1181">
        <f>'T_TTAFStock'!BU33</f>
        <v/>
      </c>
      <c r="BX1181">
        <f>'T_TTAFStock'!BV33</f>
        <v/>
      </c>
      <c r="BY1181">
        <f>'T_TTAFStock'!BW33</f>
        <v/>
      </c>
      <c r="BZ1181">
        <f>'T_TTAFStock'!BX33</f>
        <v/>
      </c>
      <c r="CA1181">
        <f>'T_TTAFStock'!BY33</f>
        <v/>
      </c>
      <c r="CB1181">
        <f>'T_TTAFStock'!BZ33</f>
        <v/>
      </c>
      <c r="CC1181">
        <f>'T_TTAFStock'!CA33</f>
        <v/>
      </c>
      <c r="CD1181">
        <f>'T_TTAFStock'!CB33</f>
        <v/>
      </c>
      <c r="CE1181">
        <f>'T_TTAFStock'!CC33</f>
        <v/>
      </c>
      <c r="CF1181">
        <f>'T_TTAFStock'!CD33</f>
        <v/>
      </c>
      <c r="CG1181">
        <f>'T_TTAFStock'!CE33</f>
        <v/>
      </c>
      <c r="CH1181">
        <f>'T_TTAFStock'!CF33</f>
        <v/>
      </c>
      <c r="CI1181">
        <f>'T_TTAFStock'!CG33</f>
        <v/>
      </c>
      <c r="CJ1181">
        <f>'T_TTAFStock'!CH33</f>
        <v/>
      </c>
      <c r="CK1181">
        <f>'T_TTAFStock'!CI33</f>
        <v/>
      </c>
      <c r="CL1181">
        <f>'T_TTAFStock'!CJ33</f>
        <v/>
      </c>
      <c r="CM1181">
        <f>'T_TTAFStock'!CK33</f>
        <v/>
      </c>
      <c r="CN1181">
        <f>'T_TTAFStock'!CL33</f>
        <v/>
      </c>
      <c r="CO1181">
        <f>'T_TTAFStock'!CM33</f>
        <v/>
      </c>
      <c r="CP1181">
        <f>'T_TTAFStock'!CN33</f>
        <v/>
      </c>
      <c r="CQ1181">
        <f>'T_TTAFStock'!CO33</f>
        <v/>
      </c>
      <c r="CR1181">
        <f>'T_TTAFStock'!CP33</f>
        <v/>
      </c>
      <c r="CS1181">
        <f>'T_TTAFStock'!CQ33</f>
        <v/>
      </c>
      <c r="CT1181">
        <f>'T_TTAFStock'!CR33</f>
        <v/>
      </c>
      <c r="CU1181">
        <f>'T_TTAFStock'!CS33</f>
        <v/>
      </c>
      <c r="CV1181">
        <f>'T_TTAFStock'!CT33</f>
        <v/>
      </c>
      <c r="CW1181">
        <f>'T_TTAFStock'!CU33</f>
        <v/>
      </c>
      <c r="CX1181">
        <f>'T_TTAFStock'!CV33</f>
        <v/>
      </c>
      <c r="CY1181">
        <f>'T_TTAFStock'!CW33</f>
        <v/>
      </c>
      <c r="CZ1181">
        <f>'T_TTAFStock'!CX33</f>
        <v/>
      </c>
      <c r="DA1181">
        <f>'T_TTAFStock'!CY33</f>
        <v/>
      </c>
      <c r="DB1181">
        <f>'T_TTAFStock'!CZ33</f>
        <v/>
      </c>
      <c r="DC1181">
        <f>'T_TTAFStock'!DA33</f>
        <v/>
      </c>
    </row>
    <row r="1182">
      <c r="B1182" t="inlineStr">
        <is>
          <t>自社在庫(実績,kg)</t>
        </is>
      </c>
      <c r="D1182">
        <f>'T_SelfStock'!B33</f>
        <v/>
      </c>
      <c r="E1182">
        <f>'T_SelfStock'!C33</f>
        <v/>
      </c>
      <c r="F1182">
        <f>'T_SelfStock'!D33</f>
        <v/>
      </c>
      <c r="G1182">
        <f>'T_SelfStock'!E33</f>
        <v/>
      </c>
      <c r="H1182">
        <f>'T_SelfStock'!F33</f>
        <v/>
      </c>
      <c r="I1182">
        <f>'T_SelfStock'!G33</f>
        <v/>
      </c>
      <c r="J1182">
        <f>'T_SelfStock'!H33</f>
        <v/>
      </c>
      <c r="K1182">
        <f>'T_SelfStock'!I33</f>
        <v/>
      </c>
      <c r="L1182">
        <f>'T_SelfStock'!J33</f>
        <v/>
      </c>
      <c r="M1182">
        <f>'T_SelfStock'!K33</f>
        <v/>
      </c>
      <c r="N1182">
        <f>'T_SelfStock'!L33</f>
        <v/>
      </c>
      <c r="O1182">
        <f>'T_SelfStock'!M33</f>
        <v/>
      </c>
      <c r="P1182">
        <f>'T_SelfStock'!N33</f>
        <v/>
      </c>
      <c r="Q1182">
        <f>'T_SelfStock'!O33</f>
        <v/>
      </c>
      <c r="R1182">
        <f>'T_SelfStock'!P33</f>
        <v/>
      </c>
      <c r="S1182">
        <f>'T_SelfStock'!Q33</f>
        <v/>
      </c>
      <c r="T1182">
        <f>'T_SelfStock'!R33</f>
        <v/>
      </c>
      <c r="U1182">
        <f>'T_SelfStock'!S33</f>
        <v/>
      </c>
      <c r="V1182">
        <f>'T_SelfStock'!T33</f>
        <v/>
      </c>
      <c r="W1182">
        <f>'T_SelfStock'!U33</f>
        <v/>
      </c>
      <c r="X1182">
        <f>'T_SelfStock'!V33</f>
        <v/>
      </c>
      <c r="Y1182">
        <f>'T_SelfStock'!W33</f>
        <v/>
      </c>
      <c r="Z1182">
        <f>'T_SelfStock'!X33</f>
        <v/>
      </c>
      <c r="AA1182">
        <f>'T_SelfStock'!Y33</f>
        <v/>
      </c>
      <c r="AB1182">
        <f>'T_SelfStock'!Z33</f>
        <v/>
      </c>
      <c r="AC1182">
        <f>'T_SelfStock'!AA33</f>
        <v/>
      </c>
      <c r="AD1182">
        <f>'T_SelfStock'!AB33</f>
        <v/>
      </c>
      <c r="AE1182">
        <f>'T_SelfStock'!AC33</f>
        <v/>
      </c>
      <c r="AF1182">
        <f>'T_SelfStock'!AD33</f>
        <v/>
      </c>
      <c r="AG1182">
        <f>'T_SelfStock'!AE33</f>
        <v/>
      </c>
      <c r="AH1182">
        <f>'T_SelfStock'!AF33</f>
        <v/>
      </c>
      <c r="AI1182">
        <f>'T_SelfStock'!AG33</f>
        <v/>
      </c>
      <c r="AJ1182">
        <f>'T_SelfStock'!AH33</f>
        <v/>
      </c>
      <c r="AK1182">
        <f>'T_SelfStock'!AI33</f>
        <v/>
      </c>
      <c r="AL1182">
        <f>'T_SelfStock'!AJ33</f>
        <v/>
      </c>
      <c r="AM1182">
        <f>'T_SelfStock'!AK33</f>
        <v/>
      </c>
      <c r="AN1182">
        <f>'T_SelfStock'!AL33</f>
        <v/>
      </c>
      <c r="AO1182">
        <f>'T_SelfStock'!AM33</f>
        <v/>
      </c>
      <c r="AP1182">
        <f>'T_SelfStock'!AN33</f>
        <v/>
      </c>
      <c r="AQ1182">
        <f>'T_SelfStock'!AO33</f>
        <v/>
      </c>
      <c r="AR1182">
        <f>'T_SelfStock'!AP33</f>
        <v/>
      </c>
      <c r="AS1182">
        <f>'T_SelfStock'!AQ33</f>
        <v/>
      </c>
      <c r="AT1182">
        <f>'T_SelfStock'!AR33</f>
        <v/>
      </c>
      <c r="AU1182">
        <f>'T_SelfStock'!AS33</f>
        <v/>
      </c>
      <c r="AV1182">
        <f>'T_SelfStock'!AT33</f>
        <v/>
      </c>
      <c r="AW1182">
        <f>'T_SelfStock'!AU33</f>
        <v/>
      </c>
      <c r="AX1182">
        <f>'T_SelfStock'!AV33</f>
        <v/>
      </c>
      <c r="AY1182">
        <f>'T_SelfStock'!AW33</f>
        <v/>
      </c>
      <c r="AZ1182">
        <f>'T_SelfStock'!AX33</f>
        <v/>
      </c>
      <c r="BA1182">
        <f>'T_SelfStock'!AY33</f>
        <v/>
      </c>
      <c r="BB1182">
        <f>'T_SelfStock'!AZ33</f>
        <v/>
      </c>
      <c r="BC1182">
        <f>'T_SelfStock'!BA33</f>
        <v/>
      </c>
      <c r="BD1182">
        <f>'T_SelfStock'!BB33</f>
        <v/>
      </c>
      <c r="BE1182">
        <f>'T_SelfStock'!BC33</f>
        <v/>
      </c>
      <c r="BF1182">
        <f>'T_SelfStock'!BD33</f>
        <v/>
      </c>
      <c r="BG1182">
        <f>'T_SelfStock'!BE33</f>
        <v/>
      </c>
      <c r="BH1182">
        <f>'T_SelfStock'!BF33</f>
        <v/>
      </c>
      <c r="BI1182">
        <f>'T_SelfStock'!BG33</f>
        <v/>
      </c>
      <c r="BJ1182">
        <f>'T_SelfStock'!BH33</f>
        <v/>
      </c>
      <c r="BK1182">
        <f>'T_SelfStock'!BI33</f>
        <v/>
      </c>
      <c r="BL1182">
        <f>'T_SelfStock'!BJ33</f>
        <v/>
      </c>
      <c r="BM1182">
        <f>'T_SelfStock'!BK33</f>
        <v/>
      </c>
      <c r="BN1182">
        <f>'T_SelfStock'!BL33</f>
        <v/>
      </c>
      <c r="BO1182">
        <f>'T_SelfStock'!BM33</f>
        <v/>
      </c>
      <c r="BP1182">
        <f>'T_SelfStock'!BN33</f>
        <v/>
      </c>
      <c r="BQ1182">
        <f>'T_SelfStock'!BO33</f>
        <v/>
      </c>
      <c r="BR1182">
        <f>'T_SelfStock'!BP33</f>
        <v/>
      </c>
      <c r="BS1182">
        <f>'T_SelfStock'!BQ33</f>
        <v/>
      </c>
      <c r="BT1182">
        <f>'T_SelfStock'!BR33</f>
        <v/>
      </c>
      <c r="BU1182">
        <f>'T_SelfStock'!BS33</f>
        <v/>
      </c>
      <c r="BV1182">
        <f>'T_SelfStock'!BT33</f>
        <v/>
      </c>
      <c r="BW1182">
        <f>'T_SelfStock'!BU33</f>
        <v/>
      </c>
      <c r="BX1182">
        <f>'T_SelfStock'!BV33</f>
        <v/>
      </c>
      <c r="BY1182">
        <f>'T_SelfStock'!BW33</f>
        <v/>
      </c>
      <c r="BZ1182">
        <f>'T_SelfStock'!BX33</f>
        <v/>
      </c>
      <c r="CA1182">
        <f>'T_SelfStock'!BY33</f>
        <v/>
      </c>
      <c r="CB1182">
        <f>'T_SelfStock'!BZ33</f>
        <v/>
      </c>
      <c r="CC1182">
        <f>'T_SelfStock'!CA33</f>
        <v/>
      </c>
      <c r="CD1182">
        <f>'T_SelfStock'!CB33</f>
        <v/>
      </c>
      <c r="CE1182">
        <f>'T_SelfStock'!CC33</f>
        <v/>
      </c>
      <c r="CF1182">
        <f>'T_SelfStock'!CD33</f>
        <v/>
      </c>
      <c r="CG1182">
        <f>'T_SelfStock'!CE33</f>
        <v/>
      </c>
      <c r="CH1182">
        <f>'T_SelfStock'!CF33</f>
        <v/>
      </c>
      <c r="CI1182">
        <f>'T_SelfStock'!CG33</f>
        <v/>
      </c>
      <c r="CJ1182">
        <f>'T_SelfStock'!CH33</f>
        <v/>
      </c>
      <c r="CK1182">
        <f>'T_SelfStock'!CI33</f>
        <v/>
      </c>
      <c r="CL1182">
        <f>'T_SelfStock'!CJ33</f>
        <v/>
      </c>
      <c r="CM1182">
        <f>'T_SelfStock'!CK33</f>
        <v/>
      </c>
      <c r="CN1182">
        <f>'T_SelfStock'!CL33</f>
        <v/>
      </c>
      <c r="CO1182">
        <f>'T_SelfStock'!CM33</f>
        <v/>
      </c>
      <c r="CP1182">
        <f>'T_SelfStock'!CN33</f>
        <v/>
      </c>
      <c r="CQ1182">
        <f>'T_SelfStock'!CO33</f>
        <v/>
      </c>
      <c r="CR1182">
        <f>'T_SelfStock'!CP33</f>
        <v/>
      </c>
      <c r="CS1182">
        <f>'T_SelfStock'!CQ33</f>
        <v/>
      </c>
      <c r="CT1182">
        <f>'T_SelfStock'!CR33</f>
        <v/>
      </c>
      <c r="CU1182">
        <f>'T_SelfStock'!CS33</f>
        <v/>
      </c>
      <c r="CV1182">
        <f>'T_SelfStock'!CT33</f>
        <v/>
      </c>
      <c r="CW1182">
        <f>'T_SelfStock'!CU33</f>
        <v/>
      </c>
      <c r="CX1182">
        <f>'T_SelfStock'!CV33</f>
        <v/>
      </c>
      <c r="CY1182">
        <f>'T_SelfStock'!CW33</f>
        <v/>
      </c>
      <c r="CZ1182">
        <f>'T_SelfStock'!CX33</f>
        <v/>
      </c>
      <c r="DA1182">
        <f>'T_SelfStock'!CY33</f>
        <v/>
      </c>
      <c r="DB1182">
        <f>'T_SelfStock'!CZ33</f>
        <v/>
      </c>
      <c r="DC1182">
        <f>'T_SelfStock'!DA33</f>
        <v/>
      </c>
    </row>
    <row r="1183">
      <c r="B1183" t="inlineStr">
        <is>
          <t>Order(発注予定,kg)</t>
        </is>
      </c>
      <c r="D1183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3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3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3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3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3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3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3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3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3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3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3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3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3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3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3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3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3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3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3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3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3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3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3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3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3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3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3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3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3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3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3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3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3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3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3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3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3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3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3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3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3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3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3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3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3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3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3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3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3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3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3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3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3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3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3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3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3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3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3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3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3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3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3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3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3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3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3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3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3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3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3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3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3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3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3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3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3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3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3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3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3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3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3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3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3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3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3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3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3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3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3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3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3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3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3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3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3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3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3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3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3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3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3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4">
      <c r="B1184" s="4" t="inlineStr">
        <is>
          <t>合計在庫(週末時点,kg)</t>
        </is>
      </c>
      <c r="D1184">
        <f>'Grid_Stock'!B29</f>
        <v/>
      </c>
      <c r="E1184">
        <f>'Grid_Stock'!C29</f>
        <v/>
      </c>
      <c r="F1184">
        <f>'Grid_Stock'!D29</f>
        <v/>
      </c>
      <c r="G1184">
        <f>'Grid_Stock'!E29</f>
        <v/>
      </c>
      <c r="H1184">
        <f>'Grid_Stock'!F29</f>
        <v/>
      </c>
      <c r="I1184">
        <f>'Grid_Stock'!G29</f>
        <v/>
      </c>
      <c r="J1184">
        <f>'Grid_Stock'!H29</f>
        <v/>
      </c>
      <c r="K1184">
        <f>'Grid_Stock'!I29</f>
        <v/>
      </c>
      <c r="L1184">
        <f>'Grid_Stock'!J29</f>
        <v/>
      </c>
      <c r="M1184">
        <f>'Grid_Stock'!K29</f>
        <v/>
      </c>
      <c r="N1184">
        <f>'Grid_Stock'!L29</f>
        <v/>
      </c>
      <c r="O1184">
        <f>'Grid_Stock'!M29</f>
        <v/>
      </c>
      <c r="P1184">
        <f>'Grid_Stock'!N29</f>
        <v/>
      </c>
      <c r="Q1184">
        <f>'Grid_Stock'!O29</f>
        <v/>
      </c>
      <c r="R1184">
        <f>'Grid_Stock'!P29</f>
        <v/>
      </c>
      <c r="S1184">
        <f>'Grid_Stock'!Q29</f>
        <v/>
      </c>
      <c r="T1184">
        <f>'Grid_Stock'!R29</f>
        <v/>
      </c>
      <c r="U1184">
        <f>'Grid_Stock'!S29</f>
        <v/>
      </c>
      <c r="V1184">
        <f>'Grid_Stock'!T29</f>
        <v/>
      </c>
      <c r="W1184">
        <f>'Grid_Stock'!U29</f>
        <v/>
      </c>
      <c r="X1184">
        <f>'Grid_Stock'!V29</f>
        <v/>
      </c>
      <c r="Y1184">
        <f>'Grid_Stock'!W29</f>
        <v/>
      </c>
      <c r="Z1184">
        <f>'Grid_Stock'!X29</f>
        <v/>
      </c>
      <c r="AA1184">
        <f>'Grid_Stock'!Y29</f>
        <v/>
      </c>
      <c r="AB1184">
        <f>'Grid_Stock'!Z29</f>
        <v/>
      </c>
      <c r="AC1184">
        <f>'Grid_Stock'!AA29</f>
        <v/>
      </c>
      <c r="AD1184">
        <f>'Grid_Stock'!AB29</f>
        <v/>
      </c>
      <c r="AE1184">
        <f>'Grid_Stock'!AC29</f>
        <v/>
      </c>
      <c r="AF1184">
        <f>'Grid_Stock'!AD29</f>
        <v/>
      </c>
      <c r="AG1184">
        <f>'Grid_Stock'!AE29</f>
        <v/>
      </c>
      <c r="AH1184">
        <f>'Grid_Stock'!AF29</f>
        <v/>
      </c>
      <c r="AI1184">
        <f>'Grid_Stock'!AG29</f>
        <v/>
      </c>
      <c r="AJ1184">
        <f>'Grid_Stock'!AH29</f>
        <v/>
      </c>
      <c r="AK1184">
        <f>'Grid_Stock'!AI29</f>
        <v/>
      </c>
      <c r="AL1184">
        <f>'Grid_Stock'!AJ29</f>
        <v/>
      </c>
      <c r="AM1184">
        <f>'Grid_Stock'!AK29</f>
        <v/>
      </c>
      <c r="AN1184">
        <f>'Grid_Stock'!AL29</f>
        <v/>
      </c>
      <c r="AO1184">
        <f>'Grid_Stock'!AM29</f>
        <v/>
      </c>
      <c r="AP1184">
        <f>'Grid_Stock'!AN29</f>
        <v/>
      </c>
      <c r="AQ1184">
        <f>'Grid_Stock'!AO29</f>
        <v/>
      </c>
      <c r="AR1184">
        <f>'Grid_Stock'!AP29</f>
        <v/>
      </c>
      <c r="AS1184">
        <f>'Grid_Stock'!AQ29</f>
        <v/>
      </c>
      <c r="AT1184">
        <f>'Grid_Stock'!AR29</f>
        <v/>
      </c>
      <c r="AU1184">
        <f>'Grid_Stock'!AS29</f>
        <v/>
      </c>
      <c r="AV1184">
        <f>'Grid_Stock'!AT29</f>
        <v/>
      </c>
      <c r="AW1184">
        <f>'Grid_Stock'!AU29</f>
        <v/>
      </c>
      <c r="AX1184">
        <f>'Grid_Stock'!AV29</f>
        <v/>
      </c>
      <c r="AY1184">
        <f>'Grid_Stock'!AW29</f>
        <v/>
      </c>
      <c r="AZ1184">
        <f>'Grid_Stock'!AX29</f>
        <v/>
      </c>
      <c r="BA1184">
        <f>'Grid_Stock'!AY29</f>
        <v/>
      </c>
      <c r="BB1184">
        <f>'Grid_Stock'!AZ29</f>
        <v/>
      </c>
      <c r="BC1184">
        <f>'Grid_Stock'!BA29</f>
        <v/>
      </c>
      <c r="BD1184">
        <f>'Grid_Stock'!BB29</f>
        <v/>
      </c>
      <c r="BE1184">
        <f>'Grid_Stock'!BC29</f>
        <v/>
      </c>
      <c r="BF1184">
        <f>'Grid_Stock'!BD29</f>
        <v/>
      </c>
      <c r="BG1184">
        <f>'Grid_Stock'!BE29</f>
        <v/>
      </c>
      <c r="BH1184">
        <f>'Grid_Stock'!BF29</f>
        <v/>
      </c>
      <c r="BI1184">
        <f>'Grid_Stock'!BG29</f>
        <v/>
      </c>
      <c r="BJ1184">
        <f>'Grid_Stock'!BH29</f>
        <v/>
      </c>
      <c r="BK1184">
        <f>'Grid_Stock'!BI29</f>
        <v/>
      </c>
      <c r="BL1184">
        <f>'Grid_Stock'!BJ29</f>
        <v/>
      </c>
      <c r="BM1184">
        <f>'Grid_Stock'!BK29</f>
        <v/>
      </c>
      <c r="BN1184">
        <f>'Grid_Stock'!BL29</f>
        <v/>
      </c>
      <c r="BO1184">
        <f>'Grid_Stock'!BM29</f>
        <v/>
      </c>
      <c r="BP1184">
        <f>'Grid_Stock'!BN29</f>
        <v/>
      </c>
      <c r="BQ1184">
        <f>'Grid_Stock'!BO29</f>
        <v/>
      </c>
      <c r="BR1184">
        <f>'Grid_Stock'!BP29</f>
        <v/>
      </c>
      <c r="BS1184">
        <f>'Grid_Stock'!BQ29</f>
        <v/>
      </c>
      <c r="BT1184">
        <f>'Grid_Stock'!BR29</f>
        <v/>
      </c>
      <c r="BU1184">
        <f>'Grid_Stock'!BS29</f>
        <v/>
      </c>
      <c r="BV1184">
        <f>'Grid_Stock'!BT29</f>
        <v/>
      </c>
      <c r="BW1184">
        <f>'Grid_Stock'!BU29</f>
        <v/>
      </c>
      <c r="BX1184">
        <f>'Grid_Stock'!BV29</f>
        <v/>
      </c>
      <c r="BY1184">
        <f>'Grid_Stock'!BW29</f>
        <v/>
      </c>
      <c r="BZ1184">
        <f>'Grid_Stock'!BX29</f>
        <v/>
      </c>
      <c r="CA1184">
        <f>'Grid_Stock'!BY29</f>
        <v/>
      </c>
      <c r="CB1184">
        <f>'Grid_Stock'!BZ29</f>
        <v/>
      </c>
      <c r="CC1184">
        <f>'Grid_Stock'!CA29</f>
        <v/>
      </c>
      <c r="CD1184">
        <f>'Grid_Stock'!CB29</f>
        <v/>
      </c>
      <c r="CE1184">
        <f>'Grid_Stock'!CC29</f>
        <v/>
      </c>
      <c r="CF1184">
        <f>'Grid_Stock'!CD29</f>
        <v/>
      </c>
      <c r="CG1184">
        <f>'Grid_Stock'!CE29</f>
        <v/>
      </c>
      <c r="CH1184">
        <f>'Grid_Stock'!CF29</f>
        <v/>
      </c>
      <c r="CI1184">
        <f>'Grid_Stock'!CG29</f>
        <v/>
      </c>
      <c r="CJ1184">
        <f>'Grid_Stock'!CH29</f>
        <v/>
      </c>
      <c r="CK1184">
        <f>'Grid_Stock'!CI29</f>
        <v/>
      </c>
      <c r="CL1184">
        <f>'Grid_Stock'!CJ29</f>
        <v/>
      </c>
      <c r="CM1184">
        <f>'Grid_Stock'!CK29</f>
        <v/>
      </c>
      <c r="CN1184">
        <f>'Grid_Stock'!CL29</f>
        <v/>
      </c>
      <c r="CO1184">
        <f>'Grid_Stock'!CM29</f>
        <v/>
      </c>
      <c r="CP1184">
        <f>'Grid_Stock'!CN29</f>
        <v/>
      </c>
      <c r="CQ1184">
        <f>'Grid_Stock'!CO29</f>
        <v/>
      </c>
      <c r="CR1184">
        <f>'Grid_Stock'!CP29</f>
        <v/>
      </c>
      <c r="CS1184">
        <f>'Grid_Stock'!CQ29</f>
        <v/>
      </c>
      <c r="CT1184">
        <f>'Grid_Stock'!CR29</f>
        <v/>
      </c>
      <c r="CU1184">
        <f>'Grid_Stock'!CS29</f>
        <v/>
      </c>
      <c r="CV1184">
        <f>'Grid_Stock'!CT29</f>
        <v/>
      </c>
      <c r="CW1184">
        <f>'Grid_Stock'!CU29</f>
        <v/>
      </c>
      <c r="CX1184">
        <f>'Grid_Stock'!CV29</f>
        <v/>
      </c>
      <c r="CY1184">
        <f>'Grid_Stock'!CW29</f>
        <v/>
      </c>
      <c r="CZ1184">
        <f>'Grid_Stock'!CX29</f>
        <v/>
      </c>
      <c r="DA1184">
        <f>'Grid_Stock'!CY29</f>
        <v/>
      </c>
      <c r="DB1184">
        <f>'Grid_Stock'!CZ29</f>
        <v/>
      </c>
      <c r="DC1184">
        <f>'Grid_Stock'!DA29</f>
        <v/>
      </c>
    </row>
    <row r="1185">
      <c r="B1185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INDEX(Grid_Stock[#Data],14,$P$7)</f>
        <v/>
      </c>
      <c r="H27" s="12">
        <f>MAX(0,$F27-INDEX(Grid_Stock[#Data],14,$P$7+0))</f>
        <v/>
      </c>
      <c r="I27" s="12">
        <f>MAX(0,$F27-INDEX(Grid_Stock[#Data],14,$P$7+1))</f>
        <v/>
      </c>
      <c r="J27" s="12">
        <f>MAX(0,$F27-INDEX(Grid_Stock[#Data],14,$P$7+2))</f>
        <v/>
      </c>
      <c r="K27" s="12">
        <f>MAX(0,$F27-INDEX(Grid_Stock[#Data],14,$P$7+3))</f>
        <v/>
      </c>
      <c r="L27" s="12">
        <f>MAX(0,$F27-INDEX(Grid_Stock[#Data],14,$P$7+4))</f>
        <v/>
      </c>
      <c r="M27" s="12">
        <f>MAX(0,$F27-INDEX(Grid_Stock[#Data],14,$P$7+5))</f>
        <v/>
      </c>
      <c r="N27" s="12">
        <f>MAX(0,$F27-INDEX(Grid_Stock[#Data],14,$P$7+6))</f>
        <v/>
      </c>
      <c r="O27" s="12">
        <f>MAX(0,$F27-INDEX(Grid_Stock[#Data],14,$P$7+7))</f>
        <v/>
      </c>
      <c r="P27" s="12">
        <f>MAX(0,$F27-INDEX(Grid_Stock[#Data],14,$P$7+8))</f>
        <v/>
      </c>
      <c r="Q27" s="12">
        <f>MAX(0,$F27-INDEX(Grid_Stock[#Data],14,$P$7+9))</f>
        <v/>
      </c>
      <c r="R27" s="12">
        <f>MAX(0,$F27-INDEX(Grid_Stock[#Data],14,$P$7+10))</f>
        <v/>
      </c>
      <c r="S27" s="12">
        <f>MAX(0,$F27-INDEX(Grid_Stock[#Data],14,$P$7+11))</f>
        <v/>
      </c>
      <c r="T27" s="12">
        <f>MAX(0,$F27-INDEX(Grid_Stock[#Data],14,$P$7+12))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INDEX(Grid_Stock[#Data],15,$P$7)</f>
        <v/>
      </c>
      <c r="H28" s="13">
        <f>MAX(0,$F28-INDEX(Grid_Stock[#Data],15,$P$7+0))</f>
        <v/>
      </c>
      <c r="I28" s="13">
        <f>MAX(0,$F28-INDEX(Grid_Stock[#Data],15,$P$7+1))</f>
        <v/>
      </c>
      <c r="J28" s="13">
        <f>MAX(0,$F28-INDEX(Grid_Stock[#Data],15,$P$7+2))</f>
        <v/>
      </c>
      <c r="K28" s="13">
        <f>MAX(0,$F28-INDEX(Grid_Stock[#Data],15,$P$7+3))</f>
        <v/>
      </c>
      <c r="L28" s="13">
        <f>MAX(0,$F28-INDEX(Grid_Stock[#Data],15,$P$7+4))</f>
        <v/>
      </c>
      <c r="M28" s="13">
        <f>MAX(0,$F28-INDEX(Grid_Stock[#Data],15,$P$7+5))</f>
        <v/>
      </c>
      <c r="N28" s="13">
        <f>MAX(0,$F28-INDEX(Grid_Stock[#Data],15,$P$7+6))</f>
        <v/>
      </c>
      <c r="O28" s="13">
        <f>MAX(0,$F28-INDEX(Grid_Stock[#Data],15,$P$7+7))</f>
        <v/>
      </c>
      <c r="P28" s="13">
        <f>MAX(0,$F28-INDEX(Grid_Stock[#Data],15,$P$7+8))</f>
        <v/>
      </c>
      <c r="Q28" s="13">
        <f>MAX(0,$F28-INDEX(Grid_Stock[#Data],15,$P$7+9))</f>
        <v/>
      </c>
      <c r="R28" s="13">
        <f>MAX(0,$F28-INDEX(Grid_Stock[#Data],15,$P$7+10))</f>
        <v/>
      </c>
      <c r="S28" s="13">
        <f>MAX(0,$F28-INDEX(Grid_Stock[#Data],15,$P$7+11))</f>
        <v/>
      </c>
      <c r="T28" s="13">
        <f>MAX(0,$F28-INDEX(Grid_Stock[#Data],15,$P$7+12))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INDEX(Grid_Stock[#Data],16,$P$7)</f>
        <v/>
      </c>
      <c r="H29" s="12">
        <f>MAX(0,$F29-INDEX(Grid_Stock[#Data],16,$P$7+0))</f>
        <v/>
      </c>
      <c r="I29" s="12">
        <f>MAX(0,$F29-INDEX(Grid_Stock[#Data],16,$P$7+1))</f>
        <v/>
      </c>
      <c r="J29" s="12">
        <f>MAX(0,$F29-INDEX(Grid_Stock[#Data],16,$P$7+2))</f>
        <v/>
      </c>
      <c r="K29" s="12">
        <f>MAX(0,$F29-INDEX(Grid_Stock[#Data],16,$P$7+3))</f>
        <v/>
      </c>
      <c r="L29" s="12">
        <f>MAX(0,$F29-INDEX(Grid_Stock[#Data],16,$P$7+4))</f>
        <v/>
      </c>
      <c r="M29" s="12">
        <f>MAX(0,$F29-INDEX(Grid_Stock[#Data],16,$P$7+5))</f>
        <v/>
      </c>
      <c r="N29" s="12">
        <f>MAX(0,$F29-INDEX(Grid_Stock[#Data],16,$P$7+6))</f>
        <v/>
      </c>
      <c r="O29" s="12">
        <f>MAX(0,$F29-INDEX(Grid_Stock[#Data],16,$P$7+7))</f>
        <v/>
      </c>
      <c r="P29" s="12">
        <f>MAX(0,$F29-INDEX(Grid_Stock[#Data],16,$P$7+8))</f>
        <v/>
      </c>
      <c r="Q29" s="12">
        <f>MAX(0,$F29-INDEX(Grid_Stock[#Data],16,$P$7+9))</f>
        <v/>
      </c>
      <c r="R29" s="12">
        <f>MAX(0,$F29-INDEX(Grid_Stock[#Data],16,$P$7+10))</f>
        <v/>
      </c>
      <c r="S29" s="12">
        <f>MAX(0,$F29-INDEX(Grid_Stock[#Data],16,$P$7+11))</f>
        <v/>
      </c>
      <c r="T29" s="12">
        <f>MAX(0,$F29-INDEX(Grid_Stock[#Data],16,$P$7+12))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INDEX(Grid_Stock[#Data],20,$P$7)</f>
        <v/>
      </c>
      <c r="H31" s="12">
        <f>MAX(0,$F31-INDEX(Grid_Stock[#Data],20,$P$7+0))</f>
        <v/>
      </c>
      <c r="I31" s="12">
        <f>MAX(0,$F31-INDEX(Grid_Stock[#Data],20,$P$7+1))</f>
        <v/>
      </c>
      <c r="J31" s="12">
        <f>MAX(0,$F31-INDEX(Grid_Stock[#Data],20,$P$7+2))</f>
        <v/>
      </c>
      <c r="K31" s="12">
        <f>MAX(0,$F31-INDEX(Grid_Stock[#Data],20,$P$7+3))</f>
        <v/>
      </c>
      <c r="L31" s="12">
        <f>MAX(0,$F31-INDEX(Grid_Stock[#Data],20,$P$7+4))</f>
        <v/>
      </c>
      <c r="M31" s="12">
        <f>MAX(0,$F31-INDEX(Grid_Stock[#Data],20,$P$7+5))</f>
        <v/>
      </c>
      <c r="N31" s="12">
        <f>MAX(0,$F31-INDEX(Grid_Stock[#Data],20,$P$7+6))</f>
        <v/>
      </c>
      <c r="O31" s="12">
        <f>MAX(0,$F31-INDEX(Grid_Stock[#Data],20,$P$7+7))</f>
        <v/>
      </c>
      <c r="P31" s="12">
        <f>MAX(0,$F31-INDEX(Grid_Stock[#Data],20,$P$7+8))</f>
        <v/>
      </c>
      <c r="Q31" s="12">
        <f>MAX(0,$F31-INDEX(Grid_Stock[#Data],20,$P$7+9))</f>
        <v/>
      </c>
      <c r="R31" s="12">
        <f>MAX(0,$F31-INDEX(Grid_Stock[#Data],20,$P$7+10))</f>
        <v/>
      </c>
      <c r="S31" s="12">
        <f>MAX(0,$F31-INDEX(Grid_Stock[#Data],20,$P$7+11))</f>
        <v/>
      </c>
      <c r="T31" s="12">
        <f>MAX(0,$F31-INDEX(Grid_Stock[#Data],20,$P$7+12))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INDEX(Grid_Stock[#Data],22,$P$7)</f>
        <v/>
      </c>
      <c r="H32" s="13">
        <f>MAX(0,$F32-INDEX(Grid_Stock[#Data],22,$P$7+0))</f>
        <v/>
      </c>
      <c r="I32" s="13">
        <f>MAX(0,$F32-INDEX(Grid_Stock[#Data],22,$P$7+1))</f>
        <v/>
      </c>
      <c r="J32" s="13">
        <f>MAX(0,$F32-INDEX(Grid_Stock[#Data],22,$P$7+2))</f>
        <v/>
      </c>
      <c r="K32" s="13">
        <f>MAX(0,$F32-INDEX(Grid_Stock[#Data],22,$P$7+3))</f>
        <v/>
      </c>
      <c r="L32" s="13">
        <f>MAX(0,$F32-INDEX(Grid_Stock[#Data],22,$P$7+4))</f>
        <v/>
      </c>
      <c r="M32" s="13">
        <f>MAX(0,$F32-INDEX(Grid_Stock[#Data],22,$P$7+5))</f>
        <v/>
      </c>
      <c r="N32" s="13">
        <f>MAX(0,$F32-INDEX(Grid_Stock[#Data],22,$P$7+6))</f>
        <v/>
      </c>
      <c r="O32" s="13">
        <f>MAX(0,$F32-INDEX(Grid_Stock[#Data],22,$P$7+7))</f>
        <v/>
      </c>
      <c r="P32" s="13">
        <f>MAX(0,$F32-INDEX(Grid_Stock[#Data],22,$P$7+8))</f>
        <v/>
      </c>
      <c r="Q32" s="13">
        <f>MAX(0,$F32-INDEX(Grid_Stock[#Data],22,$P$7+9))</f>
        <v/>
      </c>
      <c r="R32" s="13">
        <f>MAX(0,$F32-INDEX(Grid_Stock[#Data],22,$P$7+10))</f>
        <v/>
      </c>
      <c r="S32" s="13">
        <f>MAX(0,$F32-INDEX(Grid_Stock[#Data],22,$P$7+11))</f>
        <v/>
      </c>
      <c r="T32" s="13">
        <f>MAX(0,$F32-INDEX(Grid_Stock[#Data],22,$P$7+12))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INDEX(Grid_Stock[#Data],24,$P$7)</f>
        <v/>
      </c>
      <c r="H34" s="13">
        <f>MAX(0,$F34-INDEX(Grid_Stock[#Data],24,$P$7+0))</f>
        <v/>
      </c>
      <c r="I34" s="13">
        <f>MAX(0,$F34-INDEX(Grid_Stock[#Data],24,$P$7+1))</f>
        <v/>
      </c>
      <c r="J34" s="13">
        <f>MAX(0,$F34-INDEX(Grid_Stock[#Data],24,$P$7+2))</f>
        <v/>
      </c>
      <c r="K34" s="13">
        <f>MAX(0,$F34-INDEX(Grid_Stock[#Data],24,$P$7+3))</f>
        <v/>
      </c>
      <c r="L34" s="13">
        <f>MAX(0,$F34-INDEX(Grid_Stock[#Data],24,$P$7+4))</f>
        <v/>
      </c>
      <c r="M34" s="13">
        <f>MAX(0,$F34-INDEX(Grid_Stock[#Data],24,$P$7+5))</f>
        <v/>
      </c>
      <c r="N34" s="13">
        <f>MAX(0,$F34-INDEX(Grid_Stock[#Data],24,$P$7+6))</f>
        <v/>
      </c>
      <c r="O34" s="13">
        <f>MAX(0,$F34-INDEX(Grid_Stock[#Data],24,$P$7+7))</f>
        <v/>
      </c>
      <c r="P34" s="13">
        <f>MAX(0,$F34-INDEX(Grid_Stock[#Data],24,$P$7+8))</f>
        <v/>
      </c>
      <c r="Q34" s="13">
        <f>MAX(0,$F34-INDEX(Grid_Stock[#Data],24,$P$7+9))</f>
        <v/>
      </c>
      <c r="R34" s="13">
        <f>MAX(0,$F34-INDEX(Grid_Stock[#Data],24,$P$7+10))</f>
        <v/>
      </c>
      <c r="S34" s="13">
        <f>MAX(0,$F34-INDEX(Grid_Stock[#Data],24,$P$7+11))</f>
        <v/>
      </c>
      <c r="T34" s="13">
        <f>MAX(0,$F34-INDEX(Grid_Stock[#Data],24,$P$7+12))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INDEX(Grid_Stock[#Data],25,$P$7)</f>
        <v/>
      </c>
      <c r="H35" s="12">
        <f>MAX(0,$F35-INDEX(Grid_Stock[#Data],25,$P$7+0))</f>
        <v/>
      </c>
      <c r="I35" s="12">
        <f>MAX(0,$F35-INDEX(Grid_Stock[#Data],25,$P$7+1))</f>
        <v/>
      </c>
      <c r="J35" s="12">
        <f>MAX(0,$F35-INDEX(Grid_Stock[#Data],25,$P$7+2))</f>
        <v/>
      </c>
      <c r="K35" s="12">
        <f>MAX(0,$F35-INDEX(Grid_Stock[#Data],25,$P$7+3))</f>
        <v/>
      </c>
      <c r="L35" s="12">
        <f>MAX(0,$F35-INDEX(Grid_Stock[#Data],25,$P$7+4))</f>
        <v/>
      </c>
      <c r="M35" s="12">
        <f>MAX(0,$F35-INDEX(Grid_Stock[#Data],25,$P$7+5))</f>
        <v/>
      </c>
      <c r="N35" s="12">
        <f>MAX(0,$F35-INDEX(Grid_Stock[#Data],25,$P$7+6))</f>
        <v/>
      </c>
      <c r="O35" s="12">
        <f>MAX(0,$F35-INDEX(Grid_Stock[#Data],25,$P$7+7))</f>
        <v/>
      </c>
      <c r="P35" s="12">
        <f>MAX(0,$F35-INDEX(Grid_Stock[#Data],25,$P$7+8))</f>
        <v/>
      </c>
      <c r="Q35" s="12">
        <f>MAX(0,$F35-INDEX(Grid_Stock[#Data],25,$P$7+9))</f>
        <v/>
      </c>
      <c r="R35" s="12">
        <f>MAX(0,$F35-INDEX(Grid_Stock[#Data],25,$P$7+10))</f>
        <v/>
      </c>
      <c r="S35" s="12">
        <f>MAX(0,$F35-INDEX(Grid_Stock[#Data],25,$P$7+11))</f>
        <v/>
      </c>
      <c r="T35" s="12">
        <f>MAX(0,$F35-INDEX(Grid_Stock[#Data],25,$P$7+12))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INDEX(Grid_Stock[#Data],26,$P$7)</f>
        <v/>
      </c>
      <c r="H36" s="13">
        <f>MAX(0,$F36-INDEX(Grid_Stock[#Data],26,$P$7+0))</f>
        <v/>
      </c>
      <c r="I36" s="13">
        <f>MAX(0,$F36-INDEX(Grid_Stock[#Data],26,$P$7+1))</f>
        <v/>
      </c>
      <c r="J36" s="13">
        <f>MAX(0,$F36-INDEX(Grid_Stock[#Data],26,$P$7+2))</f>
        <v/>
      </c>
      <c r="K36" s="13">
        <f>MAX(0,$F36-INDEX(Grid_Stock[#Data],26,$P$7+3))</f>
        <v/>
      </c>
      <c r="L36" s="13">
        <f>MAX(0,$F36-INDEX(Grid_Stock[#Data],26,$P$7+4))</f>
        <v/>
      </c>
      <c r="M36" s="13">
        <f>MAX(0,$F36-INDEX(Grid_Stock[#Data],26,$P$7+5))</f>
        <v/>
      </c>
      <c r="N36" s="13">
        <f>MAX(0,$F36-INDEX(Grid_Stock[#Data],26,$P$7+6))</f>
        <v/>
      </c>
      <c r="O36" s="13">
        <f>MAX(0,$F36-INDEX(Grid_Stock[#Data],26,$P$7+7))</f>
        <v/>
      </c>
      <c r="P36" s="13">
        <f>MAX(0,$F36-INDEX(Grid_Stock[#Data],26,$P$7+8))</f>
        <v/>
      </c>
      <c r="Q36" s="13">
        <f>MAX(0,$F36-INDEX(Grid_Stock[#Data],26,$P$7+9))</f>
        <v/>
      </c>
      <c r="R36" s="13">
        <f>MAX(0,$F36-INDEX(Grid_Stock[#Data],26,$P$7+10))</f>
        <v/>
      </c>
      <c r="S36" s="13">
        <f>MAX(0,$F36-INDEX(Grid_Stock[#Data],26,$P$7+11))</f>
        <v/>
      </c>
      <c r="T36" s="13">
        <f>MAX(0,$F36-INDEX(Grid_Stock[#Data],26,$P$7+12))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INDEX(Grid_Stock[#Data],27,$P$7)</f>
        <v/>
      </c>
      <c r="H37" s="12">
        <f>MAX(0,$F37-INDEX(Grid_Stock[#Data],27,$P$7+0))</f>
        <v/>
      </c>
      <c r="I37" s="12">
        <f>MAX(0,$F37-INDEX(Grid_Stock[#Data],27,$P$7+1))</f>
        <v/>
      </c>
      <c r="J37" s="12">
        <f>MAX(0,$F37-INDEX(Grid_Stock[#Data],27,$P$7+2))</f>
        <v/>
      </c>
      <c r="K37" s="12">
        <f>MAX(0,$F37-INDEX(Grid_Stock[#Data],27,$P$7+3))</f>
        <v/>
      </c>
      <c r="L37" s="12">
        <f>MAX(0,$F37-INDEX(Grid_Stock[#Data],27,$P$7+4))</f>
        <v/>
      </c>
      <c r="M37" s="12">
        <f>MAX(0,$F37-INDEX(Grid_Stock[#Data],27,$P$7+5))</f>
        <v/>
      </c>
      <c r="N37" s="12">
        <f>MAX(0,$F37-INDEX(Grid_Stock[#Data],27,$P$7+6))</f>
        <v/>
      </c>
      <c r="O37" s="12">
        <f>MAX(0,$F37-INDEX(Grid_Stock[#Data],27,$P$7+7))</f>
        <v/>
      </c>
      <c r="P37" s="12">
        <f>MAX(0,$F37-INDEX(Grid_Stock[#Data],27,$P$7+8))</f>
        <v/>
      </c>
      <c r="Q37" s="12">
        <f>MAX(0,$F37-INDEX(Grid_Stock[#Data],27,$P$7+9))</f>
        <v/>
      </c>
      <c r="R37" s="12">
        <f>MAX(0,$F37-INDEX(Grid_Stock[#Data],27,$P$7+10))</f>
        <v/>
      </c>
      <c r="S37" s="12">
        <f>MAX(0,$F37-INDEX(Grid_Stock[#Data],27,$P$7+11))</f>
        <v/>
      </c>
      <c r="T37" s="12">
        <f>MAX(0,$F37-INDEX(Grid_Stock[#Data],27,$P$7+12))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INDEX(Grid_Stock[#Data],28,$P$7)</f>
        <v/>
      </c>
      <c r="H38" s="13">
        <f>MAX(0,$F38-INDEX(Grid_Stock[#Data],28,$P$7+0))</f>
        <v/>
      </c>
      <c r="I38" s="13">
        <f>MAX(0,$F38-INDEX(Grid_Stock[#Data],28,$P$7+1))</f>
        <v/>
      </c>
      <c r="J38" s="13">
        <f>MAX(0,$F38-INDEX(Grid_Stock[#Data],28,$P$7+2))</f>
        <v/>
      </c>
      <c r="K38" s="13">
        <f>MAX(0,$F38-INDEX(Grid_Stock[#Data],28,$P$7+3))</f>
        <v/>
      </c>
      <c r="L38" s="13">
        <f>MAX(0,$F38-INDEX(Grid_Stock[#Data],28,$P$7+4))</f>
        <v/>
      </c>
      <c r="M38" s="13">
        <f>MAX(0,$F38-INDEX(Grid_Stock[#Data],28,$P$7+5))</f>
        <v/>
      </c>
      <c r="N38" s="13">
        <f>MAX(0,$F38-INDEX(Grid_Stock[#Data],28,$P$7+6))</f>
        <v/>
      </c>
      <c r="O38" s="13">
        <f>MAX(0,$F38-INDEX(Grid_Stock[#Data],28,$P$7+7))</f>
        <v/>
      </c>
      <c r="P38" s="13">
        <f>MAX(0,$F38-INDEX(Grid_Stock[#Data],28,$P$7+8))</f>
        <v/>
      </c>
      <c r="Q38" s="13">
        <f>MAX(0,$F38-INDEX(Grid_Stock[#Data],28,$P$7+9))</f>
        <v/>
      </c>
      <c r="R38" s="13">
        <f>MAX(0,$F38-INDEX(Grid_Stock[#Data],28,$P$7+10))</f>
        <v/>
      </c>
      <c r="S38" s="13">
        <f>MAX(0,$F38-INDEX(Grid_Stock[#Data],28,$P$7+11))</f>
        <v/>
      </c>
      <c r="T38" s="13">
        <f>MAX(0,$F38-INDEX(Grid_Stock[#Data],28,$P$7+12))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INDEX(Grid_Stock[#Data],40,$P$7)</f>
        <v/>
      </c>
      <c r="H46" s="13">
        <f>MAX(0,$F46-INDEX(Grid_Stock[#Data],40,$P$7+0))</f>
        <v/>
      </c>
      <c r="I46" s="13">
        <f>MAX(0,$F46-INDEX(Grid_Stock[#Data],40,$P$7+1))</f>
        <v/>
      </c>
      <c r="J46" s="13">
        <f>MAX(0,$F46-INDEX(Grid_Stock[#Data],40,$P$7+2))</f>
        <v/>
      </c>
      <c r="K46" s="13">
        <f>MAX(0,$F46-INDEX(Grid_Stock[#Data],40,$P$7+3))</f>
        <v/>
      </c>
      <c r="L46" s="13">
        <f>MAX(0,$F46-INDEX(Grid_Stock[#Data],40,$P$7+4))</f>
        <v/>
      </c>
      <c r="M46" s="13">
        <f>MAX(0,$F46-INDEX(Grid_Stock[#Data],40,$P$7+5))</f>
        <v/>
      </c>
      <c r="N46" s="13">
        <f>MAX(0,$F46-INDEX(Grid_Stock[#Data],40,$P$7+6))</f>
        <v/>
      </c>
      <c r="O46" s="13">
        <f>MAX(0,$F46-INDEX(Grid_Stock[#Data],40,$P$7+7))</f>
        <v/>
      </c>
      <c r="P46" s="13">
        <f>MAX(0,$F46-INDEX(Grid_Stock[#Data],40,$P$7+8))</f>
        <v/>
      </c>
      <c r="Q46" s="13">
        <f>MAX(0,$F46-INDEX(Grid_Stock[#Data],40,$P$7+9))</f>
        <v/>
      </c>
      <c r="R46" s="13">
        <f>MAX(0,$F46-INDEX(Grid_Stock[#Data],40,$P$7+10))</f>
        <v/>
      </c>
      <c r="S46" s="13">
        <f>MAX(0,$F46-INDEX(Grid_Stock[#Data],40,$P$7+11))</f>
        <v/>
      </c>
      <c r="T46" s="13">
        <f>MAX(0,$F46-INDEX(Grid_Stock[#Data],40,$P$7+12))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INDEX(Grid_Stock[#Data],41,$P$7)</f>
        <v/>
      </c>
      <c r="H47" s="12">
        <f>MAX(0,$F47-INDEX(Grid_Stock[#Data],41,$P$7+0))</f>
        <v/>
      </c>
      <c r="I47" s="12">
        <f>MAX(0,$F47-INDEX(Grid_Stock[#Data],41,$P$7+1))</f>
        <v/>
      </c>
      <c r="J47" s="12">
        <f>MAX(0,$F47-INDEX(Grid_Stock[#Data],41,$P$7+2))</f>
        <v/>
      </c>
      <c r="K47" s="12">
        <f>MAX(0,$F47-INDEX(Grid_Stock[#Data],41,$P$7+3))</f>
        <v/>
      </c>
      <c r="L47" s="12">
        <f>MAX(0,$F47-INDEX(Grid_Stock[#Data],41,$P$7+4))</f>
        <v/>
      </c>
      <c r="M47" s="12">
        <f>MAX(0,$F47-INDEX(Grid_Stock[#Data],41,$P$7+5))</f>
        <v/>
      </c>
      <c r="N47" s="12">
        <f>MAX(0,$F47-INDEX(Grid_Stock[#Data],41,$P$7+6))</f>
        <v/>
      </c>
      <c r="O47" s="12">
        <f>MAX(0,$F47-INDEX(Grid_Stock[#Data],41,$P$7+7))</f>
        <v/>
      </c>
      <c r="P47" s="12">
        <f>MAX(0,$F47-INDEX(Grid_Stock[#Data],41,$P$7+8))</f>
        <v/>
      </c>
      <c r="Q47" s="12">
        <f>MAX(0,$F47-INDEX(Grid_Stock[#Data],41,$P$7+9))</f>
        <v/>
      </c>
      <c r="R47" s="12">
        <f>MAX(0,$F47-INDEX(Grid_Stock[#Data],41,$P$7+10))</f>
        <v/>
      </c>
      <c r="S47" s="12">
        <f>MAX(0,$F47-INDEX(Grid_Stock[#Data],41,$P$7+11))</f>
        <v/>
      </c>
      <c r="T47" s="12">
        <f>MAX(0,$F47-INDEX(Grid_Stock[#Data],41,$P$7+12))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INDEX(Grid_Stock[#Data],42,$P$7)</f>
        <v/>
      </c>
      <c r="H48" s="13">
        <f>MAX(0,$F48-INDEX(Grid_Stock[#Data],42,$P$7+0))</f>
        <v/>
      </c>
      <c r="I48" s="13">
        <f>MAX(0,$F48-INDEX(Grid_Stock[#Data],42,$P$7+1))</f>
        <v/>
      </c>
      <c r="J48" s="13">
        <f>MAX(0,$F48-INDEX(Grid_Stock[#Data],42,$P$7+2))</f>
        <v/>
      </c>
      <c r="K48" s="13">
        <f>MAX(0,$F48-INDEX(Grid_Stock[#Data],42,$P$7+3))</f>
        <v/>
      </c>
      <c r="L48" s="13">
        <f>MAX(0,$F48-INDEX(Grid_Stock[#Data],42,$P$7+4))</f>
        <v/>
      </c>
      <c r="M48" s="13">
        <f>MAX(0,$F48-INDEX(Grid_Stock[#Data],42,$P$7+5))</f>
        <v/>
      </c>
      <c r="N48" s="13">
        <f>MAX(0,$F48-INDEX(Grid_Stock[#Data],42,$P$7+6))</f>
        <v/>
      </c>
      <c r="O48" s="13">
        <f>MAX(0,$F48-INDEX(Grid_Stock[#Data],42,$P$7+7))</f>
        <v/>
      </c>
      <c r="P48" s="13">
        <f>MAX(0,$F48-INDEX(Grid_Stock[#Data],42,$P$7+8))</f>
        <v/>
      </c>
      <c r="Q48" s="13">
        <f>MAX(0,$F48-INDEX(Grid_Stock[#Data],42,$P$7+9))</f>
        <v/>
      </c>
      <c r="R48" s="13">
        <f>MAX(0,$F48-INDEX(Grid_Stock[#Data],42,$P$7+10))</f>
        <v/>
      </c>
      <c r="S48" s="13">
        <f>MAX(0,$F48-INDEX(Grid_Stock[#Data],42,$P$7+11))</f>
        <v/>
      </c>
      <c r="T48" s="13">
        <f>MAX(0,$F48-INDEX(Grid_Stock[#Data],42,$P$7+12))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INDEX(Grid_Stock[#Data],44,$P$7)</f>
        <v/>
      </c>
      <c r="H49" s="12">
        <f>MAX(0,$F49-INDEX(Grid_Stock[#Data],44,$P$7+0))</f>
        <v/>
      </c>
      <c r="I49" s="12">
        <f>MAX(0,$F49-INDEX(Grid_Stock[#Data],44,$P$7+1))</f>
        <v/>
      </c>
      <c r="J49" s="12">
        <f>MAX(0,$F49-INDEX(Grid_Stock[#Data],44,$P$7+2))</f>
        <v/>
      </c>
      <c r="K49" s="12">
        <f>MAX(0,$F49-INDEX(Grid_Stock[#Data],44,$P$7+3))</f>
        <v/>
      </c>
      <c r="L49" s="12">
        <f>MAX(0,$F49-INDEX(Grid_Stock[#Data],44,$P$7+4))</f>
        <v/>
      </c>
      <c r="M49" s="12">
        <f>MAX(0,$F49-INDEX(Grid_Stock[#Data],44,$P$7+5))</f>
        <v/>
      </c>
      <c r="N49" s="12">
        <f>MAX(0,$F49-INDEX(Grid_Stock[#Data],44,$P$7+6))</f>
        <v/>
      </c>
      <c r="O49" s="12">
        <f>MAX(0,$F49-INDEX(Grid_Stock[#Data],44,$P$7+7))</f>
        <v/>
      </c>
      <c r="P49" s="12">
        <f>MAX(0,$F49-INDEX(Grid_Stock[#Data],44,$P$7+8))</f>
        <v/>
      </c>
      <c r="Q49" s="12">
        <f>MAX(0,$F49-INDEX(Grid_Stock[#Data],44,$P$7+9))</f>
        <v/>
      </c>
      <c r="R49" s="12">
        <f>MAX(0,$F49-INDEX(Grid_Stock[#Data],44,$P$7+10))</f>
        <v/>
      </c>
      <c r="S49" s="12">
        <f>MAX(0,$F49-INDEX(Grid_Stock[#Data],44,$P$7+11))</f>
        <v/>
      </c>
      <c r="T49" s="12">
        <f>MAX(0,$F49-INDEX(Grid_Stock[#Data],44,$P$7+12))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INDEX(Grid_Stock[#Data],17,$P$7)</f>
        <v/>
      </c>
      <c r="H15" s="12">
        <f>MAX(0,$F15-INDEX(Grid_Stock[#Data],17,$P$7+0))</f>
        <v/>
      </c>
      <c r="I15" s="12">
        <f>MAX(0,$F15-INDEX(Grid_Stock[#Data],17,$P$7+1))</f>
        <v/>
      </c>
      <c r="J15" s="12">
        <f>MAX(0,$F15-INDEX(Grid_Stock[#Data],17,$P$7+2))</f>
        <v/>
      </c>
      <c r="K15" s="12">
        <f>MAX(0,$F15-INDEX(Grid_Stock[#Data],17,$P$7+3))</f>
        <v/>
      </c>
      <c r="L15" s="12">
        <f>MAX(0,$F15-INDEX(Grid_Stock[#Data],17,$P$7+4))</f>
        <v/>
      </c>
      <c r="M15" s="12">
        <f>MAX(0,$F15-INDEX(Grid_Stock[#Data],17,$P$7+5))</f>
        <v/>
      </c>
      <c r="N15" s="12">
        <f>MAX(0,$F15-INDEX(Grid_Stock[#Data],17,$P$7+6))</f>
        <v/>
      </c>
      <c r="O15" s="12">
        <f>MAX(0,$F15-INDEX(Grid_Stock[#Data],17,$P$7+7))</f>
        <v/>
      </c>
      <c r="P15" s="12">
        <f>MAX(0,$F15-INDEX(Grid_Stock[#Data],17,$P$7+8))</f>
        <v/>
      </c>
      <c r="Q15" s="12">
        <f>MAX(0,$F15-INDEX(Grid_Stock[#Data],17,$P$7+9))</f>
        <v/>
      </c>
      <c r="R15" s="12">
        <f>MAX(0,$F15-INDEX(Grid_Stock[#Data],17,$P$7+10))</f>
        <v/>
      </c>
      <c r="S15" s="12">
        <f>MAX(0,$F15-INDEX(Grid_Stock[#Data],17,$P$7+11))</f>
        <v/>
      </c>
      <c r="T15" s="12">
        <f>MAX(0,$F15-INDEX(Grid_Stock[#Data],17,$P$7+12))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INDEX(Grid_Stock[#Data],19,$P$7)</f>
        <v/>
      </c>
      <c r="H16" s="13">
        <f>MAX(0,$F16-INDEX(Grid_Stock[#Data],19,$P$7+0))</f>
        <v/>
      </c>
      <c r="I16" s="13">
        <f>MAX(0,$F16-INDEX(Grid_Stock[#Data],19,$P$7+1))</f>
        <v/>
      </c>
      <c r="J16" s="13">
        <f>MAX(0,$F16-INDEX(Grid_Stock[#Data],19,$P$7+2))</f>
        <v/>
      </c>
      <c r="K16" s="13">
        <f>MAX(0,$F16-INDEX(Grid_Stock[#Data],19,$P$7+3))</f>
        <v/>
      </c>
      <c r="L16" s="13">
        <f>MAX(0,$F16-INDEX(Grid_Stock[#Data],19,$P$7+4))</f>
        <v/>
      </c>
      <c r="M16" s="13">
        <f>MAX(0,$F16-INDEX(Grid_Stock[#Data],19,$P$7+5))</f>
        <v/>
      </c>
      <c r="N16" s="13">
        <f>MAX(0,$F16-INDEX(Grid_Stock[#Data],19,$P$7+6))</f>
        <v/>
      </c>
      <c r="O16" s="13">
        <f>MAX(0,$F16-INDEX(Grid_Stock[#Data],19,$P$7+7))</f>
        <v/>
      </c>
      <c r="P16" s="13">
        <f>MAX(0,$F16-INDEX(Grid_Stock[#Data],19,$P$7+8))</f>
        <v/>
      </c>
      <c r="Q16" s="13">
        <f>MAX(0,$F16-INDEX(Grid_Stock[#Data],19,$P$7+9))</f>
        <v/>
      </c>
      <c r="R16" s="13">
        <f>MAX(0,$F16-INDEX(Grid_Stock[#Data],19,$P$7+10))</f>
        <v/>
      </c>
      <c r="S16" s="13">
        <f>MAX(0,$F16-INDEX(Grid_Stock[#Data],19,$P$7+11))</f>
        <v/>
      </c>
      <c r="T16" s="13">
        <f>MAX(0,$F16-INDEX(Grid_Stock[#Data],19,$P$7+12))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INDEX(Grid_Stock[#Data],13,$P$7)</f>
        <v/>
      </c>
      <c r="H15" s="12">
        <f>MAX(0,$F15-INDEX(Grid_Stock[#Data],13,$P$7+0))</f>
        <v/>
      </c>
      <c r="I15" s="12">
        <f>MAX(0,$F15-INDEX(Grid_Stock[#Data],13,$P$7+1))</f>
        <v/>
      </c>
      <c r="J15" s="12">
        <f>MAX(0,$F15-INDEX(Grid_Stock[#Data],13,$P$7+2))</f>
        <v/>
      </c>
      <c r="K15" s="12">
        <f>MAX(0,$F15-INDEX(Grid_Stock[#Data],13,$P$7+3))</f>
        <v/>
      </c>
      <c r="L15" s="12">
        <f>MAX(0,$F15-INDEX(Grid_Stock[#Data],13,$P$7+4))</f>
        <v/>
      </c>
      <c r="M15" s="12">
        <f>MAX(0,$F15-INDEX(Grid_Stock[#Data],13,$P$7+5))</f>
        <v/>
      </c>
      <c r="N15" s="12">
        <f>MAX(0,$F15-INDEX(Grid_Stock[#Data],13,$P$7+6))</f>
        <v/>
      </c>
      <c r="O15" s="12">
        <f>MAX(0,$F15-INDEX(Grid_Stock[#Data],13,$P$7+7))</f>
        <v/>
      </c>
      <c r="P15" s="12">
        <f>MAX(0,$F15-INDEX(Grid_Stock[#Data],13,$P$7+8))</f>
        <v/>
      </c>
      <c r="Q15" s="12">
        <f>MAX(0,$F15-INDEX(Grid_Stock[#Data],13,$P$7+9))</f>
        <v/>
      </c>
      <c r="R15" s="12">
        <f>MAX(0,$F15-INDEX(Grid_Stock[#Data],13,$P$7+10))</f>
        <v/>
      </c>
      <c r="S15" s="12">
        <f>MAX(0,$F15-INDEX(Grid_Stock[#Data],13,$P$7+11))</f>
        <v/>
      </c>
      <c r="T15" s="12">
        <f>MAX(0,$F15-INDEX(Grid_Stock[#Data],13,$P$7+12))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INDEX(Grid_Stock[#Data],21,$P$7)</f>
        <v/>
      </c>
      <c r="H16" s="13">
        <f>MAX(0,$F16-INDEX(Grid_Stock[#Data],21,$P$7+0))</f>
        <v/>
      </c>
      <c r="I16" s="13">
        <f>MAX(0,$F16-INDEX(Grid_Stock[#Data],21,$P$7+1))</f>
        <v/>
      </c>
      <c r="J16" s="13">
        <f>MAX(0,$F16-INDEX(Grid_Stock[#Data],21,$P$7+2))</f>
        <v/>
      </c>
      <c r="K16" s="13">
        <f>MAX(0,$F16-INDEX(Grid_Stock[#Data],21,$P$7+3))</f>
        <v/>
      </c>
      <c r="L16" s="13">
        <f>MAX(0,$F16-INDEX(Grid_Stock[#Data],21,$P$7+4))</f>
        <v/>
      </c>
      <c r="M16" s="13">
        <f>MAX(0,$F16-INDEX(Grid_Stock[#Data],21,$P$7+5))</f>
        <v/>
      </c>
      <c r="N16" s="13">
        <f>MAX(0,$F16-INDEX(Grid_Stock[#Data],21,$P$7+6))</f>
        <v/>
      </c>
      <c r="O16" s="13">
        <f>MAX(0,$F16-INDEX(Grid_Stock[#Data],21,$P$7+7))</f>
        <v/>
      </c>
      <c r="P16" s="13">
        <f>MAX(0,$F16-INDEX(Grid_Stock[#Data],21,$P$7+8))</f>
        <v/>
      </c>
      <c r="Q16" s="13">
        <f>MAX(0,$F16-INDEX(Grid_Stock[#Data],21,$P$7+9))</f>
        <v/>
      </c>
      <c r="R16" s="13">
        <f>MAX(0,$F16-INDEX(Grid_Stock[#Data],21,$P$7+10))</f>
        <v/>
      </c>
      <c r="S16" s="13">
        <f>MAX(0,$F16-INDEX(Grid_Stock[#Data],21,$P$7+11))</f>
        <v/>
      </c>
      <c r="T16" s="13">
        <f>MAX(0,$F16-INDEX(Grid_Stock[#Data],21,$P$7+12))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INDEX(Grid_Stock[#Data],29,$P$7)</f>
        <v/>
      </c>
      <c r="H17" s="12">
        <f>MAX(0,$F17-INDEX(Grid_Stock[#Data],29,$P$7+0))</f>
        <v/>
      </c>
      <c r="I17" s="12">
        <f>MAX(0,$F17-INDEX(Grid_Stock[#Data],29,$P$7+1))</f>
        <v/>
      </c>
      <c r="J17" s="12">
        <f>MAX(0,$F17-INDEX(Grid_Stock[#Data],29,$P$7+2))</f>
        <v/>
      </c>
      <c r="K17" s="12">
        <f>MAX(0,$F17-INDEX(Grid_Stock[#Data],29,$P$7+3))</f>
        <v/>
      </c>
      <c r="L17" s="12">
        <f>MAX(0,$F17-INDEX(Grid_Stock[#Data],29,$P$7+4))</f>
        <v/>
      </c>
      <c r="M17" s="12">
        <f>MAX(0,$F17-INDEX(Grid_Stock[#Data],29,$P$7+5))</f>
        <v/>
      </c>
      <c r="N17" s="12">
        <f>MAX(0,$F17-INDEX(Grid_Stock[#Data],29,$P$7+6))</f>
        <v/>
      </c>
      <c r="O17" s="12">
        <f>MAX(0,$F17-INDEX(Grid_Stock[#Data],29,$P$7+7))</f>
        <v/>
      </c>
      <c r="P17" s="12">
        <f>MAX(0,$F17-INDEX(Grid_Stock[#Data],29,$P$7+8))</f>
        <v/>
      </c>
      <c r="Q17" s="12">
        <f>MAX(0,$F17-INDEX(Grid_Stock[#Data],29,$P$7+9))</f>
        <v/>
      </c>
      <c r="R17" s="12">
        <f>MAX(0,$F17-INDEX(Grid_Stock[#Data],29,$P$7+10))</f>
        <v/>
      </c>
      <c r="S17" s="12">
        <f>MAX(0,$F17-INDEX(Grid_Stock[#Data],29,$P$7+11))</f>
        <v/>
      </c>
      <c r="T17" s="12">
        <f>MAX(0,$F17-INDEX(Grid_Stock[#Data],29,$P$7+12))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INDEX(Grid_Stock[#Data],37,$P$7)</f>
        <v/>
      </c>
      <c r="H18" s="13">
        <f>MAX(0,$F18-INDEX(Grid_Stock[#Data],37,$P$7+0))</f>
        <v/>
      </c>
      <c r="I18" s="13">
        <f>MAX(0,$F18-INDEX(Grid_Stock[#Data],37,$P$7+1))</f>
        <v/>
      </c>
      <c r="J18" s="13">
        <f>MAX(0,$F18-INDEX(Grid_Stock[#Data],37,$P$7+2))</f>
        <v/>
      </c>
      <c r="K18" s="13">
        <f>MAX(0,$F18-INDEX(Grid_Stock[#Data],37,$P$7+3))</f>
        <v/>
      </c>
      <c r="L18" s="13">
        <f>MAX(0,$F18-INDEX(Grid_Stock[#Data],37,$P$7+4))</f>
        <v/>
      </c>
      <c r="M18" s="13">
        <f>MAX(0,$F18-INDEX(Grid_Stock[#Data],37,$P$7+5))</f>
        <v/>
      </c>
      <c r="N18" s="13">
        <f>MAX(0,$F18-INDEX(Grid_Stock[#Data],37,$P$7+6))</f>
        <v/>
      </c>
      <c r="O18" s="13">
        <f>MAX(0,$F18-INDEX(Grid_Stock[#Data],37,$P$7+7))</f>
        <v/>
      </c>
      <c r="P18" s="13">
        <f>MAX(0,$F18-INDEX(Grid_Stock[#Data],37,$P$7+8))</f>
        <v/>
      </c>
      <c r="Q18" s="13">
        <f>MAX(0,$F18-INDEX(Grid_Stock[#Data],37,$P$7+9))</f>
        <v/>
      </c>
      <c r="R18" s="13">
        <f>MAX(0,$F18-INDEX(Grid_Stock[#Data],37,$P$7+10))</f>
        <v/>
      </c>
      <c r="S18" s="13">
        <f>MAX(0,$F18-INDEX(Grid_Stock[#Data],37,$P$7+11))</f>
        <v/>
      </c>
      <c r="T18" s="13">
        <f>MAX(0,$F18-INDEX(Grid_Stock[#Data],37,$P$7+12))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>
        <is>
          <t>83988405701</t>
        </is>
      </c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INDEX(Grid_Stock[#Data],38,$P$7)</f>
        <v/>
      </c>
      <c r="H19" s="12">
        <f>MAX(0,$F19-INDEX(Grid_Stock[#Data],38,$P$7+0))</f>
        <v/>
      </c>
      <c r="I19" s="12">
        <f>MAX(0,$F19-INDEX(Grid_Stock[#Data],38,$P$7+1))</f>
        <v/>
      </c>
      <c r="J19" s="12">
        <f>MAX(0,$F19-INDEX(Grid_Stock[#Data],38,$P$7+2))</f>
        <v/>
      </c>
      <c r="K19" s="12">
        <f>MAX(0,$F19-INDEX(Grid_Stock[#Data],38,$P$7+3))</f>
        <v/>
      </c>
      <c r="L19" s="12">
        <f>MAX(0,$F19-INDEX(Grid_Stock[#Data],38,$P$7+4))</f>
        <v/>
      </c>
      <c r="M19" s="12">
        <f>MAX(0,$F19-INDEX(Grid_Stock[#Data],38,$P$7+5))</f>
        <v/>
      </c>
      <c r="N19" s="12">
        <f>MAX(0,$F19-INDEX(Grid_Stock[#Data],38,$P$7+6))</f>
        <v/>
      </c>
      <c r="O19" s="12">
        <f>MAX(0,$F19-INDEX(Grid_Stock[#Data],38,$P$7+7))</f>
        <v/>
      </c>
      <c r="P19" s="12">
        <f>MAX(0,$F19-INDEX(Grid_Stock[#Data],38,$P$7+8))</f>
        <v/>
      </c>
      <c r="Q19" s="12">
        <f>MAX(0,$F19-INDEX(Grid_Stock[#Data],38,$P$7+9))</f>
        <v/>
      </c>
      <c r="R19" s="12">
        <f>MAX(0,$F19-INDEX(Grid_Stock[#Data],38,$P$7+10))</f>
        <v/>
      </c>
      <c r="S19" s="12">
        <f>MAX(0,$F19-INDEX(Grid_Stock[#Data],38,$P$7+11))</f>
        <v/>
      </c>
      <c r="T19" s="12">
        <f>MAX(0,$F19-INDEX(Grid_Stock[#Data],38,$P$7+12))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INDEX(Grid_Stock[#Data],39,$P$7)</f>
        <v/>
      </c>
      <c r="H20" s="13">
        <f>MAX(0,$F20-INDEX(Grid_Stock[#Data],39,$P$7+0))</f>
        <v/>
      </c>
      <c r="I20" s="13">
        <f>MAX(0,$F20-INDEX(Grid_Stock[#Data],39,$P$7+1))</f>
        <v/>
      </c>
      <c r="J20" s="13">
        <f>MAX(0,$F20-INDEX(Grid_Stock[#Data],39,$P$7+2))</f>
        <v/>
      </c>
      <c r="K20" s="13">
        <f>MAX(0,$F20-INDEX(Grid_Stock[#Data],39,$P$7+3))</f>
        <v/>
      </c>
      <c r="L20" s="13">
        <f>MAX(0,$F20-INDEX(Grid_Stock[#Data],39,$P$7+4))</f>
        <v/>
      </c>
      <c r="M20" s="13">
        <f>MAX(0,$F20-INDEX(Grid_Stock[#Data],39,$P$7+5))</f>
        <v/>
      </c>
      <c r="N20" s="13">
        <f>MAX(0,$F20-INDEX(Grid_Stock[#Data],39,$P$7+6))</f>
        <v/>
      </c>
      <c r="O20" s="13">
        <f>MAX(0,$F20-INDEX(Grid_Stock[#Data],39,$P$7+7))</f>
        <v/>
      </c>
      <c r="P20" s="13">
        <f>MAX(0,$F20-INDEX(Grid_Stock[#Data],39,$P$7+8))</f>
        <v/>
      </c>
      <c r="Q20" s="13">
        <f>MAX(0,$F20-INDEX(Grid_Stock[#Data],39,$P$7+9))</f>
        <v/>
      </c>
      <c r="R20" s="13">
        <f>MAX(0,$F20-INDEX(Grid_Stock[#Data],39,$P$7+10))</f>
        <v/>
      </c>
      <c r="S20" s="13">
        <f>MAX(0,$F20-INDEX(Grid_Stock[#Data],39,$P$7+11))</f>
        <v/>
      </c>
      <c r="T20" s="13">
        <f>MAX(0,$F20-INDEX(Grid_Stock[#Data],39,$P$7+12))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INDEX(Grid_Stock[#Data],43,$P$7)</f>
        <v/>
      </c>
      <c r="H21" s="12">
        <f>MAX(0,$F21-INDEX(Grid_Stock[#Data],43,$P$7+0))</f>
        <v/>
      </c>
      <c r="I21" s="12">
        <f>MAX(0,$F21-INDEX(Grid_Stock[#Data],43,$P$7+1))</f>
        <v/>
      </c>
      <c r="J21" s="12">
        <f>MAX(0,$F21-INDEX(Grid_Stock[#Data],43,$P$7+2))</f>
        <v/>
      </c>
      <c r="K21" s="12">
        <f>MAX(0,$F21-INDEX(Grid_Stock[#Data],43,$P$7+3))</f>
        <v/>
      </c>
      <c r="L21" s="12">
        <f>MAX(0,$F21-INDEX(Grid_Stock[#Data],43,$P$7+4))</f>
        <v/>
      </c>
      <c r="M21" s="12">
        <f>MAX(0,$F21-INDEX(Grid_Stock[#Data],43,$P$7+5))</f>
        <v/>
      </c>
      <c r="N21" s="12">
        <f>MAX(0,$F21-INDEX(Grid_Stock[#Data],43,$P$7+6))</f>
        <v/>
      </c>
      <c r="O21" s="12">
        <f>MAX(0,$F21-INDEX(Grid_Stock[#Data],43,$P$7+7))</f>
        <v/>
      </c>
      <c r="P21" s="12">
        <f>MAX(0,$F21-INDEX(Grid_Stock[#Data],43,$P$7+8))</f>
        <v/>
      </c>
      <c r="Q21" s="12">
        <f>MAX(0,$F21-INDEX(Grid_Stock[#Data],43,$P$7+9))</f>
        <v/>
      </c>
      <c r="R21" s="12">
        <f>MAX(0,$F21-INDEX(Grid_Stock[#Data],43,$P$7+10))</f>
        <v/>
      </c>
      <c r="S21" s="12">
        <f>MAX(0,$F21-INDEX(Grid_Stock[#Data],43,$P$7+11))</f>
        <v/>
      </c>
      <c r="T21" s="12">
        <f>MAX(0,$F21-INDEX(Grid_Stock[#Data],43,$P$7+12))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  <c r="I1" s="20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2" t="n"/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2" t="n"/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2" t="n"/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2" t="n"/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2" t="n"/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2" t="n"/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2" t="n"/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2" t="n"/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2" t="n"/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2" t="n"/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2" t="n"/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2" t="n"/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2" t="n"/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2" t="n"/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2" t="n"/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2" t="n"/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2" t="n"/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2" t="n"/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2" t="n"/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2" t="n"/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2" t="n"/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2" t="n"/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2" t="n"/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2" t="n"/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2" t="n"/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2" t="n"/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2" t="n"/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2" t="n"/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2" t="n"/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2" t="n"/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2" t="n"/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2" t="n"/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2" t="n"/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2" t="n"/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2" t="n"/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2" t="n"/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2" t="n"/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2" t="n"/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2" t="n"/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2" t="n"/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2" t="n"/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2" t="n"/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2" t="n"/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2" t="n"/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2" t="n"/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2" t="n"/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2" t="n"/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2" t="n"/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2" t="n"/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2" t="n"/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2" t="n"/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2" t="n"/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2" t="n"/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2" t="n"/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2" t="n"/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2" t="n"/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2" t="n"/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2" t="n"/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2" t="n"/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2" t="n"/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2" t="n"/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2" t="n"/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2" t="n"/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2" t="n"/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2" t="n"/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2" t="n"/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2" t="n"/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2" t="n"/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2" t="n"/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2" t="n"/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2" t="n"/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2" t="n"/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2" t="n"/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2" t="n"/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2" t="n"/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2" t="n"/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2" t="n"/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2" t="n"/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2" t="n"/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2" t="n"/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2" t="n"/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2" t="n"/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2" t="n"/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2" t="n"/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2" t="n"/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2" t="n"/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2" t="n"/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2" t="n"/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2" t="n"/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2" t="n"/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2" t="n"/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2" t="n"/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2" t="n"/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2" t="n"/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2" t="n"/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2" t="n"/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2" t="n"/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2" t="n"/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2" t="n"/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2" t="n"/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2" t="n"/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2" t="n"/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2" t="n"/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2" t="n"/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2" t="n"/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2" t="n"/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2" t="n"/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2" t="n"/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2" t="n"/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2" t="n"/>
    </row>
    <row r="112">
      <c r="A112" t="inlineStr">
        <is>
          <t>PP Film</t>
        </is>
      </c>
      <c r="B112" t="inlineStr">
        <is>
          <t>PO067067</t>
        </is>
      </c>
      <c r="C112" s="21" t="n"/>
      <c r="D112" t="n">
        <v>3000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2" t="n"/>
    </row>
    <row r="113">
      <c r="A113" t="inlineStr">
        <is>
          <t>CHEM-1650</t>
        </is>
      </c>
      <c r="B113" t="inlineStr">
        <is>
          <t>PO067067</t>
        </is>
      </c>
      <c r="C113" s="21" t="n"/>
      <c r="D113" t="n">
        <v>25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2" t="n"/>
    </row>
    <row r="114">
      <c r="A114" t="inlineStr">
        <is>
          <t>Original Towel</t>
        </is>
      </c>
      <c r="B114" t="inlineStr">
        <is>
          <t>PO067067</t>
        </is>
      </c>
      <c r="C114" s="21" t="n"/>
      <c r="D114" t="n">
        <v>10000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2" t="n"/>
    </row>
    <row r="115">
      <c r="A115" t="inlineStr">
        <is>
          <t>CHEM-1660</t>
        </is>
      </c>
      <c r="B115" t="inlineStr">
        <is>
          <t>PO067070</t>
        </is>
      </c>
      <c r="C115" s="21" t="n"/>
      <c r="D115" t="n">
        <v>180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2" t="n"/>
    </row>
    <row r="116">
      <c r="A116" t="inlineStr">
        <is>
          <t>CHEM-1280</t>
        </is>
      </c>
      <c r="B116" t="inlineStr">
        <is>
          <t>PO067070</t>
        </is>
      </c>
      <c r="C116" s="21" t="n"/>
      <c r="D116" t="n">
        <v>1000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2" t="n"/>
    </row>
    <row r="117">
      <c r="A117" t="inlineStr">
        <is>
          <t>4HL</t>
        </is>
      </c>
      <c r="B117" t="inlineStr"/>
      <c r="C117" s="21" t="n"/>
      <c r="D117" t="n">
        <v>960</v>
      </c>
      <c r="E117" s="17" t="n">
        <v>46112</v>
      </c>
      <c r="F117" s="17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2" t="n"/>
    </row>
    <row r="118">
      <c r="A118" t="inlineStr">
        <is>
          <t>4HL</t>
        </is>
      </c>
      <c r="B118" t="inlineStr"/>
      <c r="C118" s="21" t="n"/>
      <c r="D118" t="n">
        <v>9600</v>
      </c>
      <c r="E118" s="17" t="n">
        <v>46120</v>
      </c>
      <c r="F118" s="17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2" t="n"/>
    </row>
    <row r="119">
      <c r="A119" t="inlineStr">
        <is>
          <t>4HL</t>
        </is>
      </c>
      <c r="B119" t="inlineStr"/>
      <c r="C119" s="21" t="n"/>
      <c r="D119" t="n">
        <v>4800</v>
      </c>
      <c r="E119" s="17" t="n">
        <v>46112</v>
      </c>
      <c r="F119" s="17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2" t="n"/>
    </row>
    <row r="120">
      <c r="A120" t="inlineStr">
        <is>
          <t>4HL</t>
        </is>
      </c>
      <c r="B120" t="inlineStr"/>
      <c r="C120" s="21" t="n"/>
      <c r="D120" t="n">
        <v>480</v>
      </c>
      <c r="E120" s="17" t="n">
        <v>46112</v>
      </c>
      <c r="F120" s="17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2" t="n"/>
    </row>
    <row r="121">
      <c r="A121" t="inlineStr">
        <is>
          <t>4HL</t>
        </is>
      </c>
      <c r="B121" t="inlineStr"/>
      <c r="C121" s="21" t="n"/>
      <c r="D121" t="n">
        <v>5760</v>
      </c>
      <c r="E121" s="17" t="n">
        <v>46125</v>
      </c>
      <c r="F121" s="17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2" t="n"/>
    </row>
    <row r="122">
      <c r="A122" t="inlineStr">
        <is>
          <t>4HL</t>
        </is>
      </c>
      <c r="B122" t="inlineStr"/>
      <c r="C122" s="21" t="n"/>
      <c r="D122" t="n">
        <v>156</v>
      </c>
      <c r="E122" s="17" t="n">
        <v>46112</v>
      </c>
      <c r="F122" s="17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2" t="n"/>
    </row>
    <row r="123">
      <c r="A123" t="inlineStr">
        <is>
          <t>4HL</t>
        </is>
      </c>
      <c r="B123" t="inlineStr"/>
      <c r="C123" s="21" t="n"/>
      <c r="D123" t="n">
        <v>144</v>
      </c>
      <c r="E123" s="17" t="n">
        <v>46112</v>
      </c>
      <c r="F123" s="17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2" t="n"/>
    </row>
    <row r="124">
      <c r="A124" t="inlineStr">
        <is>
          <t>1EK</t>
        </is>
      </c>
      <c r="B124" t="inlineStr"/>
      <c r="C124" s="21" t="n"/>
      <c r="D124" t="n">
        <v>4800</v>
      </c>
      <c r="E124" s="17" t="n">
        <v>46098</v>
      </c>
      <c r="F124" s="17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2" t="n"/>
    </row>
    <row r="125">
      <c r="A125" t="inlineStr">
        <is>
          <t>1EK</t>
        </is>
      </c>
      <c r="B125" t="inlineStr"/>
      <c r="C125" s="21" t="n"/>
      <c r="D125" t="n">
        <v>10080</v>
      </c>
      <c r="E125" s="17" t="n">
        <v>46112</v>
      </c>
      <c r="F125" s="17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2" t="n"/>
    </row>
    <row r="126">
      <c r="A126" t="inlineStr">
        <is>
          <t>1EK</t>
        </is>
      </c>
      <c r="B126" t="inlineStr"/>
      <c r="C126" s="21" t="n"/>
      <c r="D126" t="n">
        <v>1920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2" t="n"/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784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2" t="n"/>
    </row>
    <row r="128">
      <c r="A128" t="inlineStr">
        <is>
          <t>TDJ</t>
        </is>
      </c>
      <c r="B128" t="inlineStr">
        <is>
          <t>PO067121</t>
        </is>
      </c>
      <c r="C128" s="21" t="n"/>
      <c r="D128" t="n">
        <v>205</v>
      </c>
      <c r="E128" s="17" t="n">
        <v>46136</v>
      </c>
      <c r="F128" s="17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2" t="n"/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22792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2" t="n"/>
    </row>
    <row r="130">
      <c r="A130" t="inlineStr">
        <is>
          <t>9RN</t>
        </is>
      </c>
      <c r="B130" t="inlineStr">
        <is>
          <t>PO067086</t>
        </is>
      </c>
      <c r="C130" s="21" t="n"/>
      <c r="D130" t="n">
        <v>4796</v>
      </c>
      <c r="E130" s="17" t="n">
        <v>46112</v>
      </c>
      <c r="F130" s="17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2" t="n"/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18835</v>
      </c>
      <c r="E131" s="17" t="n">
        <v>46103</v>
      </c>
      <c r="F131" s="17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2" t="n"/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9289</v>
      </c>
      <c r="E132" s="17" t="n">
        <v>46116</v>
      </c>
      <c r="F132" s="17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2" t="n"/>
    </row>
    <row r="133">
      <c r="A133" t="inlineStr">
        <is>
          <t>0JN</t>
        </is>
      </c>
      <c r="B133" t="inlineStr">
        <is>
          <t>PO067071</t>
        </is>
      </c>
      <c r="C133" s="21" t="n"/>
      <c r="D133" t="n">
        <v>11522</v>
      </c>
      <c r="E133" s="17" t="n">
        <v>46138</v>
      </c>
      <c r="F133" s="17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2" t="n"/>
    </row>
    <row r="134">
      <c r="A134" t="inlineStr">
        <is>
          <t>CHEM-1250</t>
        </is>
      </c>
      <c r="B134" t="inlineStr">
        <is>
          <t>PO067281</t>
        </is>
      </c>
      <c r="C134" s="21" t="n"/>
      <c r="D134" t="n">
        <v>150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2" t="n"/>
    </row>
    <row r="135">
      <c r="A135" t="inlineStr">
        <is>
          <t>CHEM-1400</t>
        </is>
      </c>
      <c r="B135" t="inlineStr">
        <is>
          <t>PO067281</t>
        </is>
      </c>
      <c r="C135" s="21" t="n"/>
      <c r="D135" t="n">
        <v>300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2" t="n"/>
    </row>
    <row r="136">
      <c r="A136" t="inlineStr">
        <is>
          <t>CHEM-1420</t>
        </is>
      </c>
      <c r="B136" t="inlineStr">
        <is>
          <t>PO067281</t>
        </is>
      </c>
      <c r="C136" s="21" t="n"/>
      <c r="D136" t="n">
        <v>240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2" t="n"/>
    </row>
    <row r="137">
      <c r="A137" t="inlineStr">
        <is>
          <t>CHEM-1440</t>
        </is>
      </c>
      <c r="B137" t="inlineStr">
        <is>
          <t>PO067281</t>
        </is>
      </c>
      <c r="C137" s="21" t="n"/>
      <c r="D137" t="n">
        <v>200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2" t="n"/>
    </row>
    <row r="138">
      <c r="A138" t="inlineStr">
        <is>
          <t>CHEM-1540</t>
        </is>
      </c>
      <c r="B138" t="inlineStr">
        <is>
          <t>PO067281</t>
        </is>
      </c>
      <c r="C138" s="21" t="n"/>
      <c r="D138" t="n">
        <v>2000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2" t="n"/>
    </row>
    <row r="139">
      <c r="A139" t="inlineStr">
        <is>
          <t>CHEM-1530</t>
        </is>
      </c>
      <c r="B139" t="inlineStr">
        <is>
          <t>PO067281</t>
        </is>
      </c>
      <c r="C139" s="21" t="n"/>
      <c r="D139" t="n">
        <v>2800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2" t="n"/>
    </row>
    <row r="140">
      <c r="A140" t="inlineStr">
        <is>
          <t>CHEM-1600</t>
        </is>
      </c>
      <c r="B140" t="inlineStr">
        <is>
          <t>PO067281</t>
        </is>
      </c>
      <c r="C140" s="21" t="n"/>
      <c r="D140" t="n">
        <v>250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2" t="n"/>
    </row>
    <row r="141">
      <c r="A141" t="inlineStr">
        <is>
          <t>CHEM-1570</t>
        </is>
      </c>
      <c r="B141" t="inlineStr">
        <is>
          <t>PO067281</t>
        </is>
      </c>
      <c r="C141" s="21" t="n"/>
      <c r="D141" t="n">
        <v>36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2" t="n"/>
    </row>
    <row r="142">
      <c r="A142" t="inlineStr">
        <is>
          <t>CHEM-1670</t>
        </is>
      </c>
      <c r="B142" t="inlineStr">
        <is>
          <t>PO067281</t>
        </is>
      </c>
      <c r="C142" s="21" t="n"/>
      <c r="D142" t="n">
        <v>180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2" t="n"/>
    </row>
    <row r="143">
      <c r="A143" t="inlineStr">
        <is>
          <t>CHEM-1690</t>
        </is>
      </c>
      <c r="B143" t="inlineStr">
        <is>
          <t>PO067281</t>
        </is>
      </c>
      <c r="C143" s="21" t="n"/>
      <c r="D143" t="n">
        <v>135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2" t="n"/>
    </row>
    <row r="144">
      <c r="A144" t="inlineStr">
        <is>
          <t>CHEM-1700</t>
        </is>
      </c>
      <c r="B144" t="inlineStr">
        <is>
          <t>PO067281</t>
        </is>
      </c>
      <c r="C144" s="21" t="n"/>
      <c r="D144" t="n">
        <v>60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2" t="n"/>
    </row>
    <row r="145">
      <c r="A145" t="inlineStr">
        <is>
          <t>CHEM-1720</t>
        </is>
      </c>
      <c r="B145" t="inlineStr">
        <is>
          <t>PO067281</t>
        </is>
      </c>
      <c r="C145" s="21" t="n"/>
      <c r="D145" t="n">
        <v>720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2" t="n"/>
    </row>
    <row r="146">
      <c r="A146" t="inlineStr">
        <is>
          <t>CHEM-1760</t>
        </is>
      </c>
      <c r="B146" t="inlineStr">
        <is>
          <t>PO067281</t>
        </is>
      </c>
      <c r="C146" s="21" t="n"/>
      <c r="D146" t="n">
        <v>17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2" t="n"/>
    </row>
    <row r="147">
      <c r="A147" t="inlineStr">
        <is>
          <t>CHEM-1200</t>
        </is>
      </c>
      <c r="B147" t="inlineStr">
        <is>
          <t>PO067281</t>
        </is>
      </c>
      <c r="C147" s="21" t="n"/>
      <c r="D147" t="n">
        <v>25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2" t="n"/>
    </row>
    <row r="148">
      <c r="A148" t="inlineStr">
        <is>
          <t>CHEM-1680</t>
        </is>
      </c>
      <c r="B148" t="inlineStr">
        <is>
          <t>PO067281</t>
        </is>
      </c>
      <c r="C148" s="21" t="n"/>
      <c r="D148" t="n">
        <v>200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2" t="n"/>
    </row>
    <row r="149">
      <c r="A149" t="inlineStr">
        <is>
          <t>CHEM-1660</t>
        </is>
      </c>
      <c r="B149" t="inlineStr">
        <is>
          <t>PO067274</t>
        </is>
      </c>
      <c r="C149" s="21" t="n"/>
      <c r="D149" t="n">
        <v>180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2" t="n"/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46131</v>
      </c>
      <c r="F150" s="17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2" t="n"/>
    </row>
    <row r="151">
      <c r="A151" t="inlineStr">
        <is>
          <t>4HL</t>
        </is>
      </c>
      <c r="B151" t="inlineStr"/>
      <c r="C151" s="21" t="n"/>
      <c r="D151" t="n">
        <v>19200</v>
      </c>
      <c r="E151" s="17" t="n">
        <v>46136</v>
      </c>
      <c r="F151" s="17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2" t="n"/>
    </row>
    <row r="152">
      <c r="A152" t="inlineStr">
        <is>
          <t>4HL</t>
        </is>
      </c>
      <c r="B152" t="inlineStr"/>
      <c r="C152" s="21" t="n"/>
      <c r="D152" t="n">
        <v>15840</v>
      </c>
      <c r="E152" s="17" t="n">
        <v>46155</v>
      </c>
      <c r="F152" s="17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2" t="n"/>
    </row>
    <row r="153">
      <c r="A153" t="inlineStr">
        <is>
          <t>4HL</t>
        </is>
      </c>
      <c r="B153" t="inlineStr"/>
      <c r="C153" s="21" t="n"/>
      <c r="D153" t="n">
        <v>5760</v>
      </c>
      <c r="E153" s="17" t="n">
        <v>46159</v>
      </c>
      <c r="F153" s="17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2" t="n"/>
    </row>
    <row r="154">
      <c r="A154" t="inlineStr">
        <is>
          <t>4HL</t>
        </is>
      </c>
      <c r="B154" t="inlineStr"/>
      <c r="C154" s="21" t="n"/>
      <c r="D154" t="n">
        <v>246</v>
      </c>
      <c r="E154" s="17" t="n">
        <v>46155</v>
      </c>
      <c r="F154" s="17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2" t="n"/>
    </row>
    <row r="155">
      <c r="A155" t="inlineStr">
        <is>
          <t>1EK</t>
        </is>
      </c>
      <c r="B155" t="inlineStr"/>
      <c r="C155" s="21" t="n"/>
      <c r="D155" t="n">
        <v>8640</v>
      </c>
      <c r="E155" s="17" t="n">
        <v>46146</v>
      </c>
      <c r="F155" s="17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2" t="n"/>
    </row>
    <row r="156">
      <c r="A156" t="inlineStr">
        <is>
          <t>1EK</t>
        </is>
      </c>
      <c r="B156" t="inlineStr"/>
      <c r="C156" s="21" t="n"/>
      <c r="D156" t="n">
        <v>9120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2" t="n"/>
    </row>
    <row r="157">
      <c r="A157" t="inlineStr">
        <is>
          <t>1EK</t>
        </is>
      </c>
      <c r="B157" t="inlineStr"/>
      <c r="C157" s="21" t="n"/>
      <c r="D157" t="n">
        <v>9600</v>
      </c>
      <c r="E157" s="17" t="n">
        <v>46151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2" t="n"/>
    </row>
    <row r="158">
      <c r="A158" t="inlineStr">
        <is>
          <t>1EK</t>
        </is>
      </c>
      <c r="B158" t="inlineStr"/>
      <c r="C158" s="21" t="n"/>
      <c r="D158" t="n">
        <v>2880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2" t="n"/>
    </row>
    <row r="159">
      <c r="A159" t="inlineStr">
        <is>
          <t>1EK</t>
        </is>
      </c>
      <c r="B159" t="inlineStr"/>
      <c r="C159" s="21" t="n"/>
      <c r="D159" t="n">
        <v>392</v>
      </c>
      <c r="E159" s="17" t="n">
        <v>46155</v>
      </c>
      <c r="F159" s="17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2" t="n"/>
    </row>
    <row r="160">
      <c r="A160" t="inlineStr">
        <is>
          <t>1EK</t>
        </is>
      </c>
      <c r="B160" t="inlineStr"/>
      <c r="C160" s="21" t="n"/>
      <c r="D160" t="n">
        <v>745</v>
      </c>
      <c r="E160" s="17" t="n">
        <v>46146</v>
      </c>
      <c r="F160" s="17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2" t="n"/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22869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2" t="n"/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18216</v>
      </c>
      <c r="E162" s="17" t="n">
        <v>46131</v>
      </c>
      <c r="F162" s="17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2" t="n"/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19140</v>
      </c>
      <c r="E163" s="17" t="n">
        <v>46164</v>
      </c>
      <c r="F163" s="17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  <c r="I163" s="22" t="n"/>
    </row>
    <row r="164">
      <c r="A164" t="inlineStr">
        <is>
          <t>9RN</t>
        </is>
      </c>
      <c r="B164" t="inlineStr">
        <is>
          <t>PO067280</t>
        </is>
      </c>
      <c r="C164" s="21" t="n"/>
      <c r="D164" t="n">
        <v>14795</v>
      </c>
      <c r="E164" s="17" t="n">
        <v>46164</v>
      </c>
      <c r="F164" s="17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2" t="n"/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7117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2" t="n"/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12672</v>
      </c>
      <c r="E166" s="17" t="n">
        <v>46138</v>
      </c>
      <c r="F166" s="17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2" t="n"/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18825</v>
      </c>
      <c r="E167" s="17" t="n">
        <v>46165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2" t="n"/>
    </row>
    <row r="168">
      <c r="A168" t="inlineStr">
        <is>
          <t>0JN</t>
        </is>
      </c>
      <c r="B168" t="inlineStr">
        <is>
          <t>PO067278</t>
        </is>
      </c>
      <c r="C168" s="21" t="n"/>
      <c r="D168" t="n">
        <v>1188</v>
      </c>
      <c r="E168" s="17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  <c r="I168" s="22" t="n"/>
    </row>
    <row r="169">
      <c r="A169" t="inlineStr">
        <is>
          <t>CHEM-1240</t>
        </is>
      </c>
      <c r="B169" t="inlineStr">
        <is>
          <t>PO067529</t>
        </is>
      </c>
      <c r="C169" s="21" t="n"/>
      <c r="D169" t="n">
        <v>660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2" t="n"/>
    </row>
    <row r="170">
      <c r="A170" t="inlineStr">
        <is>
          <t>CHEM-1250</t>
        </is>
      </c>
      <c r="B170" t="inlineStr">
        <is>
          <t>PO067529</t>
        </is>
      </c>
      <c r="C170" s="21" t="n"/>
      <c r="D170" t="n">
        <v>150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2" t="n"/>
    </row>
    <row r="171">
      <c r="A171" t="inlineStr">
        <is>
          <t>CHEM-1400</t>
        </is>
      </c>
      <c r="B171" t="inlineStr">
        <is>
          <t>PO067529</t>
        </is>
      </c>
      <c r="C171" s="21" t="n"/>
      <c r="D171" t="n">
        <v>350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2" t="n"/>
    </row>
    <row r="172">
      <c r="A172" t="inlineStr">
        <is>
          <t>CHEM-1420</t>
        </is>
      </c>
      <c r="B172" t="inlineStr">
        <is>
          <t>PO067529</t>
        </is>
      </c>
      <c r="C172" s="21" t="n"/>
      <c r="D172" t="n">
        <v>320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2" t="n"/>
    </row>
    <row r="173">
      <c r="A173" t="inlineStr">
        <is>
          <t>CHEM-1440</t>
        </is>
      </c>
      <c r="B173" t="inlineStr">
        <is>
          <t>PO067529</t>
        </is>
      </c>
      <c r="C173" s="21" t="n"/>
      <c r="D173" t="n">
        <v>200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2" t="n"/>
    </row>
    <row r="174">
      <c r="A174" t="inlineStr">
        <is>
          <t>CHEM-1540</t>
        </is>
      </c>
      <c r="B174" t="inlineStr">
        <is>
          <t>PO067529</t>
        </is>
      </c>
      <c r="C174" s="21" t="n"/>
      <c r="D174" t="n">
        <v>2500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2" t="n"/>
    </row>
    <row r="175">
      <c r="A175" t="inlineStr">
        <is>
          <t>CHEM-1530</t>
        </is>
      </c>
      <c r="B175" t="inlineStr">
        <is>
          <t>PO067529</t>
        </is>
      </c>
      <c r="C175" s="21" t="n"/>
      <c r="D175" t="n">
        <v>3500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2" t="n"/>
    </row>
    <row r="176">
      <c r="A176" t="inlineStr">
        <is>
          <t>CHEM-1600</t>
        </is>
      </c>
      <c r="B176" t="inlineStr">
        <is>
          <t>PO067529</t>
        </is>
      </c>
      <c r="C176" s="21" t="n"/>
      <c r="D176" t="n">
        <v>350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2" t="n"/>
    </row>
    <row r="177">
      <c r="A177" t="inlineStr">
        <is>
          <t>CHEM-1570</t>
        </is>
      </c>
      <c r="B177" t="inlineStr">
        <is>
          <t>PO067529</t>
        </is>
      </c>
      <c r="C177" s="21" t="n"/>
      <c r="D177" t="n">
        <v>36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2" t="n"/>
    </row>
    <row r="178">
      <c r="A178" t="inlineStr">
        <is>
          <t>CHEM-1670</t>
        </is>
      </c>
      <c r="B178" t="inlineStr">
        <is>
          <t>PO067529</t>
        </is>
      </c>
      <c r="C178" s="21" t="n"/>
      <c r="D178" t="n">
        <v>180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2" t="n"/>
    </row>
    <row r="179">
      <c r="A179" t="inlineStr">
        <is>
          <t>CHEM-1690</t>
        </is>
      </c>
      <c r="B179" t="inlineStr">
        <is>
          <t>PO067529</t>
        </is>
      </c>
      <c r="C179" s="21" t="n"/>
      <c r="D179" t="n">
        <v>135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2" t="n"/>
    </row>
    <row r="180">
      <c r="A180" t="inlineStr">
        <is>
          <t>CHEM-1700</t>
        </is>
      </c>
      <c r="B180" t="inlineStr">
        <is>
          <t>PO067529</t>
        </is>
      </c>
      <c r="C180" s="21" t="n"/>
      <c r="D180" t="n">
        <v>60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2" t="n"/>
    </row>
    <row r="181">
      <c r="A181" t="inlineStr">
        <is>
          <t>CHEM-1720</t>
        </is>
      </c>
      <c r="B181" t="inlineStr">
        <is>
          <t>PO067529</t>
        </is>
      </c>
      <c r="C181" s="21" t="n"/>
      <c r="D181" t="n">
        <v>1080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2" t="n"/>
    </row>
    <row r="182">
      <c r="A182" t="inlineStr">
        <is>
          <t>CHEM-1680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  <c r="I182" s="22" t="n"/>
    </row>
    <row r="183">
      <c r="A183" t="inlineStr">
        <is>
          <t>CHEM-1730</t>
        </is>
      </c>
      <c r="B183" t="inlineStr">
        <is>
          <t>PO067529</t>
        </is>
      </c>
      <c r="C183" s="21" t="n"/>
      <c r="D183" t="n">
        <v>200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  <c r="I183" s="22" t="n"/>
    </row>
    <row r="184">
      <c r="A184" t="inlineStr">
        <is>
          <t>CHEM-1660</t>
        </is>
      </c>
      <c r="B184" t="inlineStr">
        <is>
          <t>PO067514</t>
        </is>
      </c>
      <c r="C184" s="21" t="n"/>
      <c r="D184" t="n">
        <v>120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  <c r="I184" s="22" t="n"/>
    </row>
    <row r="185">
      <c r="A185" t="inlineStr">
        <is>
          <t>CHEM-1280</t>
        </is>
      </c>
      <c r="B185" t="inlineStr">
        <is>
          <t>PO067514</t>
        </is>
      </c>
      <c r="C185" s="21" t="n"/>
      <c r="D185" t="n">
        <v>1000</v>
      </c>
      <c r="E185" s="17" t="n">
        <v>46155</v>
      </c>
      <c r="F185" s="17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  <c r="I185" s="22" t="n"/>
    </row>
    <row r="186">
      <c r="A186" t="inlineStr">
        <is>
          <t>4HL</t>
        </is>
      </c>
      <c r="B186" t="inlineStr"/>
      <c r="C186" s="21" t="n"/>
      <c r="D186" t="n">
        <v>6720</v>
      </c>
      <c r="E186" s="17" t="n">
        <v>46164</v>
      </c>
      <c r="F186" s="17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2" t="n"/>
    </row>
    <row r="187">
      <c r="A187" t="inlineStr">
        <is>
          <t>4HL</t>
        </is>
      </c>
      <c r="B187" t="inlineStr"/>
      <c r="C187" s="21" t="n"/>
      <c r="D187" t="n">
        <v>14400</v>
      </c>
      <c r="E187" s="17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  <c r="I187" s="22" t="n"/>
    </row>
    <row r="188">
      <c r="A188" t="inlineStr">
        <is>
          <t>4HL</t>
        </is>
      </c>
      <c r="B188" t="inlineStr"/>
      <c r="C188" s="21" t="n"/>
      <c r="D188" t="n">
        <v>9600</v>
      </c>
      <c r="E188" s="17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  <c r="I188" s="22" t="n"/>
    </row>
    <row r="189">
      <c r="A189" t="inlineStr">
        <is>
          <t>4HL</t>
        </is>
      </c>
      <c r="B189" t="inlineStr"/>
      <c r="C189" s="21" t="n"/>
      <c r="D189" t="n">
        <v>13440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2" t="n"/>
    </row>
    <row r="190">
      <c r="A190" t="inlineStr">
        <is>
          <t>4HL</t>
        </is>
      </c>
      <c r="B190" t="inlineStr"/>
      <c r="C190" s="21" t="n"/>
      <c r="D190" t="n">
        <v>11040</v>
      </c>
      <c r="E190" s="17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2" t="n"/>
    </row>
    <row r="191">
      <c r="A191" t="inlineStr">
        <is>
          <t>4HL</t>
        </is>
      </c>
      <c r="B191" t="inlineStr"/>
      <c r="C191" s="21" t="n"/>
      <c r="D191" t="n">
        <v>346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  <c r="I191" s="22" t="n"/>
    </row>
    <row r="192">
      <c r="A192" t="inlineStr">
        <is>
          <t>1EK</t>
        </is>
      </c>
      <c r="B192" t="inlineStr"/>
      <c r="C192" s="21" t="n"/>
      <c r="D192" t="n">
        <v>4800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  <c r="I192" s="22" t="n"/>
    </row>
    <row r="193">
      <c r="A193" t="inlineStr">
        <is>
          <t>1EK</t>
        </is>
      </c>
      <c r="B193" t="inlineStr"/>
      <c r="C193" s="21" t="n"/>
      <c r="D193" t="n">
        <v>434</v>
      </c>
      <c r="E193" s="17" t="n">
        <v>46164</v>
      </c>
      <c r="F193" s="17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  <c r="I193" s="22" t="n"/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15554</v>
      </c>
      <c r="E194" s="17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2" t="n"/>
    </row>
    <row r="195">
      <c r="A195" t="inlineStr">
        <is>
          <t>9RN</t>
        </is>
      </c>
      <c r="B195" t="inlineStr">
        <is>
          <t>PO067508</t>
        </is>
      </c>
      <c r="C195" s="21" t="n"/>
      <c r="D195" t="n">
        <v>20746</v>
      </c>
      <c r="E195" s="17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2" t="n"/>
    </row>
    <row r="196">
      <c r="A196" t="inlineStr">
        <is>
          <t>0JN</t>
        </is>
      </c>
      <c r="B196" t="inlineStr">
        <is>
          <t>PO067515</t>
        </is>
      </c>
      <c r="C196" s="21" t="n"/>
      <c r="D196" t="n">
        <v>7919</v>
      </c>
      <c r="E196" s="17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2" t="n"/>
    </row>
    <row r="197">
      <c r="A197" t="inlineStr">
        <is>
          <t>CHEM-1240</t>
        </is>
      </c>
      <c r="B197" t="inlineStr">
        <is>
          <t>PO068015</t>
        </is>
      </c>
      <c r="C197" s="21" t="n"/>
      <c r="D197" t="n">
        <v>660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2" t="n"/>
    </row>
    <row r="198">
      <c r="A198" t="inlineStr">
        <is>
          <t>CHEM-1250</t>
        </is>
      </c>
      <c r="B198" t="inlineStr">
        <is>
          <t>PO068015</t>
        </is>
      </c>
      <c r="C198" s="21" t="n"/>
      <c r="D198" t="n">
        <v>50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2" t="n"/>
    </row>
    <row r="199">
      <c r="A199" t="inlineStr">
        <is>
          <t>CHEM-1400</t>
        </is>
      </c>
      <c r="B199" t="inlineStr">
        <is>
          <t>PO068015</t>
        </is>
      </c>
      <c r="C199" s="21" t="n"/>
      <c r="D199" t="n">
        <v>200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2" t="n"/>
    </row>
    <row r="200">
      <c r="A200" t="inlineStr">
        <is>
          <t>CHEM-1420</t>
        </is>
      </c>
      <c r="B200" t="inlineStr">
        <is>
          <t>PO068015</t>
        </is>
      </c>
      <c r="C200" s="21" t="n"/>
      <c r="D200" t="n">
        <v>240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2" t="n"/>
    </row>
    <row r="201">
      <c r="A201" t="inlineStr">
        <is>
          <t>CHEM-1540</t>
        </is>
      </c>
      <c r="B201" t="inlineStr">
        <is>
          <t>PO068015</t>
        </is>
      </c>
      <c r="C201" s="21" t="n"/>
      <c r="D201" t="n">
        <v>4500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2" t="n"/>
    </row>
    <row r="202">
      <c r="A202" t="inlineStr">
        <is>
          <t>CHEM-1530</t>
        </is>
      </c>
      <c r="B202" t="inlineStr">
        <is>
          <t>PO068015</t>
        </is>
      </c>
      <c r="C202" s="21" t="n"/>
      <c r="D202" t="n">
        <v>2100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2" t="n"/>
    </row>
    <row r="203">
      <c r="A203" t="inlineStr">
        <is>
          <t>CHEM-1570</t>
        </is>
      </c>
      <c r="B203" t="inlineStr">
        <is>
          <t>PO068015</t>
        </is>
      </c>
      <c r="C203" s="21" t="n"/>
      <c r="D203" t="n">
        <v>18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2" t="n"/>
    </row>
    <row r="204">
      <c r="A204" t="inlineStr">
        <is>
          <t>CHEM-1670</t>
        </is>
      </c>
      <c r="B204" t="inlineStr">
        <is>
          <t>PO068015</t>
        </is>
      </c>
      <c r="C204" s="21" t="n"/>
      <c r="D204" t="n">
        <v>360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2" t="n"/>
    </row>
    <row r="205">
      <c r="A205" t="inlineStr">
        <is>
          <t>CHEM-1690</t>
        </is>
      </c>
      <c r="B205" t="inlineStr">
        <is>
          <t>PO068015</t>
        </is>
      </c>
      <c r="C205" s="21" t="n"/>
      <c r="D205" t="n">
        <v>135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2" t="n"/>
    </row>
    <row r="206">
      <c r="A206" t="inlineStr">
        <is>
          <t>CHEM-1700</t>
        </is>
      </c>
      <c r="B206" t="inlineStr">
        <is>
          <t>PO068015</t>
        </is>
      </c>
      <c r="C206" s="21" t="n"/>
      <c r="D206" t="n">
        <v>60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2" t="n"/>
    </row>
    <row r="207">
      <c r="A207" t="inlineStr">
        <is>
          <t>CHEM-1720</t>
        </is>
      </c>
      <c r="B207" t="inlineStr">
        <is>
          <t>PO068015</t>
        </is>
      </c>
      <c r="C207" s="21" t="n"/>
      <c r="D207" t="n">
        <v>1320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  <c r="I207" s="22" t="n"/>
    </row>
    <row r="208">
      <c r="A208" t="inlineStr">
        <is>
          <t>CHEM-1760</t>
        </is>
      </c>
      <c r="B208" t="inlineStr">
        <is>
          <t>PO068015</t>
        </is>
      </c>
      <c r="C208" s="21" t="n"/>
      <c r="D208" t="n">
        <v>17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  <c r="I208" s="22" t="n"/>
    </row>
    <row r="209">
      <c r="A209" t="inlineStr">
        <is>
          <t>CHEM-1200</t>
        </is>
      </c>
      <c r="B209" t="inlineStr">
        <is>
          <t>PO068015</t>
        </is>
      </c>
      <c r="C209" s="21" t="n"/>
      <c r="D209" t="n">
        <v>25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  <c r="I209" s="22" t="n"/>
    </row>
    <row r="210">
      <c r="A210" t="inlineStr">
        <is>
          <t>CHEM-1840</t>
        </is>
      </c>
      <c r="B210" t="inlineStr">
        <is>
          <t>PO068015</t>
        </is>
      </c>
      <c r="C210" s="21" t="n"/>
      <c r="D210" t="n">
        <v>18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  <c r="I210" s="22" t="n"/>
    </row>
    <row r="211">
      <c r="A211" t="inlineStr">
        <is>
          <t>CHEM-1660</t>
        </is>
      </c>
      <c r="B211" t="inlineStr">
        <is>
          <t>PO067957</t>
        </is>
      </c>
      <c r="C211" s="21" t="n"/>
      <c r="D211" t="n">
        <v>180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  <c r="I211" s="22" t="n"/>
    </row>
    <row r="212">
      <c r="A212" t="inlineStr">
        <is>
          <t>CHEM-1280</t>
        </is>
      </c>
      <c r="B212" t="inlineStr">
        <is>
          <t>PO067957</t>
        </is>
      </c>
      <c r="C212" s="21" t="n"/>
      <c r="D212" t="n">
        <v>1000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  <c r="I212" s="22" t="n"/>
    </row>
    <row r="213">
      <c r="A213" t="inlineStr">
        <is>
          <t>4HL</t>
        </is>
      </c>
      <c r="B213" t="inlineStr"/>
      <c r="C213" s="21" t="n"/>
      <c r="D213" t="n">
        <v>12000</v>
      </c>
      <c r="E213" s="17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2" t="n"/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2" t="n"/>
    </row>
    <row r="215">
      <c r="A215" t="inlineStr">
        <is>
          <t>4HL</t>
        </is>
      </c>
      <c r="B215" t="inlineStr"/>
      <c r="C215" s="21" t="n"/>
      <c r="D215" t="n">
        <v>6240</v>
      </c>
      <c r="E215" s="17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2" t="n"/>
    </row>
    <row r="216">
      <c r="A216" t="inlineStr">
        <is>
          <t>4HL</t>
        </is>
      </c>
      <c r="B216" t="inlineStr"/>
      <c r="C216" s="21" t="n"/>
      <c r="D216" t="n">
        <v>5972</v>
      </c>
      <c r="E216" s="17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2" t="n"/>
    </row>
    <row r="217">
      <c r="A217" t="inlineStr">
        <is>
          <t>4HL</t>
        </is>
      </c>
      <c r="B217" t="inlineStr"/>
      <c r="C217" s="21" t="n"/>
      <c r="D217" t="n">
        <v>5760</v>
      </c>
      <c r="E217" s="17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2" t="n"/>
    </row>
    <row r="218">
      <c r="A218" t="inlineStr">
        <is>
          <t>4HL</t>
        </is>
      </c>
      <c r="B218" t="inlineStr"/>
      <c r="C218" s="21" t="n"/>
      <c r="D218" t="n">
        <v>6240</v>
      </c>
      <c r="E218" s="17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2" t="n"/>
    </row>
    <row r="219">
      <c r="A219" t="inlineStr">
        <is>
          <t>4HL</t>
        </is>
      </c>
      <c r="B219" t="inlineStr"/>
      <c r="C219" s="21" t="n"/>
      <c r="D219" t="n">
        <v>5902</v>
      </c>
      <c r="E219" s="17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2" t="n"/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2" t="n"/>
    </row>
    <row r="221">
      <c r="A221" t="inlineStr">
        <is>
          <t>4HL</t>
        </is>
      </c>
      <c r="B221" t="inlineStr"/>
      <c r="C221" s="21" t="n"/>
      <c r="D221" t="n">
        <v>5760</v>
      </c>
      <c r="E221" s="17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2" t="n"/>
    </row>
    <row r="222">
      <c r="A222" t="inlineStr">
        <is>
          <t>TDJ</t>
        </is>
      </c>
      <c r="B222" t="inlineStr"/>
      <c r="C222" s="21" t="n"/>
      <c r="D222" t="n">
        <v>392</v>
      </c>
      <c r="E222" s="17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2" t="n"/>
    </row>
    <row r="223">
      <c r="A223" t="inlineStr">
        <is>
          <t>TDJ</t>
        </is>
      </c>
      <c r="B223" t="inlineStr"/>
      <c r="C223" s="21" t="n"/>
      <c r="D223" t="n">
        <v>200</v>
      </c>
      <c r="E223" s="17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2" t="n"/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2" t="n"/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2" t="n"/>
    </row>
    <row r="226">
      <c r="A226" t="inlineStr">
        <is>
          <t>TDJ</t>
        </is>
      </c>
      <c r="B226" t="inlineStr"/>
      <c r="C226" s="21" t="n"/>
      <c r="D226" t="n">
        <v>392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2" t="n"/>
    </row>
    <row r="227">
      <c r="A227" t="inlineStr">
        <is>
          <t>0JN</t>
        </is>
      </c>
      <c r="B227" t="inlineStr">
        <is>
          <t>PO067815</t>
        </is>
      </c>
      <c r="C227" s="21" t="n"/>
      <c r="D227" t="n">
        <v>12672</v>
      </c>
      <c r="E227" s="17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2" t="n"/>
    </row>
    <row r="228">
      <c r="A228" t="inlineStr">
        <is>
          <t>CHEM-1240</t>
        </is>
      </c>
      <c r="B228" t="inlineStr">
        <is>
          <t>PO067960</t>
        </is>
      </c>
      <c r="C228" s="21" t="n"/>
      <c r="D228" t="n">
        <v>440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2" t="n"/>
    </row>
    <row r="229">
      <c r="A229" t="inlineStr">
        <is>
          <t>CHEM-1250</t>
        </is>
      </c>
      <c r="B229" t="inlineStr">
        <is>
          <t>PO067960</t>
        </is>
      </c>
      <c r="C229" s="21" t="n"/>
      <c r="D229" t="n">
        <v>125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2" t="n"/>
    </row>
    <row r="230">
      <c r="A230" t="inlineStr">
        <is>
          <t>CHEM-1400</t>
        </is>
      </c>
      <c r="B230" t="inlineStr">
        <is>
          <t>PO067960</t>
        </is>
      </c>
      <c r="C230" s="21" t="n"/>
      <c r="D230" t="n">
        <v>250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2" t="n"/>
    </row>
    <row r="231">
      <c r="A231" t="inlineStr">
        <is>
          <t>CHEM-1420</t>
        </is>
      </c>
      <c r="B231" t="inlineStr">
        <is>
          <t>PO067960</t>
        </is>
      </c>
      <c r="C231" s="21" t="n"/>
      <c r="D231" t="n">
        <v>240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2" t="n"/>
    </row>
    <row r="232">
      <c r="A232" t="inlineStr">
        <is>
          <t>CHEM-1440</t>
        </is>
      </c>
      <c r="B232" t="inlineStr">
        <is>
          <t>PO067960</t>
        </is>
      </c>
      <c r="C232" s="21" t="n"/>
      <c r="D232" t="n">
        <v>200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2" t="n"/>
    </row>
    <row r="233">
      <c r="A233" t="inlineStr">
        <is>
          <t>CHEM-1540</t>
        </is>
      </c>
      <c r="B233" t="inlineStr">
        <is>
          <t>PO067960</t>
        </is>
      </c>
      <c r="C233" s="21" t="n"/>
      <c r="D233" t="n">
        <v>2000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2" t="n"/>
    </row>
    <row r="234">
      <c r="A234" t="inlineStr">
        <is>
          <t>CHEM-1530</t>
        </is>
      </c>
      <c r="B234" t="inlineStr">
        <is>
          <t>PO067960</t>
        </is>
      </c>
      <c r="C234" s="21" t="n"/>
      <c r="D234" t="n">
        <v>2100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2" t="n"/>
    </row>
    <row r="235">
      <c r="A235" t="inlineStr">
        <is>
          <t>CHEM-1600</t>
        </is>
      </c>
      <c r="B235" t="inlineStr">
        <is>
          <t>PO067960</t>
        </is>
      </c>
      <c r="C235" s="21" t="n"/>
      <c r="D235" t="n">
        <v>300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2" t="n"/>
    </row>
    <row r="236">
      <c r="A236" t="inlineStr">
        <is>
          <t>CHEM-1570</t>
        </is>
      </c>
      <c r="B236" t="inlineStr">
        <is>
          <t>PO067960</t>
        </is>
      </c>
      <c r="C236" s="21" t="n"/>
      <c r="D236" t="n">
        <v>54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2" t="n"/>
    </row>
    <row r="237">
      <c r="A237" t="inlineStr">
        <is>
          <t>CHEM-1670</t>
        </is>
      </c>
      <c r="B237" t="inlineStr">
        <is>
          <t>PO067960</t>
        </is>
      </c>
      <c r="C237" s="21" t="n"/>
      <c r="D237" t="n">
        <v>180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2" t="n"/>
    </row>
    <row r="238">
      <c r="A238" t="inlineStr">
        <is>
          <t>CHEM-1700</t>
        </is>
      </c>
      <c r="B238" t="inlineStr">
        <is>
          <t>PO067960</t>
        </is>
      </c>
      <c r="C238" s="21" t="n"/>
      <c r="D238" t="n">
        <v>90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2" t="n"/>
    </row>
    <row r="239">
      <c r="A239" t="inlineStr">
        <is>
          <t>CHEM-1720</t>
        </is>
      </c>
      <c r="B239" t="inlineStr">
        <is>
          <t>PO067960</t>
        </is>
      </c>
      <c r="C239" s="21" t="n"/>
      <c r="D239" t="n">
        <v>960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  <c r="I239" s="22" t="n"/>
    </row>
    <row r="240">
      <c r="A240" t="inlineStr">
        <is>
          <t>CHEM-1200</t>
        </is>
      </c>
      <c r="B240" t="inlineStr">
        <is>
          <t>PO067960</t>
        </is>
      </c>
      <c r="C240" s="21" t="n"/>
      <c r="D240" t="n">
        <v>25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  <c r="I240" s="22" t="n"/>
    </row>
    <row r="241">
      <c r="A241" t="inlineStr">
        <is>
          <t>CHEM-1680</t>
        </is>
      </c>
      <c r="B241" t="inlineStr">
        <is>
          <t>PO067960</t>
        </is>
      </c>
      <c r="C241" s="21" t="n"/>
      <c r="D241" t="n">
        <v>100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  <c r="I241" s="22" t="n"/>
    </row>
    <row r="242">
      <c r="A242" t="inlineStr">
        <is>
          <t>CHEM-1840</t>
        </is>
      </c>
      <c r="B242" t="inlineStr">
        <is>
          <t>PO067960</t>
        </is>
      </c>
      <c r="C242" s="21" t="n"/>
      <c r="D242" t="n">
        <v>18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  <c r="I242" s="22" t="n"/>
    </row>
    <row r="243">
      <c r="A243" t="inlineStr">
        <is>
          <t>CHEM-1660</t>
        </is>
      </c>
      <c r="B243" t="inlineStr">
        <is>
          <t>PO067957</t>
        </is>
      </c>
      <c r="C243" s="21" t="n"/>
      <c r="D243" t="n">
        <v>150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  <c r="I243" s="22" t="n"/>
    </row>
    <row r="244">
      <c r="A244" t="inlineStr">
        <is>
          <t>CHEM-1280</t>
        </is>
      </c>
      <c r="B244" t="inlineStr">
        <is>
          <t>PO067957</t>
        </is>
      </c>
      <c r="C244" s="21" t="n"/>
      <c r="D244" t="n">
        <v>1500</v>
      </c>
      <c r="E244" s="17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  <c r="I244" s="22" t="n"/>
    </row>
    <row r="245">
      <c r="A245" t="inlineStr">
        <is>
          <t>0JN</t>
        </is>
      </c>
      <c r="B245" t="inlineStr">
        <is>
          <t>PO067959</t>
        </is>
      </c>
      <c r="C245" s="21" t="n"/>
      <c r="D245" t="n">
        <v>18612</v>
      </c>
      <c r="E245" s="17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  <c r="I245" s="2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20" t="inlineStr">
        <is>
          <t>Part Name</t>
        </is>
      </c>
      <c r="B1" s="20" t="inlineStr">
        <is>
          <t>Qty</t>
        </is>
      </c>
      <c r="C1" s="20" t="inlineStr">
        <is>
          <t>Target_Delivery_Date</t>
        </is>
      </c>
      <c r="D1" s="20" t="inlineStr">
        <is>
          <t>WeekIndex</t>
        </is>
      </c>
      <c r="E1" s="20" t="inlineStr">
        <is>
          <t>Order_Month</t>
        </is>
      </c>
      <c r="F1" s="20" t="inlineStr">
        <is>
          <t>IsReconciled</t>
        </is>
      </c>
      <c r="G1" s="20" t="inlineStr">
        <is>
          <t>EffectiveQty</t>
        </is>
      </c>
    </row>
    <row r="2">
      <c r="A2" s="21" t="inlineStr">
        <is>
          <t>(例) CHEM-1010</t>
        </is>
      </c>
      <c r="B2" s="21" t="n">
        <v>0</v>
      </c>
      <c r="C2" s="23" t="n">
        <v>46020</v>
      </c>
      <c r="D2">
        <f>IFERROR(MAX(1,MIN(104,INT(($C2-(DATE(Cal_Weeks!$B$1,1,1)-WEEKDAY(DATE(Cal_Weeks!$B$1,1,1),3)))/7)+1)),"")</f>
        <v/>
      </c>
      <c r="E2" s="24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3" t="n">
        <v>46020</v>
      </c>
    </row>
    <row r="3">
      <c r="A3" t="inlineStr">
        <is>
          <t>CHEM-1670</t>
        </is>
      </c>
      <c r="B3" s="21" t="n">
        <v>0</v>
      </c>
      <c r="C3" s="23" t="n">
        <v>46020</v>
      </c>
    </row>
    <row r="4">
      <c r="A4" t="inlineStr">
        <is>
          <t>CHEM-1700</t>
        </is>
      </c>
      <c r="B4" s="21" t="n">
        <v>0</v>
      </c>
      <c r="C4" s="23" t="n">
        <v>46020</v>
      </c>
    </row>
    <row r="5">
      <c r="A5" t="inlineStr">
        <is>
          <t>CHEM-1420</t>
        </is>
      </c>
      <c r="B5" s="21" t="n">
        <v>0</v>
      </c>
      <c r="C5" s="23" t="n">
        <v>46020</v>
      </c>
    </row>
    <row r="6">
      <c r="A6" t="inlineStr">
        <is>
          <t>CHEM-1530</t>
        </is>
      </c>
      <c r="B6" s="21" t="n">
        <v>0</v>
      </c>
      <c r="C6" s="23" t="n">
        <v>46020</v>
      </c>
    </row>
    <row r="7">
      <c r="A7" t="inlineStr">
        <is>
          <t>CHEM-1540</t>
        </is>
      </c>
      <c r="B7" s="21" t="n">
        <v>0</v>
      </c>
      <c r="C7" s="23" t="n">
        <v>46020</v>
      </c>
    </row>
    <row r="8">
      <c r="A8" t="inlineStr">
        <is>
          <t>CHEM-1690</t>
        </is>
      </c>
      <c r="B8" s="21" t="n">
        <v>0</v>
      </c>
      <c r="C8" s="23" t="n">
        <v>46020</v>
      </c>
    </row>
    <row r="9">
      <c r="A9" t="inlineStr">
        <is>
          <t>CHEM-1720</t>
        </is>
      </c>
      <c r="B9" s="21" t="n">
        <v>0</v>
      </c>
      <c r="C9" s="23" t="n">
        <v>46020</v>
      </c>
    </row>
    <row r="10">
      <c r="A10" t="inlineStr">
        <is>
          <t>CHEM-1440</t>
        </is>
      </c>
      <c r="B10" s="21" t="n">
        <v>0</v>
      </c>
      <c r="C10" s="23" t="n">
        <v>46020</v>
      </c>
    </row>
    <row r="11">
      <c r="A11" t="inlineStr">
        <is>
          <t>4HL</t>
        </is>
      </c>
      <c r="B11" s="21" t="n">
        <v>0</v>
      </c>
      <c r="C11" s="23" t="n">
        <v>46020</v>
      </c>
    </row>
    <row r="12">
      <c r="A12" t="inlineStr">
        <is>
          <t>1EK</t>
        </is>
      </c>
      <c r="B12" s="21" t="n">
        <v>0</v>
      </c>
      <c r="C12" s="23" t="n">
        <v>46020</v>
      </c>
    </row>
    <row r="13">
      <c r="A13" t="inlineStr">
        <is>
          <t>7CL</t>
        </is>
      </c>
      <c r="B13" s="21" t="n">
        <v>0</v>
      </c>
      <c r="C13" s="23" t="n">
        <v>46020</v>
      </c>
    </row>
    <row r="14">
      <c r="A14" t="inlineStr">
        <is>
          <t>9RN</t>
        </is>
      </c>
      <c r="B14" s="21" t="n">
        <v>0</v>
      </c>
      <c r="C14" s="23" t="n">
        <v>46020</v>
      </c>
    </row>
    <row r="15">
      <c r="A15" t="inlineStr">
        <is>
          <t>CHEM-1400</t>
        </is>
      </c>
      <c r="B15" s="21" t="n">
        <v>0</v>
      </c>
      <c r="C15" s="23" t="n">
        <v>46020</v>
      </c>
    </row>
    <row r="16">
      <c r="A16" t="inlineStr">
        <is>
          <t>CHEM-1570</t>
        </is>
      </c>
      <c r="B16" s="21" t="n">
        <v>0</v>
      </c>
      <c r="C16" s="23" t="n">
        <v>46020</v>
      </c>
    </row>
    <row r="17">
      <c r="A17" t="inlineStr">
        <is>
          <t>CHEM-1650</t>
        </is>
      </c>
      <c r="B17" s="21" t="n">
        <v>0</v>
      </c>
      <c r="C17" s="23" t="n">
        <v>46020</v>
      </c>
    </row>
    <row r="18">
      <c r="A18" t="inlineStr">
        <is>
          <t>CHEM-1660</t>
        </is>
      </c>
      <c r="B18" s="21" t="n">
        <v>0</v>
      </c>
      <c r="C18" s="23" t="n">
        <v>46020</v>
      </c>
    </row>
    <row r="19">
      <c r="A19" t="inlineStr">
        <is>
          <t>CHEM-1600</t>
        </is>
      </c>
      <c r="B19" s="21" t="n">
        <v>0</v>
      </c>
      <c r="C19" s="23" t="n">
        <v>46020</v>
      </c>
    </row>
    <row r="20">
      <c r="A20" t="inlineStr">
        <is>
          <t>CHEM-1280</t>
        </is>
      </c>
      <c r="B20" s="21" t="n">
        <v>0</v>
      </c>
      <c r="C20" s="23" t="n">
        <v>46020</v>
      </c>
    </row>
    <row r="21">
      <c r="A21" t="inlineStr">
        <is>
          <t>CHEM-1240</t>
        </is>
      </c>
      <c r="B21" s="21" t="n">
        <v>0</v>
      </c>
      <c r="C21" s="23" t="n">
        <v>46020</v>
      </c>
    </row>
    <row r="22">
      <c r="A22" t="inlineStr">
        <is>
          <t>0JN</t>
        </is>
      </c>
      <c r="B22" s="21" t="n">
        <v>0</v>
      </c>
      <c r="C22" s="23" t="n">
        <v>46020</v>
      </c>
    </row>
    <row r="23">
      <c r="A23" t="inlineStr">
        <is>
          <t>CHEM-1760</t>
        </is>
      </c>
      <c r="B23" s="21" t="n">
        <v>0</v>
      </c>
      <c r="C23" s="23" t="n">
        <v>46020</v>
      </c>
    </row>
    <row r="24">
      <c r="A24" t="inlineStr">
        <is>
          <t>Original Towel</t>
        </is>
      </c>
      <c r="B24" s="21" t="n">
        <v>0</v>
      </c>
      <c r="C24" s="23" t="n">
        <v>46020</v>
      </c>
    </row>
    <row r="25">
      <c r="A25" t="inlineStr">
        <is>
          <t>CHEM-1200</t>
        </is>
      </c>
      <c r="B25" s="21" t="n">
        <v>0</v>
      </c>
      <c r="C25" s="23" t="n">
        <v>46020</v>
      </c>
    </row>
    <row r="26">
      <c r="A26" t="inlineStr">
        <is>
          <t>CHEM-1830</t>
        </is>
      </c>
      <c r="B26" s="21" t="n">
        <v>0</v>
      </c>
      <c r="C26" s="23" t="n">
        <v>46020</v>
      </c>
    </row>
    <row r="27">
      <c r="A27" t="inlineStr">
        <is>
          <t>CHEM-1680</t>
        </is>
      </c>
      <c r="B27" s="21" t="n">
        <v>0</v>
      </c>
      <c r="C27" s="23" t="n">
        <v>46020</v>
      </c>
    </row>
    <row r="28">
      <c r="A28" t="inlineStr">
        <is>
          <t>CHEM-1820</t>
        </is>
      </c>
      <c r="B28" s="21" t="n">
        <v>0</v>
      </c>
      <c r="C28" s="23" t="n">
        <v>46020</v>
      </c>
    </row>
    <row r="29">
      <c r="A29" t="inlineStr">
        <is>
          <t>CHEM-1840</t>
        </is>
      </c>
      <c r="B29" s="21" t="n">
        <v>0</v>
      </c>
      <c r="C29" s="23" t="n">
        <v>46020</v>
      </c>
    </row>
    <row r="30">
      <c r="A30" t="inlineStr">
        <is>
          <t>TDJ</t>
        </is>
      </c>
      <c r="B30" s="21" t="n">
        <v>0</v>
      </c>
      <c r="C30" s="23" t="n">
        <v>46020</v>
      </c>
    </row>
    <row r="31">
      <c r="A31" t="inlineStr">
        <is>
          <t>CHEM-1730</t>
        </is>
      </c>
      <c r="B31" s="21" t="n">
        <v>0</v>
      </c>
      <c r="C31" s="23" t="n">
        <v>46020</v>
      </c>
    </row>
    <row r="32">
      <c r="A32" t="inlineStr">
        <is>
          <t>CHEM-1430</t>
        </is>
      </c>
      <c r="B32" s="21" t="n">
        <v>0</v>
      </c>
      <c r="C32" s="23" t="n">
        <v>46020</v>
      </c>
    </row>
    <row r="33">
      <c r="A33" t="inlineStr">
        <is>
          <t>CHEM-1480</t>
        </is>
      </c>
      <c r="B33" s="21" t="n">
        <v>0</v>
      </c>
      <c r="C33" s="23" t="n">
        <v>46020</v>
      </c>
    </row>
    <row r="34">
      <c r="A34" t="inlineStr">
        <is>
          <t>CHEM-1560</t>
        </is>
      </c>
      <c r="B34" s="21" t="n">
        <v>0</v>
      </c>
      <c r="C34" s="23" t="n">
        <v>46020</v>
      </c>
    </row>
    <row r="35">
      <c r="A35" t="inlineStr">
        <is>
          <t>CHEM-1510</t>
        </is>
      </c>
      <c r="B35" s="21" t="n">
        <v>0</v>
      </c>
      <c r="C35" s="23" t="n">
        <v>46020</v>
      </c>
    </row>
    <row r="36">
      <c r="A36" t="inlineStr">
        <is>
          <t>CHEM-1770</t>
        </is>
      </c>
      <c r="B36" s="21" t="n">
        <v>0</v>
      </c>
      <c r="C36" s="23" t="n">
        <v>46020</v>
      </c>
    </row>
    <row r="37">
      <c r="A37" t="inlineStr">
        <is>
          <t>CHEM-1020</t>
        </is>
      </c>
      <c r="B37" s="21" t="n">
        <v>0</v>
      </c>
      <c r="C37" s="23" t="n">
        <v>46020</v>
      </c>
    </row>
    <row r="38">
      <c r="A38" t="inlineStr">
        <is>
          <t>Ester Film</t>
        </is>
      </c>
      <c r="B38" s="21" t="n">
        <v>0</v>
      </c>
      <c r="C38" s="23" t="n">
        <v>46020</v>
      </c>
    </row>
    <row r="39">
      <c r="A39" t="inlineStr">
        <is>
          <t>PP Film</t>
        </is>
      </c>
      <c r="B39" s="21" t="n">
        <v>0</v>
      </c>
      <c r="C39" s="23" t="n">
        <v>46020</v>
      </c>
    </row>
    <row r="40">
      <c r="A40" t="inlineStr">
        <is>
          <t>5SN</t>
        </is>
      </c>
      <c r="B40" s="21" t="n">
        <v>0</v>
      </c>
      <c r="C40" s="23" t="n">
        <v>46020</v>
      </c>
    </row>
    <row r="41">
      <c r="A41" t="inlineStr">
        <is>
          <t>1JN</t>
        </is>
      </c>
      <c r="B41" s="21" t="n">
        <v>0</v>
      </c>
      <c r="C41" s="23" t="n">
        <v>46020</v>
      </c>
    </row>
    <row r="42">
      <c r="A42" t="inlineStr">
        <is>
          <t>V03</t>
        </is>
      </c>
      <c r="B42" s="21" t="n">
        <v>0</v>
      </c>
      <c r="C42" s="23" t="n">
        <v>46020</v>
      </c>
    </row>
    <row r="43">
      <c r="A43" t="inlineStr">
        <is>
          <t>V19</t>
        </is>
      </c>
      <c r="B43" s="21" t="n">
        <v>0</v>
      </c>
      <c r="C43" s="23" t="n">
        <v>46020</v>
      </c>
    </row>
    <row r="44">
      <c r="A44" t="inlineStr">
        <is>
          <t>3TP</t>
        </is>
      </c>
      <c r="B44" s="21" t="n">
        <v>0</v>
      </c>
      <c r="C44" s="23" t="n">
        <v>46020</v>
      </c>
    </row>
    <row r="45">
      <c r="A45" t="inlineStr">
        <is>
          <t>A043</t>
        </is>
      </c>
      <c r="B45" s="21" t="n">
        <v>0</v>
      </c>
      <c r="C45" s="23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  <c r="I1" s="20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2026-07-27T09:18:38Z</dcterms:created>
  <dcterms:modified xsi:type="dcterms:W3CDTF">2026-07-27T09:18:40Z</dcterms:modified>
</cp:coreProperties>
</file>