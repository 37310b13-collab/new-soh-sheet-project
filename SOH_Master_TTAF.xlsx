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  <sheet name="T_SelfStock_Log" sheetId="21" state="hidden" r:id="rId21"/>
    <sheet name="T_TTAFStock_Log" sheetId="22" state="hidden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4" headerRowCount="1">
  <autoFilter ref="A1:H244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M_RawMaterials" displayName="M_RawMaterials" ref="A1:H45" headerRowCount="1">
  <autoFilter ref="A1:H45"/>
  <tableColumns count="8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</tableColumns>
  <tableStyleInfo name="TableStyleMedium9" showRowStripes="1"/>
</table>
</file>

<file path=xl/tables/table5.xml><?xml version="1.0" encoding="utf-8"?>
<table xmlns="http://schemas.openxmlformats.org/spreadsheetml/2006/main" id="5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6.xml><?xml version="1.0" encoding="utf-8"?>
<table xmlns="http://schemas.openxmlformats.org/spreadsheetml/2006/main" id="6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7.xml><?xml version="1.0" encoding="utf-8"?>
<table xmlns="http://schemas.openxmlformats.org/spreadsheetml/2006/main" id="7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8.xml><?xml version="1.0" encoding="utf-8"?>
<table xmlns="http://schemas.openxmlformats.org/spreadsheetml/2006/main" id="8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9.xml><?xml version="1.0" encoding="utf-8"?>
<table xmlns="http://schemas.openxmlformats.org/spreadsheetml/2006/main" id="9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0.xml><?xml version="1.0" encoding="utf-8"?>
<table xmlns="http://schemas.openxmlformats.org/spreadsheetml/2006/main" id="10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1.xml><?xml version="1.0" encoding="utf-8"?>
<table xmlns="http://schemas.openxmlformats.org/spreadsheetml/2006/main" id="11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4.xml><?xml version="1.0" encoding="utf-8"?>
<table xmlns="http://schemas.openxmlformats.org/spreadsheetml/2006/main" id="14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Relationship Type="http://schemas.openxmlformats.org/officeDocument/2006/relationships/hyperlink" Target="#'T_SelfStock'!A1" TargetMode="External" Id="rId9" /><Relationship Type="http://schemas.openxmlformats.org/officeDocument/2006/relationships/hyperlink" Target="#'T_TTAFStock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1">
      <c r="A11" s="3" t="inlineStr">
        <is>
          <t>▶ T_SelfStock - 自社倉庫の在庫実績（材料×週。RefreshSelfStockで自動更新）</t>
        </is>
      </c>
    </row>
    <row r="12">
      <c r="A12" s="3" t="inlineStr">
        <is>
          <t>▶ T_TTAFStock - TTAF倉庫の在庫実績（材料×週。RefreshTTAFStockで自動更新）</t>
        </is>
      </c>
    </row>
    <row r="14">
      <c r="A14" t="inlineStr"/>
    </row>
    <row r="15">
      <c r="A15" t="inlineStr">
        <is>
          <t>このブックはPower BI等に読み込ませる中間テーブルではなく、これ自体が完成品です。</t>
        </is>
      </c>
    </row>
    <row r="16">
      <c r="A16" t="inlineStr">
        <is>
          <t>Dashboard と PO_Draft_* が最終的な閲覧・発注画面、それ以外は計算の土台です。</t>
        </is>
      </c>
    </row>
    <row r="17">
      <c r="A17" t="inlineStr"/>
    </row>
    <row r="18">
      <c r="A18" t="inlineStr">
        <is>
          <t>【週番号のルール】すべてExcelの数式で計算（Cal_WeeksのB1=AnchorYearを変えると全体が再計算）</t>
        </is>
      </c>
    </row>
    <row r="19">
      <c r="A19" t="inlineStr">
        <is>
          <t xml:space="preserve">  Week1=1月1日を含む月〜日の週。年が変わると再び1にリセットされます（2026-W52の次は2027-W01）。</t>
        </is>
      </c>
    </row>
    <row r="20">
      <c r="A20" t="inlineStr">
        <is>
          <t xml:space="preserve">  各シートの週見出しは3段: 1段目=月-年(Aug-26等) / 2段目=その週月曜の日付 / 3段目=週No。</t>
        </is>
      </c>
    </row>
    <row r="21">
      <c r="A21" t="inlineStr"/>
    </row>
    <row r="22">
      <c r="A22" t="inlineStr">
        <is>
          <t>【普段見るシート】</t>
        </is>
      </c>
    </row>
    <row r="23">
      <c r="A23" t="inlineStr">
        <is>
          <t xml:space="preserve">  Dashboard           : 原材料×週の在庫を2年分、横軸で見渡せるメイン画面（まずここ）。</t>
        </is>
      </c>
    </row>
    <row r="24">
      <c r="A24" t="inlineStr">
        <is>
          <t xml:space="preserve">                        自社在庫(実績)・TTAF在庫(実績)・実績週の列で内訳も確認できます。</t>
        </is>
      </c>
    </row>
    <row r="25">
      <c r="A25" t="inlineStr">
        <is>
          <t xml:space="preserve">                        基準在庫(下限/上限)を入力すると、各週のセルが赤(下限未満)/</t>
        </is>
      </c>
    </row>
    <row r="26">
      <c r="A26" t="inlineStr">
        <is>
          <t xml:space="preserve">                        緑(範囲内)/青(上限超)に自動で色分けされます。</t>
        </is>
      </c>
    </row>
    <row r="27">
      <c r="A27" t="inlineStr">
        <is>
          <t xml:space="preserve">                        C1に'W23'のように入力すると（現在年の週Noとして検索）、</t>
        </is>
      </c>
    </row>
    <row r="28">
      <c r="A28" t="inlineStr">
        <is>
          <t xml:space="preserve">                        該当する週の列が太枠でハイライトされます。VBA(JumpToSelectedWeek、</t>
        </is>
      </c>
    </row>
    <row r="29">
      <c r="A29" t="inlineStr">
        <is>
          <t xml:space="preserve">                        要ボタン設定・詳細はdocs/SOH_System_Guide.md)を導入していれば、</t>
        </is>
      </c>
    </row>
    <row r="30">
      <c r="A30" t="inlineStr">
        <is>
          <t xml:space="preserve">                        実績週のすぐ右にその週の列が来るよう自動でスクロールもされます。</t>
        </is>
      </c>
    </row>
    <row r="31">
      <c r="A31" t="inlineStr">
        <is>
          <t xml:space="preserve">  Material_Detail     : 材料ごとに「どの中間体が・何バッチ・いくら使うか」をブロック表示（トレーサビリティ）。</t>
        </is>
      </c>
    </row>
    <row r="32">
      <c r="A32" t="inlineStr">
        <is>
          <t xml:space="preserve">                        Dashboardと同様にC1に'W23'のように入力すると該当週が求まり、</t>
        </is>
      </c>
    </row>
    <row r="33">
      <c r="A33" t="inlineStr">
        <is>
          <t xml:space="preserve">                        VBA導入時はその週列のすぐ右に自動でスクロールします。</t>
        </is>
      </c>
    </row>
    <row r="34">
      <c r="A34" t="inlineStr">
        <is>
          <t xml:space="preserve">                        材料名の右のC列にMOQ(最小発注量)を手入力できます。</t>
        </is>
      </c>
    </row>
    <row r="35">
      <c r="A35" t="inlineStr">
        <is>
          <t xml:space="preserve">                        合計使用量の下にTTAF在庫実績・自社在庫実績・合計在庫(週末時点)の週次推移も表示されます。</t>
        </is>
      </c>
    </row>
    <row r="36">
      <c r="A36" t="inlineStr">
        <is>
          <t xml:space="preserve">                        HideInactiveIntermediatesマクロ(要ボタン設定)で、指定期間ずっと生産予定の無い</t>
        </is>
      </c>
    </row>
    <row r="37">
      <c r="A37" t="inlineStr">
        <is>
          <t xml:space="preserve">                        中間体の行を折りたためます（在庫関連の行は常に表示されたままです）。</t>
        </is>
      </c>
    </row>
    <row r="38">
      <c r="A38" t="inlineStr">
        <is>
          <t xml:space="preserve">  PO_Draft_*          : 要発注分を注文書ひな形に自動転記</t>
        </is>
      </c>
    </row>
    <row r="39">
      <c r="A39" t="inlineStr">
        <is>
          <t xml:space="preserve">  T_Shipments/T_OpeningStock/T_StockCount : 入力用</t>
        </is>
      </c>
    </row>
    <row r="40">
      <c r="A40" t="inlineStr">
        <is>
          <t xml:space="preserve">  T_SelfStock/T_TTAFStock : 材料×週のグリッドで自社/TTAF在庫実績を表示（出力・閲覧用）。</t>
        </is>
      </c>
    </row>
    <row r="41">
      <c r="A41" t="inlineStr">
        <is>
          <t xml:space="preserve">                        RefreshSelfStock/RefreshTTAFStockで更新されます。手入力はしないでください</t>
        </is>
      </c>
    </row>
    <row r="42">
      <c r="A42" t="inlineStr">
        <is>
          <t xml:space="preserve">                        （生データは非表示のT_SelfStock_Log/T_TTAFStock_Logに安全に保存されています）。</t>
        </is>
      </c>
    </row>
    <row r="43">
      <c r="A43" t="inlineStr"/>
    </row>
    <row r="44">
      <c r="A44" t="inlineStr">
        <is>
          <t xml:space="preserve">  M_RawMaterials・M_BOM・PP_Grid・Grid_Stock・その他非表示シートは内部計算用です。通常は開く必要はありません。</t>
        </is>
      </c>
    </row>
    <row r="45">
      <c r="A45" t="inlineStr"/>
    </row>
    <row r="46">
      <c r="A46" t="inlineStr">
        <is>
          <t>【重要】原単位・バッチ数・自社/TTAF在庫はPythonを使わず、Excel(VBA)マクロだけで更新できます。</t>
        </is>
      </c>
    </row>
    <row r="47">
      <c r="A47" t="inlineStr">
        <is>
          <t xml:space="preserve">  macros/RefreshData.bas を導入し、RefreshWeeklyBatches / RefreshBOM / RefreshSelfStock /</t>
        </is>
      </c>
    </row>
    <row r="48">
      <c r="A48" t="inlineStr">
        <is>
          <t xml:space="preserve">  RefreshTTAFStock を実行してください（対象ファイルを選ぶだけです。詳細はdocs/SOH_System_Guide.md、</t>
        </is>
      </c>
    </row>
    <row r="49">
      <c r="A49" t="inlineStr">
        <is>
          <t xml:space="preserve">  未検証のため要動作確認）。T_Shipments・T_OpeningStock・T_StockCount等には一切触れません。</t>
        </is>
      </c>
    </row>
    <row r="50">
      <c r="A50" t="inlineStr">
        <is>
          <t xml:space="preserve">  Material_Detailの中間体の行を隠す/戻すHideInactiveIntermediates / ShowAllIntermediatesは、</t>
        </is>
      </c>
    </row>
    <row r="51">
      <c r="A51" t="inlineStr">
        <is>
          <t xml:space="preserve">  ボタンへの割り当てが必要な一度だけの手動設定です（詳細はdocs/SOH_System_Guide.md）。</t>
        </is>
      </c>
    </row>
    <row r="52">
      <c r="A52" t="inlineStr"/>
    </row>
    <row r="53">
      <c r="A53" t="inlineStr">
        <is>
          <t>【毎月の運用】</t>
        </is>
      </c>
    </row>
    <row r="54">
      <c r="A54" t="inlineStr">
        <is>
          <t xml:space="preserve">  1. 「Powder &amp; Slurry &amp; Pgm Plan」の新しい月版でRefreshWeeklyBatchesを実行</t>
        </is>
      </c>
    </row>
    <row r="55">
      <c r="A55" t="inlineStr">
        <is>
          <t xml:space="preserve">  2. 「Usage from Production Engineering」が更新されていればRefreshBOMを実行</t>
        </is>
      </c>
    </row>
    <row r="56">
      <c r="A56" t="inlineStr">
        <is>
          <t xml:space="preserve">  3. 自社倉庫の現物確認を実施したらRefreshSelfStockを実行</t>
        </is>
      </c>
    </row>
    <row r="57">
      <c r="A57" t="inlineStr">
        <is>
          <t xml:space="preserve">  4. CSA Reportが届いたらRefreshTTAFStockを実行し、T_Shipments のETA/着荷日/PO番号/発注日も更新</t>
        </is>
      </c>
    </row>
    <row r="58">
      <c r="A58" t="inlineStr">
        <is>
          <t xml:space="preserve">  5. 棚卸を実施したらT_StockCountに実測値を追記（Date列に実施日を入力。WeekIndex列は自動計算）</t>
        </is>
      </c>
    </row>
    <row r="59">
      <c r="A59" t="inlineStr">
        <is>
          <t xml:space="preserve">  6. Dashboardで赤色(基準在庫の下限未満)の週を確認し、PO_Draft_*から注文書を出力</t>
        </is>
      </c>
    </row>
    <row r="60">
      <c r="A60" t="inlineStr">
        <is>
          <t xml:space="preserve">  7. 月初は、前月最終週と当月頭のDashboardを見比べて在庫差異を確認（Plan Increase and Decrease /</t>
        </is>
      </c>
    </row>
    <row r="61">
      <c r="A61" t="inlineStr">
        <is>
          <t xml:space="preserve">     Inventory Releasesの報告フォーマットに転記）</t>
        </is>
      </c>
    </row>
    <row r="62">
      <c r="A62" t="inlineStr"/>
    </row>
    <row r="63">
      <c r="A63" t="inlineStr">
        <is>
          <t>【前提・要確認事項】詳細はdocs/SOH_System_Guide.mdを参照</t>
        </is>
      </c>
    </row>
    <row r="64">
      <c r="A64" t="inlineStr">
        <is>
          <t xml:space="preserve">  - M_RawMaterials の基準在庫(下限/上限)とLeadTime_Weeksは仮値(0)です。実際の水準に置き換えてください</t>
        </is>
      </c>
    </row>
    <row r="65">
      <c r="A65" t="inlineStr">
        <is>
          <t xml:space="preserve">    （Dashboardの週次セルの赤/緑/青の色分けに使われます）。</t>
        </is>
      </c>
    </row>
    <row r="66">
      <c r="A66" t="inlineStr">
        <is>
          <t xml:space="preserve">  - Categoryの割り当て(Chemical/Hazardous Chemical/Substrate)は入手データから機械的に推定した部分があります。要レビュー。</t>
        </is>
      </c>
    </row>
    <row r="67">
      <c r="A6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/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CHEM-1650</t>
        </is>
      </c>
      <c r="B112" t="inlineStr">
        <is>
          <t>PO067067</t>
        </is>
      </c>
      <c r="C112" s="21" t="n"/>
      <c r="D112" t="n">
        <v>25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Original Towel</t>
        </is>
      </c>
      <c r="B113" t="inlineStr">
        <is>
          <t>PO067067</t>
        </is>
      </c>
      <c r="C113" s="21" t="n"/>
      <c r="D113" t="n">
        <v>10000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CHEM-1660</t>
        </is>
      </c>
      <c r="B114" t="inlineStr">
        <is>
          <t>PO067070</t>
        </is>
      </c>
      <c r="C114" s="21" t="n"/>
      <c r="D114" t="n">
        <v>180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CHEM-1280</t>
        </is>
      </c>
      <c r="B115" t="inlineStr">
        <is>
          <t>PO067070</t>
        </is>
      </c>
      <c r="C115" s="21" t="n"/>
      <c r="D115" t="n">
        <v>1000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4HL</t>
        </is>
      </c>
      <c r="B116" t="inlineStr"/>
      <c r="C116" s="21" t="n"/>
      <c r="D116" t="n">
        <v>960</v>
      </c>
      <c r="E116" s="17" t="n">
        <v>46112</v>
      </c>
      <c r="F116" s="17" t="n">
        <v>46119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9600</v>
      </c>
      <c r="E117" s="17" t="n">
        <v>46120</v>
      </c>
      <c r="F117" s="17" t="n">
        <v>46128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4800</v>
      </c>
      <c r="E118" s="17" t="n">
        <v>46112</v>
      </c>
      <c r="F118" s="17" t="n">
        <v>46125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</v>
      </c>
      <c r="E119" s="17" t="n">
        <v>46112</v>
      </c>
      <c r="F119" s="17" t="n">
        <v>46114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5760</v>
      </c>
      <c r="E120" s="17" t="n">
        <v>46125</v>
      </c>
      <c r="F120" s="17" t="n">
        <v>46132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156</v>
      </c>
      <c r="E121" s="17" t="n">
        <v>46112</v>
      </c>
      <c r="F121" s="17" t="n">
        <v>46114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144</v>
      </c>
      <c r="E122" s="17" t="n">
        <v>46112</v>
      </c>
      <c r="F122" s="17" t="n">
        <v>46126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1EK</t>
        </is>
      </c>
      <c r="B123" t="inlineStr"/>
      <c r="C123" s="21" t="n"/>
      <c r="D123" t="n">
        <v>4800</v>
      </c>
      <c r="E123" s="17" t="n">
        <v>46098</v>
      </c>
      <c r="F123" s="17" t="n">
        <v>46105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10080</v>
      </c>
      <c r="E124" s="17" t="n">
        <v>46112</v>
      </c>
      <c r="F124" s="17" t="n">
        <v>46115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1920</v>
      </c>
      <c r="E125" s="17" t="n">
        <v>46112</v>
      </c>
      <c r="F125" s="17" t="n">
        <v>46114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TDJ</t>
        </is>
      </c>
      <c r="B126" t="inlineStr">
        <is>
          <t>PO067121</t>
        </is>
      </c>
      <c r="C126" s="21" t="n"/>
      <c r="D126" t="n">
        <v>784</v>
      </c>
      <c r="E126" s="17" t="n">
        <v>46136</v>
      </c>
      <c r="F126" s="17" t="n">
        <v>46147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205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9RN</t>
        </is>
      </c>
      <c r="B128" t="inlineStr">
        <is>
          <t>PO067086</t>
        </is>
      </c>
      <c r="C128" s="21" t="n"/>
      <c r="D128" t="n">
        <v>22792</v>
      </c>
      <c r="E128" s="17" t="n">
        <v>46112</v>
      </c>
      <c r="F128" s="17" t="n">
        <v>46125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4796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0JN</t>
        </is>
      </c>
      <c r="B130" t="inlineStr">
        <is>
          <t>PO067071</t>
        </is>
      </c>
      <c r="C130" s="21" t="n"/>
      <c r="D130" t="n">
        <v>18835</v>
      </c>
      <c r="E130" s="17" t="n">
        <v>46103</v>
      </c>
      <c r="F130" s="17" t="n">
        <v>46112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9289</v>
      </c>
      <c r="E131" s="17" t="n">
        <v>46116</v>
      </c>
      <c r="F131" s="17" t="n">
        <v>46120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11522</v>
      </c>
      <c r="E132" s="17" t="n">
        <v>46138</v>
      </c>
      <c r="F132" s="17" t="n">
        <v>46147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CHEM-1250</t>
        </is>
      </c>
      <c r="B133" t="inlineStr">
        <is>
          <t>PO067281</t>
        </is>
      </c>
      <c r="C133" s="21" t="n"/>
      <c r="D133" t="n">
        <v>150</v>
      </c>
      <c r="E133" s="17" t="n">
        <v>46117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CHEM-1400</t>
        </is>
      </c>
      <c r="B134" t="inlineStr">
        <is>
          <t>PO067281</t>
        </is>
      </c>
      <c r="C134" s="21" t="n"/>
      <c r="D134" t="n">
        <v>300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CHEM-1420</t>
        </is>
      </c>
      <c r="B135" t="inlineStr">
        <is>
          <t>PO067281</t>
        </is>
      </c>
      <c r="C135" s="21" t="n"/>
      <c r="D135" t="n">
        <v>240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CHEM-1440</t>
        </is>
      </c>
      <c r="B136" t="inlineStr">
        <is>
          <t>PO067281</t>
        </is>
      </c>
      <c r="C136" s="21" t="n"/>
      <c r="D136" t="n">
        <v>200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CHEM-1540</t>
        </is>
      </c>
      <c r="B137" t="inlineStr">
        <is>
          <t>PO067281</t>
        </is>
      </c>
      <c r="C137" s="21" t="n"/>
      <c r="D137" t="n">
        <v>2000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CHEM-1530</t>
        </is>
      </c>
      <c r="B138" t="inlineStr">
        <is>
          <t>PO067281</t>
        </is>
      </c>
      <c r="C138" s="21" t="n"/>
      <c r="D138" t="n">
        <v>2800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CHEM-1600</t>
        </is>
      </c>
      <c r="B139" t="inlineStr">
        <is>
          <t>PO067281</t>
        </is>
      </c>
      <c r="C139" s="21" t="n"/>
      <c r="D139" t="n">
        <v>250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CHEM-1570</t>
        </is>
      </c>
      <c r="B140" t="inlineStr">
        <is>
          <t>PO067281</t>
        </is>
      </c>
      <c r="C140" s="21" t="n"/>
      <c r="D140" t="n">
        <v>36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CHEM-1670</t>
        </is>
      </c>
      <c r="B141" t="inlineStr">
        <is>
          <t>PO067281</t>
        </is>
      </c>
      <c r="C141" s="21" t="n"/>
      <c r="D141" t="n">
        <v>180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CHEM-1690</t>
        </is>
      </c>
      <c r="B142" t="inlineStr">
        <is>
          <t>PO067281</t>
        </is>
      </c>
      <c r="C142" s="21" t="n"/>
      <c r="D142" t="n">
        <v>135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CHEM-1700</t>
        </is>
      </c>
      <c r="B143" t="inlineStr">
        <is>
          <t>PO067281</t>
        </is>
      </c>
      <c r="C143" s="21" t="n"/>
      <c r="D143" t="n">
        <v>60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CHEM-1720</t>
        </is>
      </c>
      <c r="B144" t="inlineStr">
        <is>
          <t>PO067281</t>
        </is>
      </c>
      <c r="C144" s="21" t="n"/>
      <c r="D144" t="n">
        <v>720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CHEM-1760</t>
        </is>
      </c>
      <c r="B145" t="inlineStr">
        <is>
          <t>PO067281</t>
        </is>
      </c>
      <c r="C145" s="21" t="n"/>
      <c r="D145" t="n">
        <v>17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CHEM-1200</t>
        </is>
      </c>
      <c r="B146" t="inlineStr">
        <is>
          <t>PO067281</t>
        </is>
      </c>
      <c r="C146" s="21" t="n"/>
      <c r="D146" t="n">
        <v>25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CHEM-1680</t>
        </is>
      </c>
      <c r="B147" t="inlineStr">
        <is>
          <t>PO067281</t>
        </is>
      </c>
      <c r="C147" s="21" t="n"/>
      <c r="D147" t="n">
        <v>200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CHEM-1660</t>
        </is>
      </c>
      <c r="B148" t="inlineStr">
        <is>
          <t>PO067274</t>
        </is>
      </c>
      <c r="C148" s="21" t="n"/>
      <c r="D148" t="n">
        <v>180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4HL</t>
        </is>
      </c>
      <c r="B149" t="inlineStr"/>
      <c r="C149" s="21" t="n"/>
      <c r="D149" t="n">
        <v>19200</v>
      </c>
      <c r="E149" s="17" t="n">
        <v>46131</v>
      </c>
      <c r="F149" s="17" t="n">
        <v>46135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46136</v>
      </c>
      <c r="F150" s="17" t="n">
        <v>46136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15840</v>
      </c>
      <c r="E151" s="17" t="n">
        <v>46155</v>
      </c>
      <c r="F151" s="17" t="n">
        <v>46161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5760</v>
      </c>
      <c r="E152" s="17" t="n">
        <v>46159</v>
      </c>
      <c r="F152" s="17" t="n">
        <v>46167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246</v>
      </c>
      <c r="E153" s="17" t="n">
        <v>46155</v>
      </c>
      <c r="F153" s="17" t="n">
        <v>46161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1EK</t>
        </is>
      </c>
      <c r="B154" t="inlineStr"/>
      <c r="C154" s="21" t="n"/>
      <c r="D154" t="n">
        <v>8640</v>
      </c>
      <c r="E154" s="17" t="n">
        <v>46146</v>
      </c>
      <c r="F154" s="17" t="n">
        <v>46150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9120</v>
      </c>
      <c r="E155" s="17" t="n">
        <v>46155</v>
      </c>
      <c r="F155" s="17" t="n">
        <v>46161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9600</v>
      </c>
      <c r="E156" s="17" t="n">
        <v>46151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2880</v>
      </c>
      <c r="E157" s="17" t="n">
        <v>46155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392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745</v>
      </c>
      <c r="E159" s="17" t="n">
        <v>46146</v>
      </c>
      <c r="F159" s="17" t="n">
        <v>46153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9RN</t>
        </is>
      </c>
      <c r="B160" t="inlineStr">
        <is>
          <t>PO067280</t>
        </is>
      </c>
      <c r="C160" s="21" t="n"/>
      <c r="D160" t="n">
        <v>22869</v>
      </c>
      <c r="E160" s="17" t="n">
        <v>46131</v>
      </c>
      <c r="F160" s="17" t="n">
        <v>46136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18216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19140</v>
      </c>
      <c r="E162" s="17" t="n">
        <v>46164</v>
      </c>
      <c r="F162" s="17" t="n">
        <v>46170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14795</v>
      </c>
      <c r="E163" s="17" t="n">
        <v>46164</v>
      </c>
      <c r="F163" s="17" t="n">
        <v>46169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0JN</t>
        </is>
      </c>
      <c r="B164" t="inlineStr">
        <is>
          <t>PO067278</t>
        </is>
      </c>
      <c r="C164" s="21" t="n"/>
      <c r="D164" t="n">
        <v>7117</v>
      </c>
      <c r="E164" s="17" t="n">
        <v>46138</v>
      </c>
      <c r="F164" s="17" t="n">
        <v>46147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12672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18825</v>
      </c>
      <c r="E166" s="17" t="n">
        <v>46165</v>
      </c>
      <c r="F166" s="17" t="n">
        <v>46170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1188</v>
      </c>
      <c r="E167" s="17" t="n">
        <v>46172</v>
      </c>
      <c r="G167" t="inlineStr">
        <is>
          <t>In-transit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CHEM-1240</t>
        </is>
      </c>
      <c r="B168" t="inlineStr">
        <is>
          <t>PO067529</t>
        </is>
      </c>
      <c r="C168" s="21" t="n"/>
      <c r="D168" t="n">
        <v>660</v>
      </c>
      <c r="E168" s="17" t="n">
        <v>46156</v>
      </c>
      <c r="F168" s="17" t="n">
        <v>46164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CHEM-1250</t>
        </is>
      </c>
      <c r="B169" t="inlineStr">
        <is>
          <t>PO067529</t>
        </is>
      </c>
      <c r="C169" s="21" t="n"/>
      <c r="D169" t="n">
        <v>150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CHEM-1400</t>
        </is>
      </c>
      <c r="B170" t="inlineStr">
        <is>
          <t>PO067529</t>
        </is>
      </c>
      <c r="C170" s="21" t="n"/>
      <c r="D170" t="n">
        <v>350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CHEM-1420</t>
        </is>
      </c>
      <c r="B171" t="inlineStr">
        <is>
          <t>PO067529</t>
        </is>
      </c>
      <c r="C171" s="21" t="n"/>
      <c r="D171" t="n">
        <v>320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CHEM-1440</t>
        </is>
      </c>
      <c r="B172" t="inlineStr">
        <is>
          <t>PO067529</t>
        </is>
      </c>
      <c r="C172" s="21" t="n"/>
      <c r="D172" t="n">
        <v>200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CHEM-1540</t>
        </is>
      </c>
      <c r="B173" t="inlineStr">
        <is>
          <t>PO067529</t>
        </is>
      </c>
      <c r="C173" s="21" t="n"/>
      <c r="D173" t="n">
        <v>2500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CHEM-1530</t>
        </is>
      </c>
      <c r="B174" t="inlineStr">
        <is>
          <t>PO067529</t>
        </is>
      </c>
      <c r="C174" s="21" t="n"/>
      <c r="D174" t="n">
        <v>3500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CHEM-1600</t>
        </is>
      </c>
      <c r="B175" t="inlineStr">
        <is>
          <t>PO067529</t>
        </is>
      </c>
      <c r="C175" s="21" t="n"/>
      <c r="D175" t="n">
        <v>350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CHEM-1570</t>
        </is>
      </c>
      <c r="B176" t="inlineStr">
        <is>
          <t>PO067529</t>
        </is>
      </c>
      <c r="C176" s="21" t="n"/>
      <c r="D176" t="n">
        <v>36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CHEM-1670</t>
        </is>
      </c>
      <c r="B177" t="inlineStr">
        <is>
          <t>PO067529</t>
        </is>
      </c>
      <c r="C177" s="21" t="n"/>
      <c r="D177" t="n">
        <v>180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CHEM-1690</t>
        </is>
      </c>
      <c r="B178" t="inlineStr">
        <is>
          <t>PO067529</t>
        </is>
      </c>
      <c r="C178" s="21" t="n"/>
      <c r="D178" t="n">
        <v>135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CHEM-1700</t>
        </is>
      </c>
      <c r="B179" t="inlineStr">
        <is>
          <t>PO067529</t>
        </is>
      </c>
      <c r="C179" s="21" t="n"/>
      <c r="D179" t="n">
        <v>60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CHEM-1720</t>
        </is>
      </c>
      <c r="B180" t="inlineStr">
        <is>
          <t>PO067529</t>
        </is>
      </c>
      <c r="C180" s="21" t="n"/>
      <c r="D180" t="n">
        <v>1080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CHEM-1680</t>
        </is>
      </c>
      <c r="B181" t="inlineStr">
        <is>
          <t>PO067529</t>
        </is>
      </c>
      <c r="C181" s="21" t="n"/>
      <c r="D181" t="n">
        <v>200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CHEM-1730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CHEM-1660</t>
        </is>
      </c>
      <c r="B183" t="inlineStr">
        <is>
          <t>PO067514</t>
        </is>
      </c>
      <c r="C183" s="21" t="n"/>
      <c r="D183" t="n">
        <v>120</v>
      </c>
      <c r="E183" s="17" t="n">
        <v>46155</v>
      </c>
      <c r="F183" s="17" t="n">
        <v>46163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CHEM-1280</t>
        </is>
      </c>
      <c r="B184" t="inlineStr">
        <is>
          <t>PO067514</t>
        </is>
      </c>
      <c r="C184" s="21" t="n"/>
      <c r="D184" t="n">
        <v>1000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4HL</t>
        </is>
      </c>
      <c r="B185" t="inlineStr"/>
      <c r="C185" s="21" t="n"/>
      <c r="D185" t="n">
        <v>6720</v>
      </c>
      <c r="E185" s="17" t="n">
        <v>46164</v>
      </c>
      <c r="F185" s="17" t="n">
        <v>46169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14400</v>
      </c>
      <c r="E186" s="17" t="n">
        <v>46170</v>
      </c>
      <c r="G186" t="inlineStr">
        <is>
          <t>In-transit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9600</v>
      </c>
      <c r="E187" s="17" t="n">
        <v>46175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13440</v>
      </c>
      <c r="E188" s="17" t="n">
        <v>46181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11040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346</v>
      </c>
      <c r="E190" s="17" t="n">
        <v>46164</v>
      </c>
      <c r="F190" s="17" t="n">
        <v>46169</v>
      </c>
      <c r="G190" t="inlineStr">
        <is>
          <t>TTAF Stock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1EK</t>
        </is>
      </c>
      <c r="B191" t="inlineStr"/>
      <c r="C191" s="21" t="n"/>
      <c r="D191" t="n">
        <v>4800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434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9RN</t>
        </is>
      </c>
      <c r="B193" t="inlineStr">
        <is>
          <t>PO067508</t>
        </is>
      </c>
      <c r="C193" s="21" t="n"/>
      <c r="D193" t="n">
        <v>15554</v>
      </c>
      <c r="E193" s="17" t="n">
        <v>46175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20746</v>
      </c>
      <c r="E194" s="17" t="n">
        <v>46188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0JN</t>
        </is>
      </c>
      <c r="B195" t="inlineStr">
        <is>
          <t>PO067515</t>
        </is>
      </c>
      <c r="C195" s="21" t="n"/>
      <c r="D195" t="n">
        <v>7919</v>
      </c>
      <c r="E195" s="17" t="n">
        <v>46172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CHEM-1240</t>
        </is>
      </c>
      <c r="B196" t="inlineStr">
        <is>
          <t>PO068015</t>
        </is>
      </c>
      <c r="C196" s="21" t="n"/>
      <c r="D196" t="n">
        <v>660</v>
      </c>
      <c r="E196" s="17" t="n">
        <v>46181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CHEM-1250</t>
        </is>
      </c>
      <c r="B197" t="inlineStr">
        <is>
          <t>PO068015</t>
        </is>
      </c>
      <c r="C197" s="21" t="n"/>
      <c r="D197" t="n">
        <v>50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CHEM-1400</t>
        </is>
      </c>
      <c r="B198" t="inlineStr">
        <is>
          <t>PO068015</t>
        </is>
      </c>
      <c r="C198" s="21" t="n"/>
      <c r="D198" t="n">
        <v>200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CHEM-1420</t>
        </is>
      </c>
      <c r="B199" t="inlineStr">
        <is>
          <t>PO068015</t>
        </is>
      </c>
      <c r="C199" s="21" t="n"/>
      <c r="D199" t="n">
        <v>240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CHEM-1540</t>
        </is>
      </c>
      <c r="B200" t="inlineStr">
        <is>
          <t>PO068015</t>
        </is>
      </c>
      <c r="C200" s="21" t="n"/>
      <c r="D200" t="n">
        <v>4500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CHEM-1530</t>
        </is>
      </c>
      <c r="B201" t="inlineStr">
        <is>
          <t>PO068015</t>
        </is>
      </c>
      <c r="C201" s="21" t="n"/>
      <c r="D201" t="n">
        <v>2100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CHEM-1570</t>
        </is>
      </c>
      <c r="B202" t="inlineStr">
        <is>
          <t>PO068015</t>
        </is>
      </c>
      <c r="C202" s="21" t="n"/>
      <c r="D202" t="n">
        <v>18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CHEM-1670</t>
        </is>
      </c>
      <c r="B203" t="inlineStr">
        <is>
          <t>PO068015</t>
        </is>
      </c>
      <c r="C203" s="21" t="n"/>
      <c r="D203" t="n">
        <v>360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CHEM-1690</t>
        </is>
      </c>
      <c r="B204" t="inlineStr">
        <is>
          <t>PO068015</t>
        </is>
      </c>
      <c r="C204" s="21" t="n"/>
      <c r="D204" t="n">
        <v>135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CHEM-1700</t>
        </is>
      </c>
      <c r="B205" t="inlineStr">
        <is>
          <t>PO068015</t>
        </is>
      </c>
      <c r="C205" s="21" t="n"/>
      <c r="D205" t="n">
        <v>60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CHEM-1720</t>
        </is>
      </c>
      <c r="B206" t="inlineStr">
        <is>
          <t>PO068015</t>
        </is>
      </c>
      <c r="C206" s="21" t="n"/>
      <c r="D206" t="n">
        <v>1320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CHEM-1760</t>
        </is>
      </c>
      <c r="B207" t="inlineStr">
        <is>
          <t>PO068015</t>
        </is>
      </c>
      <c r="C207" s="21" t="n"/>
      <c r="D207" t="n">
        <v>17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CHEM-1200</t>
        </is>
      </c>
      <c r="B208" t="inlineStr">
        <is>
          <t>PO068015</t>
        </is>
      </c>
      <c r="C208" s="21" t="n"/>
      <c r="D208" t="n">
        <v>25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CHEM-1840</t>
        </is>
      </c>
      <c r="B209" t="inlineStr">
        <is>
          <t>PO068015</t>
        </is>
      </c>
      <c r="C209" s="21" t="n"/>
      <c r="D209" t="n">
        <v>18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CHEM-1660</t>
        </is>
      </c>
      <c r="B210" t="inlineStr">
        <is>
          <t>PO067957</t>
        </is>
      </c>
      <c r="C210" s="21" t="n"/>
      <c r="D210" t="n">
        <v>180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CHEM-1280</t>
        </is>
      </c>
      <c r="B211" t="inlineStr">
        <is>
          <t>PO067957</t>
        </is>
      </c>
      <c r="C211" s="21" t="n"/>
      <c r="D211" t="n">
        <v>1000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4HL</t>
        </is>
      </c>
      <c r="B212" t="inlineStr"/>
      <c r="C212" s="21" t="n"/>
      <c r="D212" t="n">
        <v>12000</v>
      </c>
      <c r="E212" s="17" t="n">
        <v>46213</v>
      </c>
      <c r="G212" t="inlineStr">
        <is>
          <t>Unconfirmed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6240</v>
      </c>
      <c r="E213" s="17" t="n">
        <v>46215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46220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5972</v>
      </c>
      <c r="E215" s="17" t="n">
        <v>46222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5760</v>
      </c>
      <c r="E216" s="17" t="n">
        <v>46227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6240</v>
      </c>
      <c r="E217" s="17" t="n">
        <v>46229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5902</v>
      </c>
      <c r="E218" s="17" t="n">
        <v>46234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6240</v>
      </c>
      <c r="E219" s="17" t="n">
        <v>46236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5760</v>
      </c>
      <c r="E220" s="17" t="n">
        <v>46241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TDJ</t>
        </is>
      </c>
      <c r="B221" t="inlineStr"/>
      <c r="C221" s="21" t="n"/>
      <c r="D221" t="n">
        <v>392</v>
      </c>
      <c r="E221" s="17" t="n">
        <v>46222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200</v>
      </c>
      <c r="E222" s="17" t="n">
        <v>46227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392</v>
      </c>
      <c r="E223" s="17" t="n">
        <v>46229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46236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46241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0JN</t>
        </is>
      </c>
      <c r="B226" t="inlineStr">
        <is>
          <t>PO067815</t>
        </is>
      </c>
      <c r="C226" s="21" t="n"/>
      <c r="D226" t="n">
        <v>12672</v>
      </c>
      <c r="E226" s="17" t="n">
        <v>46203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CHEM-1240</t>
        </is>
      </c>
      <c r="B227" t="inlineStr">
        <is>
          <t>PO067960</t>
        </is>
      </c>
      <c r="C227" s="21" t="n"/>
      <c r="D227" t="n">
        <v>440</v>
      </c>
      <c r="E227" s="17" t="n">
        <v>46206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CHEM-1250</t>
        </is>
      </c>
      <c r="B228" t="inlineStr">
        <is>
          <t>PO067960</t>
        </is>
      </c>
      <c r="C228" s="21" t="n"/>
      <c r="D228" t="n">
        <v>125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CHEM-1400</t>
        </is>
      </c>
      <c r="B229" t="inlineStr">
        <is>
          <t>PO067960</t>
        </is>
      </c>
      <c r="C229" s="21" t="n"/>
      <c r="D229" t="n">
        <v>250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CHEM-1420</t>
        </is>
      </c>
      <c r="B230" t="inlineStr">
        <is>
          <t>PO067960</t>
        </is>
      </c>
      <c r="C230" s="21" t="n"/>
      <c r="D230" t="n">
        <v>240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CHEM-1440</t>
        </is>
      </c>
      <c r="B231" t="inlineStr">
        <is>
          <t>PO067960</t>
        </is>
      </c>
      <c r="C231" s="21" t="n"/>
      <c r="D231" t="n">
        <v>200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CHEM-1540</t>
        </is>
      </c>
      <c r="B232" t="inlineStr">
        <is>
          <t>PO067960</t>
        </is>
      </c>
      <c r="C232" s="21" t="n"/>
      <c r="D232" t="n">
        <v>2000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CHEM-1530</t>
        </is>
      </c>
      <c r="B233" t="inlineStr">
        <is>
          <t>PO067960</t>
        </is>
      </c>
      <c r="C233" s="21" t="n"/>
      <c r="D233" t="n">
        <v>2100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CHEM-1600</t>
        </is>
      </c>
      <c r="B234" t="inlineStr">
        <is>
          <t>PO067960</t>
        </is>
      </c>
      <c r="C234" s="21" t="n"/>
      <c r="D234" t="n">
        <v>300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CHEM-1570</t>
        </is>
      </c>
      <c r="B235" t="inlineStr">
        <is>
          <t>PO067960</t>
        </is>
      </c>
      <c r="C235" s="21" t="n"/>
      <c r="D235" t="n">
        <v>54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CHEM-1670</t>
        </is>
      </c>
      <c r="B236" t="inlineStr">
        <is>
          <t>PO067960</t>
        </is>
      </c>
      <c r="C236" s="21" t="n"/>
      <c r="D236" t="n">
        <v>180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CHEM-1700</t>
        </is>
      </c>
      <c r="B237" t="inlineStr">
        <is>
          <t>PO067960</t>
        </is>
      </c>
      <c r="C237" s="21" t="n"/>
      <c r="D237" t="n">
        <v>90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CHEM-1720</t>
        </is>
      </c>
      <c r="B238" t="inlineStr">
        <is>
          <t>PO067960</t>
        </is>
      </c>
      <c r="C238" s="21" t="n"/>
      <c r="D238" t="n">
        <v>960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CHEM-1200</t>
        </is>
      </c>
      <c r="B239" t="inlineStr">
        <is>
          <t>PO067960</t>
        </is>
      </c>
      <c r="C239" s="21" t="n"/>
      <c r="D239" t="n">
        <v>25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CHEM-1680</t>
        </is>
      </c>
      <c r="B240" t="inlineStr">
        <is>
          <t>PO067960</t>
        </is>
      </c>
      <c r="C240" s="21" t="n"/>
      <c r="D240" t="n">
        <v>100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CHEM-1840</t>
        </is>
      </c>
      <c r="B241" t="inlineStr">
        <is>
          <t>PO067960</t>
        </is>
      </c>
      <c r="C241" s="21" t="n"/>
      <c r="D241" t="n">
        <v>18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CHEM-1660</t>
        </is>
      </c>
      <c r="B242" t="inlineStr">
        <is>
          <t>PO067957</t>
        </is>
      </c>
      <c r="C242" s="21" t="n"/>
      <c r="D242" t="n">
        <v>150</v>
      </c>
      <c r="E242" s="17" t="n">
        <v>46205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CHEM-1280</t>
        </is>
      </c>
      <c r="B243" t="inlineStr">
        <is>
          <t>PO067957</t>
        </is>
      </c>
      <c r="C243" s="21" t="n"/>
      <c r="D243" t="n">
        <v>1500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0JN</t>
        </is>
      </c>
      <c r="B244" t="inlineStr">
        <is>
          <t>PO067959</t>
        </is>
      </c>
      <c r="C244" s="21" t="n"/>
      <c r="D244" t="n">
        <v>18612</v>
      </c>
      <c r="E244" s="17" t="n">
        <v>46234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2026-07-23T07:20:47Z</dcterms:created>
  <dcterms:modified xsi:type="dcterms:W3CDTF">2026-07-23T07:20:49Z</dcterms:modified>
</cp:coreProperties>
</file>